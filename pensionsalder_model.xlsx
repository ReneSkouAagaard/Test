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arlig projektion" sheetId="2" state="visible" r:id="rId2"/>
    <sheet xmlns:r="http://schemas.openxmlformats.org/officeDocument/2006/relationships" name="Udbetalingsplan" sheetId="3" state="visible" r:id="rId3"/>
  </sheets>
  <definedNames>
    <definedName name="_xlnm._FilterDatabase" localSheetId="1" hidden="1">'Aarlig projektion'!$A$1:$M$122</definedName>
    <definedName name="_xlnm._FilterDatabase" localSheetId="2" hidden="1">'Udbetalingsplan'!$A$7:$J$128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#,##0 &quot;kr&quot;"/>
  </numFmts>
  <fonts count="5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  <color rgb="00FFFFFF"/>
    </font>
    <font>
      <b val="1"/>
      <sz val="16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0" fontId="0" fillId="2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Portefolje vs. behov</a:t>
            </a:r>
          </a:p>
        </rich>
      </tx>
    </title>
    <plotArea>
      <lineChart>
        <grouping val="standard"/>
        <ser>
          <idx val="0"/>
          <order val="0"/>
          <tx>
            <strRef>
              <f>'Aarlig projektion'!C1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'Aarlig projektion'!$A$2:$A$122</f>
            </numRef>
          </cat>
          <val>
            <numRef>
              <f>'Aarlig projektion'!$C$2:$C$122</f>
            </numRef>
          </val>
        </ser>
        <ser>
          <idx val="1"/>
          <order val="1"/>
          <tx>
            <strRef>
              <f>'Aarlig projektion'!D1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'Aarlig projektion'!$A$2:$A$122</f>
            </numRef>
          </cat>
          <val>
            <numRef>
              <f>'Aarlig projektion'!$D$2:$D$122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Alder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28" customWidth="1" min="3" max="3"/>
  </cols>
  <sheetData>
    <row r="1">
      <c r="A1" s="1" t="inlineStr">
        <is>
          <t>Pensionsalder model</t>
        </is>
      </c>
    </row>
    <row r="3">
      <c r="A3" s="2" t="inlineStr">
        <is>
          <t>Input</t>
        </is>
      </c>
    </row>
    <row r="4">
      <c r="A4" t="inlineStr">
        <is>
          <t>Levealder</t>
        </is>
      </c>
      <c r="B4" s="3" t="n">
        <v>95</v>
      </c>
      <c r="C4" t="inlineStr">
        <is>
          <t>aar</t>
        </is>
      </c>
    </row>
    <row r="5">
      <c r="A5" t="inlineStr">
        <is>
          <t>Nuvaerende portefolje</t>
        </is>
      </c>
      <c r="B5" s="4" t="n">
        <v>7000000</v>
      </c>
      <c r="C5" t="inlineStr">
        <is>
          <t>kr</t>
        </is>
      </c>
    </row>
    <row r="6">
      <c r="A6" t="inlineStr">
        <is>
          <t>Aarligt forbrug efter skat</t>
        </is>
      </c>
      <c r="B6" s="4" t="n">
        <v>800000</v>
      </c>
      <c r="C6" t="inlineStr">
        <is>
          <t>kr i dag</t>
        </is>
      </c>
    </row>
    <row r="7">
      <c r="A7" t="inlineStr">
        <is>
          <t>Aarligt afkast REAL foer skat</t>
        </is>
      </c>
      <c r="B7" s="5" t="n">
        <v>0.07000000000000001</v>
      </c>
      <c r="C7" t="inlineStr">
        <is>
          <t>%</t>
        </is>
      </c>
    </row>
    <row r="8">
      <c r="A8" t="inlineStr">
        <is>
          <t>Skat paa afkast</t>
        </is>
      </c>
      <c r="B8" s="5" t="n">
        <v>0.22</v>
      </c>
      <c r="C8" t="inlineStr">
        <is>
          <t>%</t>
        </is>
      </c>
    </row>
    <row r="9">
      <c r="A9" t="inlineStr">
        <is>
          <t>Skat paa udbetalinger</t>
        </is>
      </c>
      <c r="B9" s="5" t="n">
        <v>0.38</v>
      </c>
      <c r="C9" t="inlineStr">
        <is>
          <t>%</t>
        </is>
      </c>
    </row>
    <row r="10">
      <c r="A10" t="inlineStr">
        <is>
          <t>Nuvaerende alder</t>
        </is>
      </c>
      <c r="B10" s="3" t="n">
        <v>35</v>
      </c>
      <c r="C10" t="inlineStr">
        <is>
          <t>aar</t>
        </is>
      </c>
    </row>
    <row r="11">
      <c r="A11" t="inlineStr">
        <is>
          <t>Offentlig pensionsudbetaling start</t>
        </is>
      </c>
      <c r="B11" s="3" t="n">
        <v>73</v>
      </c>
      <c r="C11" t="inlineStr">
        <is>
          <t>aar</t>
        </is>
      </c>
    </row>
    <row r="12">
      <c r="A12" t="inlineStr">
        <is>
          <t>Sats for offentlig pension foer skat</t>
        </is>
      </c>
      <c r="B12" s="4" t="n">
        <v>7544</v>
      </c>
      <c r="C12" t="inlineStr">
        <is>
          <t>kr pr maaned i dag</t>
        </is>
      </c>
    </row>
    <row r="13">
      <c r="A13" t="inlineStr">
        <is>
          <t>Inflation til nominelle visninger</t>
        </is>
      </c>
      <c r="B13" s="5" t="n">
        <v>0.02</v>
      </c>
      <c r="C13" t="inlineStr">
        <is>
          <t>%</t>
        </is>
      </c>
    </row>
    <row r="14">
      <c r="A14" t="inlineStr">
        <is>
          <t>Bijob efter pensionsalder foer skat</t>
        </is>
      </c>
      <c r="B14" s="4" t="n">
        <v>10000</v>
      </c>
      <c r="C14" t="inlineStr">
        <is>
          <t>kr pr maaned i dag</t>
        </is>
      </c>
    </row>
    <row r="15">
      <c r="A15" t="inlineStr">
        <is>
          <t>Bijob varighed efter pensionsalder</t>
        </is>
      </c>
      <c r="B15" s="3" t="n">
        <v>10</v>
      </c>
      <c r="C15" t="inlineStr">
        <is>
          <t>aar</t>
        </is>
      </c>
    </row>
    <row r="17">
      <c r="A17" s="2" t="inlineStr">
        <is>
          <t>Beregninger</t>
        </is>
      </c>
    </row>
    <row r="18">
      <c r="A18" t="inlineStr">
        <is>
          <t>Aarligt realafkast efter skat</t>
        </is>
      </c>
      <c r="B18" s="6">
        <f>B7*(1-B8)</f>
        <v/>
      </c>
    </row>
    <row r="19">
      <c r="A19" t="inlineStr">
        <is>
          <t>Offentlig pension foer skat, aarligt</t>
        </is>
      </c>
      <c r="B19" s="7">
        <f>B12*12</f>
        <v/>
      </c>
    </row>
    <row r="20">
      <c r="A20" t="inlineStr">
        <is>
          <t>Offentlig pension efter skat, aarligt</t>
        </is>
      </c>
      <c r="B20" s="7">
        <f>B19*(1-B9)</f>
        <v/>
      </c>
    </row>
    <row r="21">
      <c r="A21" t="inlineStr">
        <is>
          <t>Bijob foer skat, aarligt</t>
        </is>
      </c>
      <c r="B21" s="7">
        <f>B14*12</f>
        <v/>
      </c>
    </row>
    <row r="22">
      <c r="A22" t="inlineStr">
        <is>
          <t>Bijob efter skat, aarligt</t>
        </is>
      </c>
      <c r="B22" s="7">
        <f>B21*(1-B9)</f>
        <v/>
      </c>
    </row>
    <row r="23">
      <c r="A23" t="inlineStr">
        <is>
          <t>Bijob varighed</t>
        </is>
      </c>
      <c r="B23">
        <f>B15</f>
        <v/>
      </c>
    </row>
    <row r="24">
      <c r="A24" t="inlineStr">
        <is>
          <t>Optimal pensionsalder</t>
        </is>
      </c>
      <c r="B24">
        <f>IFERROR(INDEX('Aarlig projektion'!A2:A122,MATCH(TRUE,'Aarlig projektion'!K2:K122,0)),"Ikke opnaaet")</f>
        <v/>
      </c>
    </row>
    <row r="25">
      <c r="A25" t="inlineStr">
        <is>
          <t>Portefolje ved optimal alder</t>
        </is>
      </c>
      <c r="B25" s="7">
        <f>IF(ISNUMBER(B24),INDEX('Aarlig projektion'!C2:C122,MATCH(B24,'Aarlig projektion'!A2:A122,0)),"")</f>
        <v/>
      </c>
    </row>
    <row r="26">
      <c r="A26" t="inlineStr">
        <is>
          <t>Behov ved optimal alder</t>
        </is>
      </c>
      <c r="B26" s="7">
        <f>IF(ISNUMBER(B24),INDEX('Aarlig projektion'!D2:D122,MATCH(B24,'Aarlig projektion'!A2:A122,0)),"")</f>
        <v/>
      </c>
    </row>
    <row r="27">
      <c r="A27" t="inlineStr">
        <is>
          <t>Margin ved optimal alder</t>
        </is>
      </c>
      <c r="B27" s="7">
        <f>IF(ISNUMBER(B24),B25-B26,"")</f>
        <v/>
      </c>
    </row>
    <row r="29">
      <c r="A29" s="2" t="inlineStr">
        <is>
          <t>Antagelser</t>
        </is>
      </c>
    </row>
    <row r="30">
      <c r="A30" t="inlineStr">
        <is>
          <t>Alle hovedbeloeb er i realkroner, fordi afkastinput er realt.</t>
        </is>
      </c>
    </row>
    <row r="31">
      <c r="A31" t="inlineStr">
        <is>
          <t>Offentlig pension antages fuldt inflationsjusteret, saa dens reale koebekraft er konstant.</t>
        </is>
      </c>
    </row>
    <row r="32">
      <c r="A32" t="inlineStr">
        <is>
          <t>Bijob antages at starte ved pensionsalderen, loebe i det valgte antal aar og have konstant real koebekraft.</t>
        </is>
      </c>
    </row>
    <row r="33">
      <c r="A33" t="inlineStr">
        <is>
          <t>Portefoljebehovet er brutto foer udbetalingsskat og beregnes, saa portefoljen er 0 kr ved slutningen af levealderen.</t>
        </is>
      </c>
    </row>
    <row r="34">
      <c r="A34" t="inlineStr">
        <is>
          <t>Udbetalinger antages at ske ved starten af hvert pensionsaar; resterende saldo investeres fortsat.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8" t="inlineStr">
        <is>
          <t>Alder</t>
        </is>
      </c>
      <c r="B1" s="8" t="inlineStr">
        <is>
          <t>Aar fra nu</t>
        </is>
      </c>
      <c r="C1" s="8" t="inlineStr">
        <is>
          <t>Forventet portefolje</t>
        </is>
      </c>
      <c r="D1" s="8" t="inlineStr">
        <is>
          <t>Nodvendig portefolje</t>
        </is>
      </c>
      <c r="E1" s="8" t="inlineStr">
        <is>
          <t>Offentlig pension efter skat</t>
        </is>
      </c>
      <c r="F1" s="8" t="inlineStr">
        <is>
          <t>Bijob efter skat i foerste pensionsaar</t>
        </is>
      </c>
      <c r="G1" s="8" t="inlineStr">
        <is>
          <t>Samlet indkomst efter skat i foerste pensionsaar</t>
        </is>
      </c>
      <c r="H1" s="8" t="inlineStr">
        <is>
          <t>Nettoforbrug fra portefolje</t>
        </is>
      </c>
      <c r="I1" s="8" t="inlineStr">
        <is>
          <t>Brutto udbetaling fra portefolje</t>
        </is>
      </c>
      <c r="J1" s="8" t="inlineStr">
        <is>
          <t>Margin</t>
        </is>
      </c>
      <c r="K1" s="8" t="inlineStr">
        <is>
          <t>Kan pensioneres</t>
        </is>
      </c>
      <c r="L1" s="8" t="inlineStr">
        <is>
          <t>Offentlig pension nominelt foer skat</t>
        </is>
      </c>
      <c r="M1" s="8" t="inlineStr">
        <is>
          <t>Bijob nominelt foer skat i foerste pensionsaar</t>
        </is>
      </c>
    </row>
    <row r="2">
      <c r="A2">
        <f>IF(Model!$B$10+ROW()-2&lt;=Model!$B$4,Model!$B$10+ROW()-2,"")</f>
        <v/>
      </c>
      <c r="B2">
        <f>IF(A2="","",A2-Model!$B$10)</f>
        <v/>
      </c>
      <c r="C2" s="7">
        <f>IF(A2="","",Model!$B$5*(1+Model!$B$18)^B2)</f>
        <v/>
      </c>
      <c r="D2" s="7">
        <f>IF(A2="","",SUMPRODUCT(($A$2:$A$122&gt;=A2)*($A$2:$A$122&lt;&gt;"")*((Model!$B$6-IF($A$2:$A$122&gt;=Model!$B$11,Model!$B$20,0)-IF(($A$2:$A$122&gt;=A2)*($A$2:$A$122&lt;A2+Model!$B$15),Model!$B$22,0))&gt;0)*(Model!$B$6-IF($A$2:$A$122&gt;=Model!$B$11,Model!$B$20,0)-IF(($A$2:$A$122&gt;=A2)*($A$2:$A$122&lt;A2+Model!$B$15),Model!$B$22,0))/(1-Model!$B$9)/(1+Model!$B$18)^($A$2:$A$122-A2)))</f>
        <v/>
      </c>
      <c r="E2" s="7">
        <f>IF(A2="","",IF(A2&gt;=Model!$B$11,Model!$B$20,0))</f>
        <v/>
      </c>
      <c r="F2" s="7">
        <f>IF(A2="","",IF(Model!$B$15&gt;0,Model!$B$22,0))</f>
        <v/>
      </c>
      <c r="G2" s="7">
        <f>IF(A2="","",E2+F2)</f>
        <v/>
      </c>
      <c r="H2" s="7">
        <f>IF(A2="","",MAX(0,Model!$B$6-G2))</f>
        <v/>
      </c>
      <c r="I2" s="7">
        <f>IF(A2="","",H2/(1-Model!$B$9))</f>
        <v/>
      </c>
      <c r="J2" s="7">
        <f>IF(A2="","",C2-D2)</f>
        <v/>
      </c>
      <c r="K2">
        <f>IF(A2="","",C2&gt;=D2)</f>
        <v/>
      </c>
      <c r="L2" s="7">
        <f>IF(A2="","",IF(A2&gt;=Model!$B$11,Model!$B$19*(1+Model!$B$13)^B2,0))</f>
        <v/>
      </c>
      <c r="M2" s="7">
        <f>IF(A2="","",IF(Model!$B$15&gt;0,Model!$B$21*(1+Model!$B$13)^B2,0))</f>
        <v/>
      </c>
    </row>
    <row r="3">
      <c r="A3">
        <f>IF(Model!$B$10+ROW()-2&lt;=Model!$B$4,Model!$B$10+ROW()-2,"")</f>
        <v/>
      </c>
      <c r="B3">
        <f>IF(A3="","",A3-Model!$B$10)</f>
        <v/>
      </c>
      <c r="C3" s="7">
        <f>IF(A3="","",Model!$B$5*(1+Model!$B$18)^B3)</f>
        <v/>
      </c>
      <c r="D3" s="7">
        <f>IF(A3="","",SUMPRODUCT(($A$2:$A$122&gt;=A3)*($A$2:$A$122&lt;&gt;"")*((Model!$B$6-IF($A$2:$A$122&gt;=Model!$B$11,Model!$B$20,0)-IF(($A$2:$A$122&gt;=A3)*($A$2:$A$122&lt;A3+Model!$B$15),Model!$B$22,0))&gt;0)*(Model!$B$6-IF($A$2:$A$122&gt;=Model!$B$11,Model!$B$20,0)-IF(($A$2:$A$122&gt;=A3)*($A$2:$A$122&lt;A3+Model!$B$15),Model!$B$22,0))/(1-Model!$B$9)/(1+Model!$B$18)^($A$2:$A$122-A3)))</f>
        <v/>
      </c>
      <c r="E3" s="7">
        <f>IF(A3="","",IF(A3&gt;=Model!$B$11,Model!$B$20,0))</f>
        <v/>
      </c>
      <c r="F3" s="7">
        <f>IF(A3="","",IF(Model!$B$15&gt;0,Model!$B$22,0))</f>
        <v/>
      </c>
      <c r="G3" s="7">
        <f>IF(A3="","",E3+F3)</f>
        <v/>
      </c>
      <c r="H3" s="7">
        <f>IF(A3="","",MAX(0,Model!$B$6-G3))</f>
        <v/>
      </c>
      <c r="I3" s="7">
        <f>IF(A3="","",H3/(1-Model!$B$9))</f>
        <v/>
      </c>
      <c r="J3" s="7">
        <f>IF(A3="","",C3-D3)</f>
        <v/>
      </c>
      <c r="K3">
        <f>IF(A3="","",C3&gt;=D3)</f>
        <v/>
      </c>
      <c r="L3" s="7">
        <f>IF(A3="","",IF(A3&gt;=Model!$B$11,Model!$B$19*(1+Model!$B$13)^B3,0))</f>
        <v/>
      </c>
      <c r="M3" s="7">
        <f>IF(A3="","",IF(Model!$B$15&gt;0,Model!$B$21*(1+Model!$B$13)^B3,0))</f>
        <v/>
      </c>
    </row>
    <row r="4">
      <c r="A4">
        <f>IF(Model!$B$10+ROW()-2&lt;=Model!$B$4,Model!$B$10+ROW()-2,"")</f>
        <v/>
      </c>
      <c r="B4">
        <f>IF(A4="","",A4-Model!$B$10)</f>
        <v/>
      </c>
      <c r="C4" s="7">
        <f>IF(A4="","",Model!$B$5*(1+Model!$B$18)^B4)</f>
        <v/>
      </c>
      <c r="D4" s="7">
        <f>IF(A4="","",SUMPRODUCT(($A$2:$A$122&gt;=A4)*($A$2:$A$122&lt;&gt;"")*((Model!$B$6-IF($A$2:$A$122&gt;=Model!$B$11,Model!$B$20,0)-IF(($A$2:$A$122&gt;=A4)*($A$2:$A$122&lt;A4+Model!$B$15),Model!$B$22,0))&gt;0)*(Model!$B$6-IF($A$2:$A$122&gt;=Model!$B$11,Model!$B$20,0)-IF(($A$2:$A$122&gt;=A4)*($A$2:$A$122&lt;A4+Model!$B$15),Model!$B$22,0))/(1-Model!$B$9)/(1+Model!$B$18)^($A$2:$A$122-A4)))</f>
        <v/>
      </c>
      <c r="E4" s="7">
        <f>IF(A4="","",IF(A4&gt;=Model!$B$11,Model!$B$20,0))</f>
        <v/>
      </c>
      <c r="F4" s="7">
        <f>IF(A4="","",IF(Model!$B$15&gt;0,Model!$B$22,0))</f>
        <v/>
      </c>
      <c r="G4" s="7">
        <f>IF(A4="","",E4+F4)</f>
        <v/>
      </c>
      <c r="H4" s="7">
        <f>IF(A4="","",MAX(0,Model!$B$6-G4))</f>
        <v/>
      </c>
      <c r="I4" s="7">
        <f>IF(A4="","",H4/(1-Model!$B$9))</f>
        <v/>
      </c>
      <c r="J4" s="7">
        <f>IF(A4="","",C4-D4)</f>
        <v/>
      </c>
      <c r="K4">
        <f>IF(A4="","",C4&gt;=D4)</f>
        <v/>
      </c>
      <c r="L4" s="7">
        <f>IF(A4="","",IF(A4&gt;=Model!$B$11,Model!$B$19*(1+Model!$B$13)^B4,0))</f>
        <v/>
      </c>
      <c r="M4" s="7">
        <f>IF(A4="","",IF(Model!$B$15&gt;0,Model!$B$21*(1+Model!$B$13)^B4,0))</f>
        <v/>
      </c>
    </row>
    <row r="5">
      <c r="A5">
        <f>IF(Model!$B$10+ROW()-2&lt;=Model!$B$4,Model!$B$10+ROW()-2,"")</f>
        <v/>
      </c>
      <c r="B5">
        <f>IF(A5="","",A5-Model!$B$10)</f>
        <v/>
      </c>
      <c r="C5" s="7">
        <f>IF(A5="","",Model!$B$5*(1+Model!$B$18)^B5)</f>
        <v/>
      </c>
      <c r="D5" s="7">
        <f>IF(A5="","",SUMPRODUCT(($A$2:$A$122&gt;=A5)*($A$2:$A$122&lt;&gt;"")*((Model!$B$6-IF($A$2:$A$122&gt;=Model!$B$11,Model!$B$20,0)-IF(($A$2:$A$122&gt;=A5)*($A$2:$A$122&lt;A5+Model!$B$15),Model!$B$22,0))&gt;0)*(Model!$B$6-IF($A$2:$A$122&gt;=Model!$B$11,Model!$B$20,0)-IF(($A$2:$A$122&gt;=A5)*($A$2:$A$122&lt;A5+Model!$B$15),Model!$B$22,0))/(1-Model!$B$9)/(1+Model!$B$18)^($A$2:$A$122-A5)))</f>
        <v/>
      </c>
      <c r="E5" s="7">
        <f>IF(A5="","",IF(A5&gt;=Model!$B$11,Model!$B$20,0))</f>
        <v/>
      </c>
      <c r="F5" s="7">
        <f>IF(A5="","",IF(Model!$B$15&gt;0,Model!$B$22,0))</f>
        <v/>
      </c>
      <c r="G5" s="7">
        <f>IF(A5="","",E5+F5)</f>
        <v/>
      </c>
      <c r="H5" s="7">
        <f>IF(A5="","",MAX(0,Model!$B$6-G5))</f>
        <v/>
      </c>
      <c r="I5" s="7">
        <f>IF(A5="","",H5/(1-Model!$B$9))</f>
        <v/>
      </c>
      <c r="J5" s="7">
        <f>IF(A5="","",C5-D5)</f>
        <v/>
      </c>
      <c r="K5">
        <f>IF(A5="","",C5&gt;=D5)</f>
        <v/>
      </c>
      <c r="L5" s="7">
        <f>IF(A5="","",IF(A5&gt;=Model!$B$11,Model!$B$19*(1+Model!$B$13)^B5,0))</f>
        <v/>
      </c>
      <c r="M5" s="7">
        <f>IF(A5="","",IF(Model!$B$15&gt;0,Model!$B$21*(1+Model!$B$13)^B5,0))</f>
        <v/>
      </c>
    </row>
    <row r="6">
      <c r="A6">
        <f>IF(Model!$B$10+ROW()-2&lt;=Model!$B$4,Model!$B$10+ROW()-2,"")</f>
        <v/>
      </c>
      <c r="B6">
        <f>IF(A6="","",A6-Model!$B$10)</f>
        <v/>
      </c>
      <c r="C6" s="7">
        <f>IF(A6="","",Model!$B$5*(1+Model!$B$18)^B6)</f>
        <v/>
      </c>
      <c r="D6" s="7">
        <f>IF(A6="","",SUMPRODUCT(($A$2:$A$122&gt;=A6)*($A$2:$A$122&lt;&gt;"")*((Model!$B$6-IF($A$2:$A$122&gt;=Model!$B$11,Model!$B$20,0)-IF(($A$2:$A$122&gt;=A6)*($A$2:$A$122&lt;A6+Model!$B$15),Model!$B$22,0))&gt;0)*(Model!$B$6-IF($A$2:$A$122&gt;=Model!$B$11,Model!$B$20,0)-IF(($A$2:$A$122&gt;=A6)*($A$2:$A$122&lt;A6+Model!$B$15),Model!$B$22,0))/(1-Model!$B$9)/(1+Model!$B$18)^($A$2:$A$122-A6)))</f>
        <v/>
      </c>
      <c r="E6" s="7">
        <f>IF(A6="","",IF(A6&gt;=Model!$B$11,Model!$B$20,0))</f>
        <v/>
      </c>
      <c r="F6" s="7">
        <f>IF(A6="","",IF(Model!$B$15&gt;0,Model!$B$22,0))</f>
        <v/>
      </c>
      <c r="G6" s="7">
        <f>IF(A6="","",E6+F6)</f>
        <v/>
      </c>
      <c r="H6" s="7">
        <f>IF(A6="","",MAX(0,Model!$B$6-G6))</f>
        <v/>
      </c>
      <c r="I6" s="7">
        <f>IF(A6="","",H6/(1-Model!$B$9))</f>
        <v/>
      </c>
      <c r="J6" s="7">
        <f>IF(A6="","",C6-D6)</f>
        <v/>
      </c>
      <c r="K6">
        <f>IF(A6="","",C6&gt;=D6)</f>
        <v/>
      </c>
      <c r="L6" s="7">
        <f>IF(A6="","",IF(A6&gt;=Model!$B$11,Model!$B$19*(1+Model!$B$13)^B6,0))</f>
        <v/>
      </c>
      <c r="M6" s="7">
        <f>IF(A6="","",IF(Model!$B$15&gt;0,Model!$B$21*(1+Model!$B$13)^B6,0))</f>
        <v/>
      </c>
    </row>
    <row r="7">
      <c r="A7">
        <f>IF(Model!$B$10+ROW()-2&lt;=Model!$B$4,Model!$B$10+ROW()-2,"")</f>
        <v/>
      </c>
      <c r="B7">
        <f>IF(A7="","",A7-Model!$B$10)</f>
        <v/>
      </c>
      <c r="C7" s="7">
        <f>IF(A7="","",Model!$B$5*(1+Model!$B$18)^B7)</f>
        <v/>
      </c>
      <c r="D7" s="7">
        <f>IF(A7="","",SUMPRODUCT(($A$2:$A$122&gt;=A7)*($A$2:$A$122&lt;&gt;"")*((Model!$B$6-IF($A$2:$A$122&gt;=Model!$B$11,Model!$B$20,0)-IF(($A$2:$A$122&gt;=A7)*($A$2:$A$122&lt;A7+Model!$B$15),Model!$B$22,0))&gt;0)*(Model!$B$6-IF($A$2:$A$122&gt;=Model!$B$11,Model!$B$20,0)-IF(($A$2:$A$122&gt;=A7)*($A$2:$A$122&lt;A7+Model!$B$15),Model!$B$22,0))/(1-Model!$B$9)/(1+Model!$B$18)^($A$2:$A$122-A7)))</f>
        <v/>
      </c>
      <c r="E7" s="7">
        <f>IF(A7="","",IF(A7&gt;=Model!$B$11,Model!$B$20,0))</f>
        <v/>
      </c>
      <c r="F7" s="7">
        <f>IF(A7="","",IF(Model!$B$15&gt;0,Model!$B$22,0))</f>
        <v/>
      </c>
      <c r="G7" s="7">
        <f>IF(A7="","",E7+F7)</f>
        <v/>
      </c>
      <c r="H7" s="7">
        <f>IF(A7="","",MAX(0,Model!$B$6-G7))</f>
        <v/>
      </c>
      <c r="I7" s="7">
        <f>IF(A7="","",H7/(1-Model!$B$9))</f>
        <v/>
      </c>
      <c r="J7" s="7">
        <f>IF(A7="","",C7-D7)</f>
        <v/>
      </c>
      <c r="K7">
        <f>IF(A7="","",C7&gt;=D7)</f>
        <v/>
      </c>
      <c r="L7" s="7">
        <f>IF(A7="","",IF(A7&gt;=Model!$B$11,Model!$B$19*(1+Model!$B$13)^B7,0))</f>
        <v/>
      </c>
      <c r="M7" s="7">
        <f>IF(A7="","",IF(Model!$B$15&gt;0,Model!$B$21*(1+Model!$B$13)^B7,0))</f>
        <v/>
      </c>
    </row>
    <row r="8">
      <c r="A8">
        <f>IF(Model!$B$10+ROW()-2&lt;=Model!$B$4,Model!$B$10+ROW()-2,"")</f>
        <v/>
      </c>
      <c r="B8">
        <f>IF(A8="","",A8-Model!$B$10)</f>
        <v/>
      </c>
      <c r="C8" s="7">
        <f>IF(A8="","",Model!$B$5*(1+Model!$B$18)^B8)</f>
        <v/>
      </c>
      <c r="D8" s="7">
        <f>IF(A8="","",SUMPRODUCT(($A$2:$A$122&gt;=A8)*($A$2:$A$122&lt;&gt;"")*((Model!$B$6-IF($A$2:$A$122&gt;=Model!$B$11,Model!$B$20,0)-IF(($A$2:$A$122&gt;=A8)*($A$2:$A$122&lt;A8+Model!$B$15),Model!$B$22,0))&gt;0)*(Model!$B$6-IF($A$2:$A$122&gt;=Model!$B$11,Model!$B$20,0)-IF(($A$2:$A$122&gt;=A8)*($A$2:$A$122&lt;A8+Model!$B$15),Model!$B$22,0))/(1-Model!$B$9)/(1+Model!$B$18)^($A$2:$A$122-A8)))</f>
        <v/>
      </c>
      <c r="E8" s="7">
        <f>IF(A8="","",IF(A8&gt;=Model!$B$11,Model!$B$20,0))</f>
        <v/>
      </c>
      <c r="F8" s="7">
        <f>IF(A8="","",IF(Model!$B$15&gt;0,Model!$B$22,0))</f>
        <v/>
      </c>
      <c r="G8" s="7">
        <f>IF(A8="","",E8+F8)</f>
        <v/>
      </c>
      <c r="H8" s="7">
        <f>IF(A8="","",MAX(0,Model!$B$6-G8))</f>
        <v/>
      </c>
      <c r="I8" s="7">
        <f>IF(A8="","",H8/(1-Model!$B$9))</f>
        <v/>
      </c>
      <c r="J8" s="7">
        <f>IF(A8="","",C8-D8)</f>
        <v/>
      </c>
      <c r="K8">
        <f>IF(A8="","",C8&gt;=D8)</f>
        <v/>
      </c>
      <c r="L8" s="7">
        <f>IF(A8="","",IF(A8&gt;=Model!$B$11,Model!$B$19*(1+Model!$B$13)^B8,0))</f>
        <v/>
      </c>
      <c r="M8" s="7">
        <f>IF(A8="","",IF(Model!$B$15&gt;0,Model!$B$21*(1+Model!$B$13)^B8,0))</f>
        <v/>
      </c>
    </row>
    <row r="9">
      <c r="A9">
        <f>IF(Model!$B$10+ROW()-2&lt;=Model!$B$4,Model!$B$10+ROW()-2,"")</f>
        <v/>
      </c>
      <c r="B9">
        <f>IF(A9="","",A9-Model!$B$10)</f>
        <v/>
      </c>
      <c r="C9" s="7">
        <f>IF(A9="","",Model!$B$5*(1+Model!$B$18)^B9)</f>
        <v/>
      </c>
      <c r="D9" s="7">
        <f>IF(A9="","",SUMPRODUCT(($A$2:$A$122&gt;=A9)*($A$2:$A$122&lt;&gt;"")*((Model!$B$6-IF($A$2:$A$122&gt;=Model!$B$11,Model!$B$20,0)-IF(($A$2:$A$122&gt;=A9)*($A$2:$A$122&lt;A9+Model!$B$15),Model!$B$22,0))&gt;0)*(Model!$B$6-IF($A$2:$A$122&gt;=Model!$B$11,Model!$B$20,0)-IF(($A$2:$A$122&gt;=A9)*($A$2:$A$122&lt;A9+Model!$B$15),Model!$B$22,0))/(1-Model!$B$9)/(1+Model!$B$18)^($A$2:$A$122-A9)))</f>
        <v/>
      </c>
      <c r="E9" s="7">
        <f>IF(A9="","",IF(A9&gt;=Model!$B$11,Model!$B$20,0))</f>
        <v/>
      </c>
      <c r="F9" s="7">
        <f>IF(A9="","",IF(Model!$B$15&gt;0,Model!$B$22,0))</f>
        <v/>
      </c>
      <c r="G9" s="7">
        <f>IF(A9="","",E9+F9)</f>
        <v/>
      </c>
      <c r="H9" s="7">
        <f>IF(A9="","",MAX(0,Model!$B$6-G9))</f>
        <v/>
      </c>
      <c r="I9" s="7">
        <f>IF(A9="","",H9/(1-Model!$B$9))</f>
        <v/>
      </c>
      <c r="J9" s="7">
        <f>IF(A9="","",C9-D9)</f>
        <v/>
      </c>
      <c r="K9">
        <f>IF(A9="","",C9&gt;=D9)</f>
        <v/>
      </c>
      <c r="L9" s="7">
        <f>IF(A9="","",IF(A9&gt;=Model!$B$11,Model!$B$19*(1+Model!$B$13)^B9,0))</f>
        <v/>
      </c>
      <c r="M9" s="7">
        <f>IF(A9="","",IF(Model!$B$15&gt;0,Model!$B$21*(1+Model!$B$13)^B9,0))</f>
        <v/>
      </c>
    </row>
    <row r="10">
      <c r="A10">
        <f>IF(Model!$B$10+ROW()-2&lt;=Model!$B$4,Model!$B$10+ROW()-2,"")</f>
        <v/>
      </c>
      <c r="B10">
        <f>IF(A10="","",A10-Model!$B$10)</f>
        <v/>
      </c>
      <c r="C10" s="7">
        <f>IF(A10="","",Model!$B$5*(1+Model!$B$18)^B10)</f>
        <v/>
      </c>
      <c r="D10" s="7">
        <f>IF(A10="","",SUMPRODUCT(($A$2:$A$122&gt;=A10)*($A$2:$A$122&lt;&gt;"")*((Model!$B$6-IF($A$2:$A$122&gt;=Model!$B$11,Model!$B$20,0)-IF(($A$2:$A$122&gt;=A10)*($A$2:$A$122&lt;A10+Model!$B$15),Model!$B$22,0))&gt;0)*(Model!$B$6-IF($A$2:$A$122&gt;=Model!$B$11,Model!$B$20,0)-IF(($A$2:$A$122&gt;=A10)*($A$2:$A$122&lt;A10+Model!$B$15),Model!$B$22,0))/(1-Model!$B$9)/(1+Model!$B$18)^($A$2:$A$122-A10)))</f>
        <v/>
      </c>
      <c r="E10" s="7">
        <f>IF(A10="","",IF(A10&gt;=Model!$B$11,Model!$B$20,0))</f>
        <v/>
      </c>
      <c r="F10" s="7">
        <f>IF(A10="","",IF(Model!$B$15&gt;0,Model!$B$22,0))</f>
        <v/>
      </c>
      <c r="G10" s="7">
        <f>IF(A10="","",E10+F10)</f>
        <v/>
      </c>
      <c r="H10" s="7">
        <f>IF(A10="","",MAX(0,Model!$B$6-G10))</f>
        <v/>
      </c>
      <c r="I10" s="7">
        <f>IF(A10="","",H10/(1-Model!$B$9))</f>
        <v/>
      </c>
      <c r="J10" s="7">
        <f>IF(A10="","",C10-D10)</f>
        <v/>
      </c>
      <c r="K10">
        <f>IF(A10="","",C10&gt;=D10)</f>
        <v/>
      </c>
      <c r="L10" s="7">
        <f>IF(A10="","",IF(A10&gt;=Model!$B$11,Model!$B$19*(1+Model!$B$13)^B10,0))</f>
        <v/>
      </c>
      <c r="M10" s="7">
        <f>IF(A10="","",IF(Model!$B$15&gt;0,Model!$B$21*(1+Model!$B$13)^B10,0))</f>
        <v/>
      </c>
    </row>
    <row r="11">
      <c r="A11">
        <f>IF(Model!$B$10+ROW()-2&lt;=Model!$B$4,Model!$B$10+ROW()-2,"")</f>
        <v/>
      </c>
      <c r="B11">
        <f>IF(A11="","",A11-Model!$B$10)</f>
        <v/>
      </c>
      <c r="C11" s="7">
        <f>IF(A11="","",Model!$B$5*(1+Model!$B$18)^B11)</f>
        <v/>
      </c>
      <c r="D11" s="7">
        <f>IF(A11="","",SUMPRODUCT(($A$2:$A$122&gt;=A11)*($A$2:$A$122&lt;&gt;"")*((Model!$B$6-IF($A$2:$A$122&gt;=Model!$B$11,Model!$B$20,0)-IF(($A$2:$A$122&gt;=A11)*($A$2:$A$122&lt;A11+Model!$B$15),Model!$B$22,0))&gt;0)*(Model!$B$6-IF($A$2:$A$122&gt;=Model!$B$11,Model!$B$20,0)-IF(($A$2:$A$122&gt;=A11)*($A$2:$A$122&lt;A11+Model!$B$15),Model!$B$22,0))/(1-Model!$B$9)/(1+Model!$B$18)^($A$2:$A$122-A11)))</f>
        <v/>
      </c>
      <c r="E11" s="7">
        <f>IF(A11="","",IF(A11&gt;=Model!$B$11,Model!$B$20,0))</f>
        <v/>
      </c>
      <c r="F11" s="7">
        <f>IF(A11="","",IF(Model!$B$15&gt;0,Model!$B$22,0))</f>
        <v/>
      </c>
      <c r="G11" s="7">
        <f>IF(A11="","",E11+F11)</f>
        <v/>
      </c>
      <c r="H11" s="7">
        <f>IF(A11="","",MAX(0,Model!$B$6-G11))</f>
        <v/>
      </c>
      <c r="I11" s="7">
        <f>IF(A11="","",H11/(1-Model!$B$9))</f>
        <v/>
      </c>
      <c r="J11" s="7">
        <f>IF(A11="","",C11-D11)</f>
        <v/>
      </c>
      <c r="K11">
        <f>IF(A11="","",C11&gt;=D11)</f>
        <v/>
      </c>
      <c r="L11" s="7">
        <f>IF(A11="","",IF(A11&gt;=Model!$B$11,Model!$B$19*(1+Model!$B$13)^B11,0))</f>
        <v/>
      </c>
      <c r="M11" s="7">
        <f>IF(A11="","",IF(Model!$B$15&gt;0,Model!$B$21*(1+Model!$B$13)^B11,0))</f>
        <v/>
      </c>
    </row>
    <row r="12">
      <c r="A12">
        <f>IF(Model!$B$10+ROW()-2&lt;=Model!$B$4,Model!$B$10+ROW()-2,"")</f>
        <v/>
      </c>
      <c r="B12">
        <f>IF(A12="","",A12-Model!$B$10)</f>
        <v/>
      </c>
      <c r="C12" s="7">
        <f>IF(A12="","",Model!$B$5*(1+Model!$B$18)^B12)</f>
        <v/>
      </c>
      <c r="D12" s="7">
        <f>IF(A12="","",SUMPRODUCT(($A$2:$A$122&gt;=A12)*($A$2:$A$122&lt;&gt;"")*((Model!$B$6-IF($A$2:$A$122&gt;=Model!$B$11,Model!$B$20,0)-IF(($A$2:$A$122&gt;=A12)*($A$2:$A$122&lt;A12+Model!$B$15),Model!$B$22,0))&gt;0)*(Model!$B$6-IF($A$2:$A$122&gt;=Model!$B$11,Model!$B$20,0)-IF(($A$2:$A$122&gt;=A12)*($A$2:$A$122&lt;A12+Model!$B$15),Model!$B$22,0))/(1-Model!$B$9)/(1+Model!$B$18)^($A$2:$A$122-A12)))</f>
        <v/>
      </c>
      <c r="E12" s="7">
        <f>IF(A12="","",IF(A12&gt;=Model!$B$11,Model!$B$20,0))</f>
        <v/>
      </c>
      <c r="F12" s="7">
        <f>IF(A12="","",IF(Model!$B$15&gt;0,Model!$B$22,0))</f>
        <v/>
      </c>
      <c r="G12" s="7">
        <f>IF(A12="","",E12+F12)</f>
        <v/>
      </c>
      <c r="H12" s="7">
        <f>IF(A12="","",MAX(0,Model!$B$6-G12))</f>
        <v/>
      </c>
      <c r="I12" s="7">
        <f>IF(A12="","",H12/(1-Model!$B$9))</f>
        <v/>
      </c>
      <c r="J12" s="7">
        <f>IF(A12="","",C12-D12)</f>
        <v/>
      </c>
      <c r="K12">
        <f>IF(A12="","",C12&gt;=D12)</f>
        <v/>
      </c>
      <c r="L12" s="7">
        <f>IF(A12="","",IF(A12&gt;=Model!$B$11,Model!$B$19*(1+Model!$B$13)^B12,0))</f>
        <v/>
      </c>
      <c r="M12" s="7">
        <f>IF(A12="","",IF(Model!$B$15&gt;0,Model!$B$21*(1+Model!$B$13)^B12,0))</f>
        <v/>
      </c>
    </row>
    <row r="13">
      <c r="A13">
        <f>IF(Model!$B$10+ROW()-2&lt;=Model!$B$4,Model!$B$10+ROW()-2,"")</f>
        <v/>
      </c>
      <c r="B13">
        <f>IF(A13="","",A13-Model!$B$10)</f>
        <v/>
      </c>
      <c r="C13" s="7">
        <f>IF(A13="","",Model!$B$5*(1+Model!$B$18)^B13)</f>
        <v/>
      </c>
      <c r="D13" s="7">
        <f>IF(A13="","",SUMPRODUCT(($A$2:$A$122&gt;=A13)*($A$2:$A$122&lt;&gt;"")*((Model!$B$6-IF($A$2:$A$122&gt;=Model!$B$11,Model!$B$20,0)-IF(($A$2:$A$122&gt;=A13)*($A$2:$A$122&lt;A13+Model!$B$15),Model!$B$22,0))&gt;0)*(Model!$B$6-IF($A$2:$A$122&gt;=Model!$B$11,Model!$B$20,0)-IF(($A$2:$A$122&gt;=A13)*($A$2:$A$122&lt;A13+Model!$B$15),Model!$B$22,0))/(1-Model!$B$9)/(1+Model!$B$18)^($A$2:$A$122-A13)))</f>
        <v/>
      </c>
      <c r="E13" s="7">
        <f>IF(A13="","",IF(A13&gt;=Model!$B$11,Model!$B$20,0))</f>
        <v/>
      </c>
      <c r="F13" s="7">
        <f>IF(A13="","",IF(Model!$B$15&gt;0,Model!$B$22,0))</f>
        <v/>
      </c>
      <c r="G13" s="7">
        <f>IF(A13="","",E13+F13)</f>
        <v/>
      </c>
      <c r="H13" s="7">
        <f>IF(A13="","",MAX(0,Model!$B$6-G13))</f>
        <v/>
      </c>
      <c r="I13" s="7">
        <f>IF(A13="","",H13/(1-Model!$B$9))</f>
        <v/>
      </c>
      <c r="J13" s="7">
        <f>IF(A13="","",C13-D13)</f>
        <v/>
      </c>
      <c r="K13">
        <f>IF(A13="","",C13&gt;=D13)</f>
        <v/>
      </c>
      <c r="L13" s="7">
        <f>IF(A13="","",IF(A13&gt;=Model!$B$11,Model!$B$19*(1+Model!$B$13)^B13,0))</f>
        <v/>
      </c>
      <c r="M13" s="7">
        <f>IF(A13="","",IF(Model!$B$15&gt;0,Model!$B$21*(1+Model!$B$13)^B13,0))</f>
        <v/>
      </c>
    </row>
    <row r="14">
      <c r="A14">
        <f>IF(Model!$B$10+ROW()-2&lt;=Model!$B$4,Model!$B$10+ROW()-2,"")</f>
        <v/>
      </c>
      <c r="B14">
        <f>IF(A14="","",A14-Model!$B$10)</f>
        <v/>
      </c>
      <c r="C14" s="7">
        <f>IF(A14="","",Model!$B$5*(1+Model!$B$18)^B14)</f>
        <v/>
      </c>
      <c r="D14" s="7">
        <f>IF(A14="","",SUMPRODUCT(($A$2:$A$122&gt;=A14)*($A$2:$A$122&lt;&gt;"")*((Model!$B$6-IF($A$2:$A$122&gt;=Model!$B$11,Model!$B$20,0)-IF(($A$2:$A$122&gt;=A14)*($A$2:$A$122&lt;A14+Model!$B$15),Model!$B$22,0))&gt;0)*(Model!$B$6-IF($A$2:$A$122&gt;=Model!$B$11,Model!$B$20,0)-IF(($A$2:$A$122&gt;=A14)*($A$2:$A$122&lt;A14+Model!$B$15),Model!$B$22,0))/(1-Model!$B$9)/(1+Model!$B$18)^($A$2:$A$122-A14)))</f>
        <v/>
      </c>
      <c r="E14" s="7">
        <f>IF(A14="","",IF(A14&gt;=Model!$B$11,Model!$B$20,0))</f>
        <v/>
      </c>
      <c r="F14" s="7">
        <f>IF(A14="","",IF(Model!$B$15&gt;0,Model!$B$22,0))</f>
        <v/>
      </c>
      <c r="G14" s="7">
        <f>IF(A14="","",E14+F14)</f>
        <v/>
      </c>
      <c r="H14" s="7">
        <f>IF(A14="","",MAX(0,Model!$B$6-G14))</f>
        <v/>
      </c>
      <c r="I14" s="7">
        <f>IF(A14="","",H14/(1-Model!$B$9))</f>
        <v/>
      </c>
      <c r="J14" s="7">
        <f>IF(A14="","",C14-D14)</f>
        <v/>
      </c>
      <c r="K14">
        <f>IF(A14="","",C14&gt;=D14)</f>
        <v/>
      </c>
      <c r="L14" s="7">
        <f>IF(A14="","",IF(A14&gt;=Model!$B$11,Model!$B$19*(1+Model!$B$13)^B14,0))</f>
        <v/>
      </c>
      <c r="M14" s="7">
        <f>IF(A14="","",IF(Model!$B$15&gt;0,Model!$B$21*(1+Model!$B$13)^B14,0))</f>
        <v/>
      </c>
    </row>
    <row r="15">
      <c r="A15">
        <f>IF(Model!$B$10+ROW()-2&lt;=Model!$B$4,Model!$B$10+ROW()-2,"")</f>
        <v/>
      </c>
      <c r="B15">
        <f>IF(A15="","",A15-Model!$B$10)</f>
        <v/>
      </c>
      <c r="C15" s="7">
        <f>IF(A15="","",Model!$B$5*(1+Model!$B$18)^B15)</f>
        <v/>
      </c>
      <c r="D15" s="7">
        <f>IF(A15="","",SUMPRODUCT(($A$2:$A$122&gt;=A15)*($A$2:$A$122&lt;&gt;"")*((Model!$B$6-IF($A$2:$A$122&gt;=Model!$B$11,Model!$B$20,0)-IF(($A$2:$A$122&gt;=A15)*($A$2:$A$122&lt;A15+Model!$B$15),Model!$B$22,0))&gt;0)*(Model!$B$6-IF($A$2:$A$122&gt;=Model!$B$11,Model!$B$20,0)-IF(($A$2:$A$122&gt;=A15)*($A$2:$A$122&lt;A15+Model!$B$15),Model!$B$22,0))/(1-Model!$B$9)/(1+Model!$B$18)^($A$2:$A$122-A15)))</f>
        <v/>
      </c>
      <c r="E15" s="7">
        <f>IF(A15="","",IF(A15&gt;=Model!$B$11,Model!$B$20,0))</f>
        <v/>
      </c>
      <c r="F15" s="7">
        <f>IF(A15="","",IF(Model!$B$15&gt;0,Model!$B$22,0))</f>
        <v/>
      </c>
      <c r="G15" s="7">
        <f>IF(A15="","",E15+F15)</f>
        <v/>
      </c>
      <c r="H15" s="7">
        <f>IF(A15="","",MAX(0,Model!$B$6-G15))</f>
        <v/>
      </c>
      <c r="I15" s="7">
        <f>IF(A15="","",H15/(1-Model!$B$9))</f>
        <v/>
      </c>
      <c r="J15" s="7">
        <f>IF(A15="","",C15-D15)</f>
        <v/>
      </c>
      <c r="K15">
        <f>IF(A15="","",C15&gt;=D15)</f>
        <v/>
      </c>
      <c r="L15" s="7">
        <f>IF(A15="","",IF(A15&gt;=Model!$B$11,Model!$B$19*(1+Model!$B$13)^B15,0))</f>
        <v/>
      </c>
      <c r="M15" s="7">
        <f>IF(A15="","",IF(Model!$B$15&gt;0,Model!$B$21*(1+Model!$B$13)^B15,0))</f>
        <v/>
      </c>
    </row>
    <row r="16">
      <c r="A16">
        <f>IF(Model!$B$10+ROW()-2&lt;=Model!$B$4,Model!$B$10+ROW()-2,"")</f>
        <v/>
      </c>
      <c r="B16">
        <f>IF(A16="","",A16-Model!$B$10)</f>
        <v/>
      </c>
      <c r="C16" s="7">
        <f>IF(A16="","",Model!$B$5*(1+Model!$B$18)^B16)</f>
        <v/>
      </c>
      <c r="D16" s="7">
        <f>IF(A16="","",SUMPRODUCT(($A$2:$A$122&gt;=A16)*($A$2:$A$122&lt;&gt;"")*((Model!$B$6-IF($A$2:$A$122&gt;=Model!$B$11,Model!$B$20,0)-IF(($A$2:$A$122&gt;=A16)*($A$2:$A$122&lt;A16+Model!$B$15),Model!$B$22,0))&gt;0)*(Model!$B$6-IF($A$2:$A$122&gt;=Model!$B$11,Model!$B$20,0)-IF(($A$2:$A$122&gt;=A16)*($A$2:$A$122&lt;A16+Model!$B$15),Model!$B$22,0))/(1-Model!$B$9)/(1+Model!$B$18)^($A$2:$A$122-A16)))</f>
        <v/>
      </c>
      <c r="E16" s="7">
        <f>IF(A16="","",IF(A16&gt;=Model!$B$11,Model!$B$20,0))</f>
        <v/>
      </c>
      <c r="F16" s="7">
        <f>IF(A16="","",IF(Model!$B$15&gt;0,Model!$B$22,0))</f>
        <v/>
      </c>
      <c r="G16" s="7">
        <f>IF(A16="","",E16+F16)</f>
        <v/>
      </c>
      <c r="H16" s="7">
        <f>IF(A16="","",MAX(0,Model!$B$6-G16))</f>
        <v/>
      </c>
      <c r="I16" s="7">
        <f>IF(A16="","",H16/(1-Model!$B$9))</f>
        <v/>
      </c>
      <c r="J16" s="7">
        <f>IF(A16="","",C16-D16)</f>
        <v/>
      </c>
      <c r="K16">
        <f>IF(A16="","",C16&gt;=D16)</f>
        <v/>
      </c>
      <c r="L16" s="7">
        <f>IF(A16="","",IF(A16&gt;=Model!$B$11,Model!$B$19*(1+Model!$B$13)^B16,0))</f>
        <v/>
      </c>
      <c r="M16" s="7">
        <f>IF(A16="","",IF(Model!$B$15&gt;0,Model!$B$21*(1+Model!$B$13)^B16,0))</f>
        <v/>
      </c>
    </row>
    <row r="17">
      <c r="A17">
        <f>IF(Model!$B$10+ROW()-2&lt;=Model!$B$4,Model!$B$10+ROW()-2,"")</f>
        <v/>
      </c>
      <c r="B17">
        <f>IF(A17="","",A17-Model!$B$10)</f>
        <v/>
      </c>
      <c r="C17" s="7">
        <f>IF(A17="","",Model!$B$5*(1+Model!$B$18)^B17)</f>
        <v/>
      </c>
      <c r="D17" s="7">
        <f>IF(A17="","",SUMPRODUCT(($A$2:$A$122&gt;=A17)*($A$2:$A$122&lt;&gt;"")*((Model!$B$6-IF($A$2:$A$122&gt;=Model!$B$11,Model!$B$20,0)-IF(($A$2:$A$122&gt;=A17)*($A$2:$A$122&lt;A17+Model!$B$15),Model!$B$22,0))&gt;0)*(Model!$B$6-IF($A$2:$A$122&gt;=Model!$B$11,Model!$B$20,0)-IF(($A$2:$A$122&gt;=A17)*($A$2:$A$122&lt;A17+Model!$B$15),Model!$B$22,0))/(1-Model!$B$9)/(1+Model!$B$18)^($A$2:$A$122-A17)))</f>
        <v/>
      </c>
      <c r="E17" s="7">
        <f>IF(A17="","",IF(A17&gt;=Model!$B$11,Model!$B$20,0))</f>
        <v/>
      </c>
      <c r="F17" s="7">
        <f>IF(A17="","",IF(Model!$B$15&gt;0,Model!$B$22,0))</f>
        <v/>
      </c>
      <c r="G17" s="7">
        <f>IF(A17="","",E17+F17)</f>
        <v/>
      </c>
      <c r="H17" s="7">
        <f>IF(A17="","",MAX(0,Model!$B$6-G17))</f>
        <v/>
      </c>
      <c r="I17" s="7">
        <f>IF(A17="","",H17/(1-Model!$B$9))</f>
        <v/>
      </c>
      <c r="J17" s="7">
        <f>IF(A17="","",C17-D17)</f>
        <v/>
      </c>
      <c r="K17">
        <f>IF(A17="","",C17&gt;=D17)</f>
        <v/>
      </c>
      <c r="L17" s="7">
        <f>IF(A17="","",IF(A17&gt;=Model!$B$11,Model!$B$19*(1+Model!$B$13)^B17,0))</f>
        <v/>
      </c>
      <c r="M17" s="7">
        <f>IF(A17="","",IF(Model!$B$15&gt;0,Model!$B$21*(1+Model!$B$13)^B17,0))</f>
        <v/>
      </c>
    </row>
    <row r="18">
      <c r="A18">
        <f>IF(Model!$B$10+ROW()-2&lt;=Model!$B$4,Model!$B$10+ROW()-2,"")</f>
        <v/>
      </c>
      <c r="B18">
        <f>IF(A18="","",A18-Model!$B$10)</f>
        <v/>
      </c>
      <c r="C18" s="7">
        <f>IF(A18="","",Model!$B$5*(1+Model!$B$18)^B18)</f>
        <v/>
      </c>
      <c r="D18" s="7">
        <f>IF(A18="","",SUMPRODUCT(($A$2:$A$122&gt;=A18)*($A$2:$A$122&lt;&gt;"")*((Model!$B$6-IF($A$2:$A$122&gt;=Model!$B$11,Model!$B$20,0)-IF(($A$2:$A$122&gt;=A18)*($A$2:$A$122&lt;A18+Model!$B$15),Model!$B$22,0))&gt;0)*(Model!$B$6-IF($A$2:$A$122&gt;=Model!$B$11,Model!$B$20,0)-IF(($A$2:$A$122&gt;=A18)*($A$2:$A$122&lt;A18+Model!$B$15),Model!$B$22,0))/(1-Model!$B$9)/(1+Model!$B$18)^($A$2:$A$122-A18)))</f>
        <v/>
      </c>
      <c r="E18" s="7">
        <f>IF(A18="","",IF(A18&gt;=Model!$B$11,Model!$B$20,0))</f>
        <v/>
      </c>
      <c r="F18" s="7">
        <f>IF(A18="","",IF(Model!$B$15&gt;0,Model!$B$22,0))</f>
        <v/>
      </c>
      <c r="G18" s="7">
        <f>IF(A18="","",E18+F18)</f>
        <v/>
      </c>
      <c r="H18" s="7">
        <f>IF(A18="","",MAX(0,Model!$B$6-G18))</f>
        <v/>
      </c>
      <c r="I18" s="7">
        <f>IF(A18="","",H18/(1-Model!$B$9))</f>
        <v/>
      </c>
      <c r="J18" s="7">
        <f>IF(A18="","",C18-D18)</f>
        <v/>
      </c>
      <c r="K18">
        <f>IF(A18="","",C18&gt;=D18)</f>
        <v/>
      </c>
      <c r="L18" s="7">
        <f>IF(A18="","",IF(A18&gt;=Model!$B$11,Model!$B$19*(1+Model!$B$13)^B18,0))</f>
        <v/>
      </c>
      <c r="M18" s="7">
        <f>IF(A18="","",IF(Model!$B$15&gt;0,Model!$B$21*(1+Model!$B$13)^B18,0))</f>
        <v/>
      </c>
    </row>
    <row r="19">
      <c r="A19">
        <f>IF(Model!$B$10+ROW()-2&lt;=Model!$B$4,Model!$B$10+ROW()-2,"")</f>
        <v/>
      </c>
      <c r="B19">
        <f>IF(A19="","",A19-Model!$B$10)</f>
        <v/>
      </c>
      <c r="C19" s="7">
        <f>IF(A19="","",Model!$B$5*(1+Model!$B$18)^B19)</f>
        <v/>
      </c>
      <c r="D19" s="7">
        <f>IF(A19="","",SUMPRODUCT(($A$2:$A$122&gt;=A19)*($A$2:$A$122&lt;&gt;"")*((Model!$B$6-IF($A$2:$A$122&gt;=Model!$B$11,Model!$B$20,0)-IF(($A$2:$A$122&gt;=A19)*($A$2:$A$122&lt;A19+Model!$B$15),Model!$B$22,0))&gt;0)*(Model!$B$6-IF($A$2:$A$122&gt;=Model!$B$11,Model!$B$20,0)-IF(($A$2:$A$122&gt;=A19)*($A$2:$A$122&lt;A19+Model!$B$15),Model!$B$22,0))/(1-Model!$B$9)/(1+Model!$B$18)^($A$2:$A$122-A19)))</f>
        <v/>
      </c>
      <c r="E19" s="7">
        <f>IF(A19="","",IF(A19&gt;=Model!$B$11,Model!$B$20,0))</f>
        <v/>
      </c>
      <c r="F19" s="7">
        <f>IF(A19="","",IF(Model!$B$15&gt;0,Model!$B$22,0))</f>
        <v/>
      </c>
      <c r="G19" s="7">
        <f>IF(A19="","",E19+F19)</f>
        <v/>
      </c>
      <c r="H19" s="7">
        <f>IF(A19="","",MAX(0,Model!$B$6-G19))</f>
        <v/>
      </c>
      <c r="I19" s="7">
        <f>IF(A19="","",H19/(1-Model!$B$9))</f>
        <v/>
      </c>
      <c r="J19" s="7">
        <f>IF(A19="","",C19-D19)</f>
        <v/>
      </c>
      <c r="K19">
        <f>IF(A19="","",C19&gt;=D19)</f>
        <v/>
      </c>
      <c r="L19" s="7">
        <f>IF(A19="","",IF(A19&gt;=Model!$B$11,Model!$B$19*(1+Model!$B$13)^B19,0))</f>
        <v/>
      </c>
      <c r="M19" s="7">
        <f>IF(A19="","",IF(Model!$B$15&gt;0,Model!$B$21*(1+Model!$B$13)^B19,0))</f>
        <v/>
      </c>
    </row>
    <row r="20">
      <c r="A20">
        <f>IF(Model!$B$10+ROW()-2&lt;=Model!$B$4,Model!$B$10+ROW()-2,"")</f>
        <v/>
      </c>
      <c r="B20">
        <f>IF(A20="","",A20-Model!$B$10)</f>
        <v/>
      </c>
      <c r="C20" s="7">
        <f>IF(A20="","",Model!$B$5*(1+Model!$B$18)^B20)</f>
        <v/>
      </c>
      <c r="D20" s="7">
        <f>IF(A20="","",SUMPRODUCT(($A$2:$A$122&gt;=A20)*($A$2:$A$122&lt;&gt;"")*((Model!$B$6-IF($A$2:$A$122&gt;=Model!$B$11,Model!$B$20,0)-IF(($A$2:$A$122&gt;=A20)*($A$2:$A$122&lt;A20+Model!$B$15),Model!$B$22,0))&gt;0)*(Model!$B$6-IF($A$2:$A$122&gt;=Model!$B$11,Model!$B$20,0)-IF(($A$2:$A$122&gt;=A20)*($A$2:$A$122&lt;A20+Model!$B$15),Model!$B$22,0))/(1-Model!$B$9)/(1+Model!$B$18)^($A$2:$A$122-A20)))</f>
        <v/>
      </c>
      <c r="E20" s="7">
        <f>IF(A20="","",IF(A20&gt;=Model!$B$11,Model!$B$20,0))</f>
        <v/>
      </c>
      <c r="F20" s="7">
        <f>IF(A20="","",IF(Model!$B$15&gt;0,Model!$B$22,0))</f>
        <v/>
      </c>
      <c r="G20" s="7">
        <f>IF(A20="","",E20+F20)</f>
        <v/>
      </c>
      <c r="H20" s="7">
        <f>IF(A20="","",MAX(0,Model!$B$6-G20))</f>
        <v/>
      </c>
      <c r="I20" s="7">
        <f>IF(A20="","",H20/(1-Model!$B$9))</f>
        <v/>
      </c>
      <c r="J20" s="7">
        <f>IF(A20="","",C20-D20)</f>
        <v/>
      </c>
      <c r="K20">
        <f>IF(A20="","",C20&gt;=D20)</f>
        <v/>
      </c>
      <c r="L20" s="7">
        <f>IF(A20="","",IF(A20&gt;=Model!$B$11,Model!$B$19*(1+Model!$B$13)^B20,0))</f>
        <v/>
      </c>
      <c r="M20" s="7">
        <f>IF(A20="","",IF(Model!$B$15&gt;0,Model!$B$21*(1+Model!$B$13)^B20,0))</f>
        <v/>
      </c>
    </row>
    <row r="21">
      <c r="A21">
        <f>IF(Model!$B$10+ROW()-2&lt;=Model!$B$4,Model!$B$10+ROW()-2,"")</f>
        <v/>
      </c>
      <c r="B21">
        <f>IF(A21="","",A21-Model!$B$10)</f>
        <v/>
      </c>
      <c r="C21" s="7">
        <f>IF(A21="","",Model!$B$5*(1+Model!$B$18)^B21)</f>
        <v/>
      </c>
      <c r="D21" s="7">
        <f>IF(A21="","",SUMPRODUCT(($A$2:$A$122&gt;=A21)*($A$2:$A$122&lt;&gt;"")*((Model!$B$6-IF($A$2:$A$122&gt;=Model!$B$11,Model!$B$20,0)-IF(($A$2:$A$122&gt;=A21)*($A$2:$A$122&lt;A21+Model!$B$15),Model!$B$22,0))&gt;0)*(Model!$B$6-IF($A$2:$A$122&gt;=Model!$B$11,Model!$B$20,0)-IF(($A$2:$A$122&gt;=A21)*($A$2:$A$122&lt;A21+Model!$B$15),Model!$B$22,0))/(1-Model!$B$9)/(1+Model!$B$18)^($A$2:$A$122-A21)))</f>
        <v/>
      </c>
      <c r="E21" s="7">
        <f>IF(A21="","",IF(A21&gt;=Model!$B$11,Model!$B$20,0))</f>
        <v/>
      </c>
      <c r="F21" s="7">
        <f>IF(A21="","",IF(Model!$B$15&gt;0,Model!$B$22,0))</f>
        <v/>
      </c>
      <c r="G21" s="7">
        <f>IF(A21="","",E21+F21)</f>
        <v/>
      </c>
      <c r="H21" s="7">
        <f>IF(A21="","",MAX(0,Model!$B$6-G21))</f>
        <v/>
      </c>
      <c r="I21" s="7">
        <f>IF(A21="","",H21/(1-Model!$B$9))</f>
        <v/>
      </c>
      <c r="J21" s="7">
        <f>IF(A21="","",C21-D21)</f>
        <v/>
      </c>
      <c r="K21">
        <f>IF(A21="","",C21&gt;=D21)</f>
        <v/>
      </c>
      <c r="L21" s="7">
        <f>IF(A21="","",IF(A21&gt;=Model!$B$11,Model!$B$19*(1+Model!$B$13)^B21,0))</f>
        <v/>
      </c>
      <c r="M21" s="7">
        <f>IF(A21="","",IF(Model!$B$15&gt;0,Model!$B$21*(1+Model!$B$13)^B21,0))</f>
        <v/>
      </c>
    </row>
    <row r="22">
      <c r="A22">
        <f>IF(Model!$B$10+ROW()-2&lt;=Model!$B$4,Model!$B$10+ROW()-2,"")</f>
        <v/>
      </c>
      <c r="B22">
        <f>IF(A22="","",A22-Model!$B$10)</f>
        <v/>
      </c>
      <c r="C22" s="7">
        <f>IF(A22="","",Model!$B$5*(1+Model!$B$18)^B22)</f>
        <v/>
      </c>
      <c r="D22" s="7">
        <f>IF(A22="","",SUMPRODUCT(($A$2:$A$122&gt;=A22)*($A$2:$A$122&lt;&gt;"")*((Model!$B$6-IF($A$2:$A$122&gt;=Model!$B$11,Model!$B$20,0)-IF(($A$2:$A$122&gt;=A22)*($A$2:$A$122&lt;A22+Model!$B$15),Model!$B$22,0))&gt;0)*(Model!$B$6-IF($A$2:$A$122&gt;=Model!$B$11,Model!$B$20,0)-IF(($A$2:$A$122&gt;=A22)*($A$2:$A$122&lt;A22+Model!$B$15),Model!$B$22,0))/(1-Model!$B$9)/(1+Model!$B$18)^($A$2:$A$122-A22)))</f>
        <v/>
      </c>
      <c r="E22" s="7">
        <f>IF(A22="","",IF(A22&gt;=Model!$B$11,Model!$B$20,0))</f>
        <v/>
      </c>
      <c r="F22" s="7">
        <f>IF(A22="","",IF(Model!$B$15&gt;0,Model!$B$22,0))</f>
        <v/>
      </c>
      <c r="G22" s="7">
        <f>IF(A22="","",E22+F22)</f>
        <v/>
      </c>
      <c r="H22" s="7">
        <f>IF(A22="","",MAX(0,Model!$B$6-G22))</f>
        <v/>
      </c>
      <c r="I22" s="7">
        <f>IF(A22="","",H22/(1-Model!$B$9))</f>
        <v/>
      </c>
      <c r="J22" s="7">
        <f>IF(A22="","",C22-D22)</f>
        <v/>
      </c>
      <c r="K22">
        <f>IF(A22="","",C22&gt;=D22)</f>
        <v/>
      </c>
      <c r="L22" s="7">
        <f>IF(A22="","",IF(A22&gt;=Model!$B$11,Model!$B$19*(1+Model!$B$13)^B22,0))</f>
        <v/>
      </c>
      <c r="M22" s="7">
        <f>IF(A22="","",IF(Model!$B$15&gt;0,Model!$B$21*(1+Model!$B$13)^B22,0))</f>
        <v/>
      </c>
    </row>
    <row r="23">
      <c r="A23">
        <f>IF(Model!$B$10+ROW()-2&lt;=Model!$B$4,Model!$B$10+ROW()-2,"")</f>
        <v/>
      </c>
      <c r="B23">
        <f>IF(A23="","",A23-Model!$B$10)</f>
        <v/>
      </c>
      <c r="C23" s="7">
        <f>IF(A23="","",Model!$B$5*(1+Model!$B$18)^B23)</f>
        <v/>
      </c>
      <c r="D23" s="7">
        <f>IF(A23="","",SUMPRODUCT(($A$2:$A$122&gt;=A23)*($A$2:$A$122&lt;&gt;"")*((Model!$B$6-IF($A$2:$A$122&gt;=Model!$B$11,Model!$B$20,0)-IF(($A$2:$A$122&gt;=A23)*($A$2:$A$122&lt;A23+Model!$B$15),Model!$B$22,0))&gt;0)*(Model!$B$6-IF($A$2:$A$122&gt;=Model!$B$11,Model!$B$20,0)-IF(($A$2:$A$122&gt;=A23)*($A$2:$A$122&lt;A23+Model!$B$15),Model!$B$22,0))/(1-Model!$B$9)/(1+Model!$B$18)^($A$2:$A$122-A23)))</f>
        <v/>
      </c>
      <c r="E23" s="7">
        <f>IF(A23="","",IF(A23&gt;=Model!$B$11,Model!$B$20,0))</f>
        <v/>
      </c>
      <c r="F23" s="7">
        <f>IF(A23="","",IF(Model!$B$15&gt;0,Model!$B$22,0))</f>
        <v/>
      </c>
      <c r="G23" s="7">
        <f>IF(A23="","",E23+F23)</f>
        <v/>
      </c>
      <c r="H23" s="7">
        <f>IF(A23="","",MAX(0,Model!$B$6-G23))</f>
        <v/>
      </c>
      <c r="I23" s="7">
        <f>IF(A23="","",H23/(1-Model!$B$9))</f>
        <v/>
      </c>
      <c r="J23" s="7">
        <f>IF(A23="","",C23-D23)</f>
        <v/>
      </c>
      <c r="K23">
        <f>IF(A23="","",C23&gt;=D23)</f>
        <v/>
      </c>
      <c r="L23" s="7">
        <f>IF(A23="","",IF(A23&gt;=Model!$B$11,Model!$B$19*(1+Model!$B$13)^B23,0))</f>
        <v/>
      </c>
      <c r="M23" s="7">
        <f>IF(A23="","",IF(Model!$B$15&gt;0,Model!$B$21*(1+Model!$B$13)^B23,0))</f>
        <v/>
      </c>
    </row>
    <row r="24">
      <c r="A24">
        <f>IF(Model!$B$10+ROW()-2&lt;=Model!$B$4,Model!$B$10+ROW()-2,"")</f>
        <v/>
      </c>
      <c r="B24">
        <f>IF(A24="","",A24-Model!$B$10)</f>
        <v/>
      </c>
      <c r="C24" s="7">
        <f>IF(A24="","",Model!$B$5*(1+Model!$B$18)^B24)</f>
        <v/>
      </c>
      <c r="D24" s="7">
        <f>IF(A24="","",SUMPRODUCT(($A$2:$A$122&gt;=A24)*($A$2:$A$122&lt;&gt;"")*((Model!$B$6-IF($A$2:$A$122&gt;=Model!$B$11,Model!$B$20,0)-IF(($A$2:$A$122&gt;=A24)*($A$2:$A$122&lt;A24+Model!$B$15),Model!$B$22,0))&gt;0)*(Model!$B$6-IF($A$2:$A$122&gt;=Model!$B$11,Model!$B$20,0)-IF(($A$2:$A$122&gt;=A24)*($A$2:$A$122&lt;A24+Model!$B$15),Model!$B$22,0))/(1-Model!$B$9)/(1+Model!$B$18)^($A$2:$A$122-A24)))</f>
        <v/>
      </c>
      <c r="E24" s="7">
        <f>IF(A24="","",IF(A24&gt;=Model!$B$11,Model!$B$20,0))</f>
        <v/>
      </c>
      <c r="F24" s="7">
        <f>IF(A24="","",IF(Model!$B$15&gt;0,Model!$B$22,0))</f>
        <v/>
      </c>
      <c r="G24" s="7">
        <f>IF(A24="","",E24+F24)</f>
        <v/>
      </c>
      <c r="H24" s="7">
        <f>IF(A24="","",MAX(0,Model!$B$6-G24))</f>
        <v/>
      </c>
      <c r="I24" s="7">
        <f>IF(A24="","",H24/(1-Model!$B$9))</f>
        <v/>
      </c>
      <c r="J24" s="7">
        <f>IF(A24="","",C24-D24)</f>
        <v/>
      </c>
      <c r="K24">
        <f>IF(A24="","",C24&gt;=D24)</f>
        <v/>
      </c>
      <c r="L24" s="7">
        <f>IF(A24="","",IF(A24&gt;=Model!$B$11,Model!$B$19*(1+Model!$B$13)^B24,0))</f>
        <v/>
      </c>
      <c r="M24" s="7">
        <f>IF(A24="","",IF(Model!$B$15&gt;0,Model!$B$21*(1+Model!$B$13)^B24,0))</f>
        <v/>
      </c>
    </row>
    <row r="25">
      <c r="A25">
        <f>IF(Model!$B$10+ROW()-2&lt;=Model!$B$4,Model!$B$10+ROW()-2,"")</f>
        <v/>
      </c>
      <c r="B25">
        <f>IF(A25="","",A25-Model!$B$10)</f>
        <v/>
      </c>
      <c r="C25" s="7">
        <f>IF(A25="","",Model!$B$5*(1+Model!$B$18)^B25)</f>
        <v/>
      </c>
      <c r="D25" s="7">
        <f>IF(A25="","",SUMPRODUCT(($A$2:$A$122&gt;=A25)*($A$2:$A$122&lt;&gt;"")*((Model!$B$6-IF($A$2:$A$122&gt;=Model!$B$11,Model!$B$20,0)-IF(($A$2:$A$122&gt;=A25)*($A$2:$A$122&lt;A25+Model!$B$15),Model!$B$22,0))&gt;0)*(Model!$B$6-IF($A$2:$A$122&gt;=Model!$B$11,Model!$B$20,0)-IF(($A$2:$A$122&gt;=A25)*($A$2:$A$122&lt;A25+Model!$B$15),Model!$B$22,0))/(1-Model!$B$9)/(1+Model!$B$18)^($A$2:$A$122-A25)))</f>
        <v/>
      </c>
      <c r="E25" s="7">
        <f>IF(A25="","",IF(A25&gt;=Model!$B$11,Model!$B$20,0))</f>
        <v/>
      </c>
      <c r="F25" s="7">
        <f>IF(A25="","",IF(Model!$B$15&gt;0,Model!$B$22,0))</f>
        <v/>
      </c>
      <c r="G25" s="7">
        <f>IF(A25="","",E25+F25)</f>
        <v/>
      </c>
      <c r="H25" s="7">
        <f>IF(A25="","",MAX(0,Model!$B$6-G25))</f>
        <v/>
      </c>
      <c r="I25" s="7">
        <f>IF(A25="","",H25/(1-Model!$B$9))</f>
        <v/>
      </c>
      <c r="J25" s="7">
        <f>IF(A25="","",C25-D25)</f>
        <v/>
      </c>
      <c r="K25">
        <f>IF(A25="","",C25&gt;=D25)</f>
        <v/>
      </c>
      <c r="L25" s="7">
        <f>IF(A25="","",IF(A25&gt;=Model!$B$11,Model!$B$19*(1+Model!$B$13)^B25,0))</f>
        <v/>
      </c>
      <c r="M25" s="7">
        <f>IF(A25="","",IF(Model!$B$15&gt;0,Model!$B$21*(1+Model!$B$13)^B25,0))</f>
        <v/>
      </c>
    </row>
    <row r="26">
      <c r="A26">
        <f>IF(Model!$B$10+ROW()-2&lt;=Model!$B$4,Model!$B$10+ROW()-2,"")</f>
        <v/>
      </c>
      <c r="B26">
        <f>IF(A26="","",A26-Model!$B$10)</f>
        <v/>
      </c>
      <c r="C26" s="7">
        <f>IF(A26="","",Model!$B$5*(1+Model!$B$18)^B26)</f>
        <v/>
      </c>
      <c r="D26" s="7">
        <f>IF(A26="","",SUMPRODUCT(($A$2:$A$122&gt;=A26)*($A$2:$A$122&lt;&gt;"")*((Model!$B$6-IF($A$2:$A$122&gt;=Model!$B$11,Model!$B$20,0)-IF(($A$2:$A$122&gt;=A26)*($A$2:$A$122&lt;A26+Model!$B$15),Model!$B$22,0))&gt;0)*(Model!$B$6-IF($A$2:$A$122&gt;=Model!$B$11,Model!$B$20,0)-IF(($A$2:$A$122&gt;=A26)*($A$2:$A$122&lt;A26+Model!$B$15),Model!$B$22,0))/(1-Model!$B$9)/(1+Model!$B$18)^($A$2:$A$122-A26)))</f>
        <v/>
      </c>
      <c r="E26" s="7">
        <f>IF(A26="","",IF(A26&gt;=Model!$B$11,Model!$B$20,0))</f>
        <v/>
      </c>
      <c r="F26" s="7">
        <f>IF(A26="","",IF(Model!$B$15&gt;0,Model!$B$22,0))</f>
        <v/>
      </c>
      <c r="G26" s="7">
        <f>IF(A26="","",E26+F26)</f>
        <v/>
      </c>
      <c r="H26" s="7">
        <f>IF(A26="","",MAX(0,Model!$B$6-G26))</f>
        <v/>
      </c>
      <c r="I26" s="7">
        <f>IF(A26="","",H26/(1-Model!$B$9))</f>
        <v/>
      </c>
      <c r="J26" s="7">
        <f>IF(A26="","",C26-D26)</f>
        <v/>
      </c>
      <c r="K26">
        <f>IF(A26="","",C26&gt;=D26)</f>
        <v/>
      </c>
      <c r="L26" s="7">
        <f>IF(A26="","",IF(A26&gt;=Model!$B$11,Model!$B$19*(1+Model!$B$13)^B26,0))</f>
        <v/>
      </c>
      <c r="M26" s="7">
        <f>IF(A26="","",IF(Model!$B$15&gt;0,Model!$B$21*(1+Model!$B$13)^B26,0))</f>
        <v/>
      </c>
    </row>
    <row r="27">
      <c r="A27">
        <f>IF(Model!$B$10+ROW()-2&lt;=Model!$B$4,Model!$B$10+ROW()-2,"")</f>
        <v/>
      </c>
      <c r="B27">
        <f>IF(A27="","",A27-Model!$B$10)</f>
        <v/>
      </c>
      <c r="C27" s="7">
        <f>IF(A27="","",Model!$B$5*(1+Model!$B$18)^B27)</f>
        <v/>
      </c>
      <c r="D27" s="7">
        <f>IF(A27="","",SUMPRODUCT(($A$2:$A$122&gt;=A27)*($A$2:$A$122&lt;&gt;"")*((Model!$B$6-IF($A$2:$A$122&gt;=Model!$B$11,Model!$B$20,0)-IF(($A$2:$A$122&gt;=A27)*($A$2:$A$122&lt;A27+Model!$B$15),Model!$B$22,0))&gt;0)*(Model!$B$6-IF($A$2:$A$122&gt;=Model!$B$11,Model!$B$20,0)-IF(($A$2:$A$122&gt;=A27)*($A$2:$A$122&lt;A27+Model!$B$15),Model!$B$22,0))/(1-Model!$B$9)/(1+Model!$B$18)^($A$2:$A$122-A27)))</f>
        <v/>
      </c>
      <c r="E27" s="7">
        <f>IF(A27="","",IF(A27&gt;=Model!$B$11,Model!$B$20,0))</f>
        <v/>
      </c>
      <c r="F27" s="7">
        <f>IF(A27="","",IF(Model!$B$15&gt;0,Model!$B$22,0))</f>
        <v/>
      </c>
      <c r="G27" s="7">
        <f>IF(A27="","",E27+F27)</f>
        <v/>
      </c>
      <c r="H27" s="7">
        <f>IF(A27="","",MAX(0,Model!$B$6-G27))</f>
        <v/>
      </c>
      <c r="I27" s="7">
        <f>IF(A27="","",H27/(1-Model!$B$9))</f>
        <v/>
      </c>
      <c r="J27" s="7">
        <f>IF(A27="","",C27-D27)</f>
        <v/>
      </c>
      <c r="K27">
        <f>IF(A27="","",C27&gt;=D27)</f>
        <v/>
      </c>
      <c r="L27" s="7">
        <f>IF(A27="","",IF(A27&gt;=Model!$B$11,Model!$B$19*(1+Model!$B$13)^B27,0))</f>
        <v/>
      </c>
      <c r="M27" s="7">
        <f>IF(A27="","",IF(Model!$B$15&gt;0,Model!$B$21*(1+Model!$B$13)^B27,0))</f>
        <v/>
      </c>
    </row>
    <row r="28">
      <c r="A28">
        <f>IF(Model!$B$10+ROW()-2&lt;=Model!$B$4,Model!$B$10+ROW()-2,"")</f>
        <v/>
      </c>
      <c r="B28">
        <f>IF(A28="","",A28-Model!$B$10)</f>
        <v/>
      </c>
      <c r="C28" s="7">
        <f>IF(A28="","",Model!$B$5*(1+Model!$B$18)^B28)</f>
        <v/>
      </c>
      <c r="D28" s="7">
        <f>IF(A28="","",SUMPRODUCT(($A$2:$A$122&gt;=A28)*($A$2:$A$122&lt;&gt;"")*((Model!$B$6-IF($A$2:$A$122&gt;=Model!$B$11,Model!$B$20,0)-IF(($A$2:$A$122&gt;=A28)*($A$2:$A$122&lt;A28+Model!$B$15),Model!$B$22,0))&gt;0)*(Model!$B$6-IF($A$2:$A$122&gt;=Model!$B$11,Model!$B$20,0)-IF(($A$2:$A$122&gt;=A28)*($A$2:$A$122&lt;A28+Model!$B$15),Model!$B$22,0))/(1-Model!$B$9)/(1+Model!$B$18)^($A$2:$A$122-A28)))</f>
        <v/>
      </c>
      <c r="E28" s="7">
        <f>IF(A28="","",IF(A28&gt;=Model!$B$11,Model!$B$20,0))</f>
        <v/>
      </c>
      <c r="F28" s="7">
        <f>IF(A28="","",IF(Model!$B$15&gt;0,Model!$B$22,0))</f>
        <v/>
      </c>
      <c r="G28" s="7">
        <f>IF(A28="","",E28+F28)</f>
        <v/>
      </c>
      <c r="H28" s="7">
        <f>IF(A28="","",MAX(0,Model!$B$6-G28))</f>
        <v/>
      </c>
      <c r="I28" s="7">
        <f>IF(A28="","",H28/(1-Model!$B$9))</f>
        <v/>
      </c>
      <c r="J28" s="7">
        <f>IF(A28="","",C28-D28)</f>
        <v/>
      </c>
      <c r="K28">
        <f>IF(A28="","",C28&gt;=D28)</f>
        <v/>
      </c>
      <c r="L28" s="7">
        <f>IF(A28="","",IF(A28&gt;=Model!$B$11,Model!$B$19*(1+Model!$B$13)^B28,0))</f>
        <v/>
      </c>
      <c r="M28" s="7">
        <f>IF(A28="","",IF(Model!$B$15&gt;0,Model!$B$21*(1+Model!$B$13)^B28,0))</f>
        <v/>
      </c>
    </row>
    <row r="29">
      <c r="A29">
        <f>IF(Model!$B$10+ROW()-2&lt;=Model!$B$4,Model!$B$10+ROW()-2,"")</f>
        <v/>
      </c>
      <c r="B29">
        <f>IF(A29="","",A29-Model!$B$10)</f>
        <v/>
      </c>
      <c r="C29" s="7">
        <f>IF(A29="","",Model!$B$5*(1+Model!$B$18)^B29)</f>
        <v/>
      </c>
      <c r="D29" s="7">
        <f>IF(A29="","",SUMPRODUCT(($A$2:$A$122&gt;=A29)*($A$2:$A$122&lt;&gt;"")*((Model!$B$6-IF($A$2:$A$122&gt;=Model!$B$11,Model!$B$20,0)-IF(($A$2:$A$122&gt;=A29)*($A$2:$A$122&lt;A29+Model!$B$15),Model!$B$22,0))&gt;0)*(Model!$B$6-IF($A$2:$A$122&gt;=Model!$B$11,Model!$B$20,0)-IF(($A$2:$A$122&gt;=A29)*($A$2:$A$122&lt;A29+Model!$B$15),Model!$B$22,0))/(1-Model!$B$9)/(1+Model!$B$18)^($A$2:$A$122-A29)))</f>
        <v/>
      </c>
      <c r="E29" s="7">
        <f>IF(A29="","",IF(A29&gt;=Model!$B$11,Model!$B$20,0))</f>
        <v/>
      </c>
      <c r="F29" s="7">
        <f>IF(A29="","",IF(Model!$B$15&gt;0,Model!$B$22,0))</f>
        <v/>
      </c>
      <c r="G29" s="7">
        <f>IF(A29="","",E29+F29)</f>
        <v/>
      </c>
      <c r="H29" s="7">
        <f>IF(A29="","",MAX(0,Model!$B$6-G29))</f>
        <v/>
      </c>
      <c r="I29" s="7">
        <f>IF(A29="","",H29/(1-Model!$B$9))</f>
        <v/>
      </c>
      <c r="J29" s="7">
        <f>IF(A29="","",C29-D29)</f>
        <v/>
      </c>
      <c r="K29">
        <f>IF(A29="","",C29&gt;=D29)</f>
        <v/>
      </c>
      <c r="L29" s="7">
        <f>IF(A29="","",IF(A29&gt;=Model!$B$11,Model!$B$19*(1+Model!$B$13)^B29,0))</f>
        <v/>
      </c>
      <c r="M29" s="7">
        <f>IF(A29="","",IF(Model!$B$15&gt;0,Model!$B$21*(1+Model!$B$13)^B29,0))</f>
        <v/>
      </c>
    </row>
    <row r="30">
      <c r="A30">
        <f>IF(Model!$B$10+ROW()-2&lt;=Model!$B$4,Model!$B$10+ROW()-2,"")</f>
        <v/>
      </c>
      <c r="B30">
        <f>IF(A30="","",A30-Model!$B$10)</f>
        <v/>
      </c>
      <c r="C30" s="7">
        <f>IF(A30="","",Model!$B$5*(1+Model!$B$18)^B30)</f>
        <v/>
      </c>
      <c r="D30" s="7">
        <f>IF(A30="","",SUMPRODUCT(($A$2:$A$122&gt;=A30)*($A$2:$A$122&lt;&gt;"")*((Model!$B$6-IF($A$2:$A$122&gt;=Model!$B$11,Model!$B$20,0)-IF(($A$2:$A$122&gt;=A30)*($A$2:$A$122&lt;A30+Model!$B$15),Model!$B$22,0))&gt;0)*(Model!$B$6-IF($A$2:$A$122&gt;=Model!$B$11,Model!$B$20,0)-IF(($A$2:$A$122&gt;=A30)*($A$2:$A$122&lt;A30+Model!$B$15),Model!$B$22,0))/(1-Model!$B$9)/(1+Model!$B$18)^($A$2:$A$122-A30)))</f>
        <v/>
      </c>
      <c r="E30" s="7">
        <f>IF(A30="","",IF(A30&gt;=Model!$B$11,Model!$B$20,0))</f>
        <v/>
      </c>
      <c r="F30" s="7">
        <f>IF(A30="","",IF(Model!$B$15&gt;0,Model!$B$22,0))</f>
        <v/>
      </c>
      <c r="G30" s="7">
        <f>IF(A30="","",E30+F30)</f>
        <v/>
      </c>
      <c r="H30" s="7">
        <f>IF(A30="","",MAX(0,Model!$B$6-G30))</f>
        <v/>
      </c>
      <c r="I30" s="7">
        <f>IF(A30="","",H30/(1-Model!$B$9))</f>
        <v/>
      </c>
      <c r="J30" s="7">
        <f>IF(A30="","",C30-D30)</f>
        <v/>
      </c>
      <c r="K30">
        <f>IF(A30="","",C30&gt;=D30)</f>
        <v/>
      </c>
      <c r="L30" s="7">
        <f>IF(A30="","",IF(A30&gt;=Model!$B$11,Model!$B$19*(1+Model!$B$13)^B30,0))</f>
        <v/>
      </c>
      <c r="M30" s="7">
        <f>IF(A30="","",IF(Model!$B$15&gt;0,Model!$B$21*(1+Model!$B$13)^B30,0))</f>
        <v/>
      </c>
    </row>
    <row r="31">
      <c r="A31">
        <f>IF(Model!$B$10+ROW()-2&lt;=Model!$B$4,Model!$B$10+ROW()-2,"")</f>
        <v/>
      </c>
      <c r="B31">
        <f>IF(A31="","",A31-Model!$B$10)</f>
        <v/>
      </c>
      <c r="C31" s="7">
        <f>IF(A31="","",Model!$B$5*(1+Model!$B$18)^B31)</f>
        <v/>
      </c>
      <c r="D31" s="7">
        <f>IF(A31="","",SUMPRODUCT(($A$2:$A$122&gt;=A31)*($A$2:$A$122&lt;&gt;"")*((Model!$B$6-IF($A$2:$A$122&gt;=Model!$B$11,Model!$B$20,0)-IF(($A$2:$A$122&gt;=A31)*($A$2:$A$122&lt;A31+Model!$B$15),Model!$B$22,0))&gt;0)*(Model!$B$6-IF($A$2:$A$122&gt;=Model!$B$11,Model!$B$20,0)-IF(($A$2:$A$122&gt;=A31)*($A$2:$A$122&lt;A31+Model!$B$15),Model!$B$22,0))/(1-Model!$B$9)/(1+Model!$B$18)^($A$2:$A$122-A31)))</f>
        <v/>
      </c>
      <c r="E31" s="7">
        <f>IF(A31="","",IF(A31&gt;=Model!$B$11,Model!$B$20,0))</f>
        <v/>
      </c>
      <c r="F31" s="7">
        <f>IF(A31="","",IF(Model!$B$15&gt;0,Model!$B$22,0))</f>
        <v/>
      </c>
      <c r="G31" s="7">
        <f>IF(A31="","",E31+F31)</f>
        <v/>
      </c>
      <c r="H31" s="7">
        <f>IF(A31="","",MAX(0,Model!$B$6-G31))</f>
        <v/>
      </c>
      <c r="I31" s="7">
        <f>IF(A31="","",H31/(1-Model!$B$9))</f>
        <v/>
      </c>
      <c r="J31" s="7">
        <f>IF(A31="","",C31-D31)</f>
        <v/>
      </c>
      <c r="K31">
        <f>IF(A31="","",C31&gt;=D31)</f>
        <v/>
      </c>
      <c r="L31" s="7">
        <f>IF(A31="","",IF(A31&gt;=Model!$B$11,Model!$B$19*(1+Model!$B$13)^B31,0))</f>
        <v/>
      </c>
      <c r="M31" s="7">
        <f>IF(A31="","",IF(Model!$B$15&gt;0,Model!$B$21*(1+Model!$B$13)^B31,0))</f>
        <v/>
      </c>
    </row>
    <row r="32">
      <c r="A32">
        <f>IF(Model!$B$10+ROW()-2&lt;=Model!$B$4,Model!$B$10+ROW()-2,"")</f>
        <v/>
      </c>
      <c r="B32">
        <f>IF(A32="","",A32-Model!$B$10)</f>
        <v/>
      </c>
      <c r="C32" s="7">
        <f>IF(A32="","",Model!$B$5*(1+Model!$B$18)^B32)</f>
        <v/>
      </c>
      <c r="D32" s="7">
        <f>IF(A32="","",SUMPRODUCT(($A$2:$A$122&gt;=A32)*($A$2:$A$122&lt;&gt;"")*((Model!$B$6-IF($A$2:$A$122&gt;=Model!$B$11,Model!$B$20,0)-IF(($A$2:$A$122&gt;=A32)*($A$2:$A$122&lt;A32+Model!$B$15),Model!$B$22,0))&gt;0)*(Model!$B$6-IF($A$2:$A$122&gt;=Model!$B$11,Model!$B$20,0)-IF(($A$2:$A$122&gt;=A32)*($A$2:$A$122&lt;A32+Model!$B$15),Model!$B$22,0))/(1-Model!$B$9)/(1+Model!$B$18)^($A$2:$A$122-A32)))</f>
        <v/>
      </c>
      <c r="E32" s="7">
        <f>IF(A32="","",IF(A32&gt;=Model!$B$11,Model!$B$20,0))</f>
        <v/>
      </c>
      <c r="F32" s="7">
        <f>IF(A32="","",IF(Model!$B$15&gt;0,Model!$B$22,0))</f>
        <v/>
      </c>
      <c r="G32" s="7">
        <f>IF(A32="","",E32+F32)</f>
        <v/>
      </c>
      <c r="H32" s="7">
        <f>IF(A32="","",MAX(0,Model!$B$6-G32))</f>
        <v/>
      </c>
      <c r="I32" s="7">
        <f>IF(A32="","",H32/(1-Model!$B$9))</f>
        <v/>
      </c>
      <c r="J32" s="7">
        <f>IF(A32="","",C32-D32)</f>
        <v/>
      </c>
      <c r="K32">
        <f>IF(A32="","",C32&gt;=D32)</f>
        <v/>
      </c>
      <c r="L32" s="7">
        <f>IF(A32="","",IF(A32&gt;=Model!$B$11,Model!$B$19*(1+Model!$B$13)^B32,0))</f>
        <v/>
      </c>
      <c r="M32" s="7">
        <f>IF(A32="","",IF(Model!$B$15&gt;0,Model!$B$21*(1+Model!$B$13)^B32,0))</f>
        <v/>
      </c>
    </row>
    <row r="33">
      <c r="A33">
        <f>IF(Model!$B$10+ROW()-2&lt;=Model!$B$4,Model!$B$10+ROW()-2,"")</f>
        <v/>
      </c>
      <c r="B33">
        <f>IF(A33="","",A33-Model!$B$10)</f>
        <v/>
      </c>
      <c r="C33" s="7">
        <f>IF(A33="","",Model!$B$5*(1+Model!$B$18)^B33)</f>
        <v/>
      </c>
      <c r="D33" s="7">
        <f>IF(A33="","",SUMPRODUCT(($A$2:$A$122&gt;=A33)*($A$2:$A$122&lt;&gt;"")*((Model!$B$6-IF($A$2:$A$122&gt;=Model!$B$11,Model!$B$20,0)-IF(($A$2:$A$122&gt;=A33)*($A$2:$A$122&lt;A33+Model!$B$15),Model!$B$22,0))&gt;0)*(Model!$B$6-IF($A$2:$A$122&gt;=Model!$B$11,Model!$B$20,0)-IF(($A$2:$A$122&gt;=A33)*($A$2:$A$122&lt;A33+Model!$B$15),Model!$B$22,0))/(1-Model!$B$9)/(1+Model!$B$18)^($A$2:$A$122-A33)))</f>
        <v/>
      </c>
      <c r="E33" s="7">
        <f>IF(A33="","",IF(A33&gt;=Model!$B$11,Model!$B$20,0))</f>
        <v/>
      </c>
      <c r="F33" s="7">
        <f>IF(A33="","",IF(Model!$B$15&gt;0,Model!$B$22,0))</f>
        <v/>
      </c>
      <c r="G33" s="7">
        <f>IF(A33="","",E33+F33)</f>
        <v/>
      </c>
      <c r="H33" s="7">
        <f>IF(A33="","",MAX(0,Model!$B$6-G33))</f>
        <v/>
      </c>
      <c r="I33" s="7">
        <f>IF(A33="","",H33/(1-Model!$B$9))</f>
        <v/>
      </c>
      <c r="J33" s="7">
        <f>IF(A33="","",C33-D33)</f>
        <v/>
      </c>
      <c r="K33">
        <f>IF(A33="","",C33&gt;=D33)</f>
        <v/>
      </c>
      <c r="L33" s="7">
        <f>IF(A33="","",IF(A33&gt;=Model!$B$11,Model!$B$19*(1+Model!$B$13)^B33,0))</f>
        <v/>
      </c>
      <c r="M33" s="7">
        <f>IF(A33="","",IF(Model!$B$15&gt;0,Model!$B$21*(1+Model!$B$13)^B33,0))</f>
        <v/>
      </c>
    </row>
    <row r="34">
      <c r="A34">
        <f>IF(Model!$B$10+ROW()-2&lt;=Model!$B$4,Model!$B$10+ROW()-2,"")</f>
        <v/>
      </c>
      <c r="B34">
        <f>IF(A34="","",A34-Model!$B$10)</f>
        <v/>
      </c>
      <c r="C34" s="7">
        <f>IF(A34="","",Model!$B$5*(1+Model!$B$18)^B34)</f>
        <v/>
      </c>
      <c r="D34" s="7">
        <f>IF(A34="","",SUMPRODUCT(($A$2:$A$122&gt;=A34)*($A$2:$A$122&lt;&gt;"")*((Model!$B$6-IF($A$2:$A$122&gt;=Model!$B$11,Model!$B$20,0)-IF(($A$2:$A$122&gt;=A34)*($A$2:$A$122&lt;A34+Model!$B$15),Model!$B$22,0))&gt;0)*(Model!$B$6-IF($A$2:$A$122&gt;=Model!$B$11,Model!$B$20,0)-IF(($A$2:$A$122&gt;=A34)*($A$2:$A$122&lt;A34+Model!$B$15),Model!$B$22,0))/(1-Model!$B$9)/(1+Model!$B$18)^($A$2:$A$122-A34)))</f>
        <v/>
      </c>
      <c r="E34" s="7">
        <f>IF(A34="","",IF(A34&gt;=Model!$B$11,Model!$B$20,0))</f>
        <v/>
      </c>
      <c r="F34" s="7">
        <f>IF(A34="","",IF(Model!$B$15&gt;0,Model!$B$22,0))</f>
        <v/>
      </c>
      <c r="G34" s="7">
        <f>IF(A34="","",E34+F34)</f>
        <v/>
      </c>
      <c r="H34" s="7">
        <f>IF(A34="","",MAX(0,Model!$B$6-G34))</f>
        <v/>
      </c>
      <c r="I34" s="7">
        <f>IF(A34="","",H34/(1-Model!$B$9))</f>
        <v/>
      </c>
      <c r="J34" s="7">
        <f>IF(A34="","",C34-D34)</f>
        <v/>
      </c>
      <c r="K34">
        <f>IF(A34="","",C34&gt;=D34)</f>
        <v/>
      </c>
      <c r="L34" s="7">
        <f>IF(A34="","",IF(A34&gt;=Model!$B$11,Model!$B$19*(1+Model!$B$13)^B34,0))</f>
        <v/>
      </c>
      <c r="M34" s="7">
        <f>IF(A34="","",IF(Model!$B$15&gt;0,Model!$B$21*(1+Model!$B$13)^B34,0))</f>
        <v/>
      </c>
    </row>
    <row r="35">
      <c r="A35">
        <f>IF(Model!$B$10+ROW()-2&lt;=Model!$B$4,Model!$B$10+ROW()-2,"")</f>
        <v/>
      </c>
      <c r="B35">
        <f>IF(A35="","",A35-Model!$B$10)</f>
        <v/>
      </c>
      <c r="C35" s="7">
        <f>IF(A35="","",Model!$B$5*(1+Model!$B$18)^B35)</f>
        <v/>
      </c>
      <c r="D35" s="7">
        <f>IF(A35="","",SUMPRODUCT(($A$2:$A$122&gt;=A35)*($A$2:$A$122&lt;&gt;"")*((Model!$B$6-IF($A$2:$A$122&gt;=Model!$B$11,Model!$B$20,0)-IF(($A$2:$A$122&gt;=A35)*($A$2:$A$122&lt;A35+Model!$B$15),Model!$B$22,0))&gt;0)*(Model!$B$6-IF($A$2:$A$122&gt;=Model!$B$11,Model!$B$20,0)-IF(($A$2:$A$122&gt;=A35)*($A$2:$A$122&lt;A35+Model!$B$15),Model!$B$22,0))/(1-Model!$B$9)/(1+Model!$B$18)^($A$2:$A$122-A35)))</f>
        <v/>
      </c>
      <c r="E35" s="7">
        <f>IF(A35="","",IF(A35&gt;=Model!$B$11,Model!$B$20,0))</f>
        <v/>
      </c>
      <c r="F35" s="7">
        <f>IF(A35="","",IF(Model!$B$15&gt;0,Model!$B$22,0))</f>
        <v/>
      </c>
      <c r="G35" s="7">
        <f>IF(A35="","",E35+F35)</f>
        <v/>
      </c>
      <c r="H35" s="7">
        <f>IF(A35="","",MAX(0,Model!$B$6-G35))</f>
        <v/>
      </c>
      <c r="I35" s="7">
        <f>IF(A35="","",H35/(1-Model!$B$9))</f>
        <v/>
      </c>
      <c r="J35" s="7">
        <f>IF(A35="","",C35-D35)</f>
        <v/>
      </c>
      <c r="K35">
        <f>IF(A35="","",C35&gt;=D35)</f>
        <v/>
      </c>
      <c r="L35" s="7">
        <f>IF(A35="","",IF(A35&gt;=Model!$B$11,Model!$B$19*(1+Model!$B$13)^B35,0))</f>
        <v/>
      </c>
      <c r="M35" s="7">
        <f>IF(A35="","",IF(Model!$B$15&gt;0,Model!$B$21*(1+Model!$B$13)^B35,0))</f>
        <v/>
      </c>
    </row>
    <row r="36">
      <c r="A36">
        <f>IF(Model!$B$10+ROW()-2&lt;=Model!$B$4,Model!$B$10+ROW()-2,"")</f>
        <v/>
      </c>
      <c r="B36">
        <f>IF(A36="","",A36-Model!$B$10)</f>
        <v/>
      </c>
      <c r="C36" s="7">
        <f>IF(A36="","",Model!$B$5*(1+Model!$B$18)^B36)</f>
        <v/>
      </c>
      <c r="D36" s="7">
        <f>IF(A36="","",SUMPRODUCT(($A$2:$A$122&gt;=A36)*($A$2:$A$122&lt;&gt;"")*((Model!$B$6-IF($A$2:$A$122&gt;=Model!$B$11,Model!$B$20,0)-IF(($A$2:$A$122&gt;=A36)*($A$2:$A$122&lt;A36+Model!$B$15),Model!$B$22,0))&gt;0)*(Model!$B$6-IF($A$2:$A$122&gt;=Model!$B$11,Model!$B$20,0)-IF(($A$2:$A$122&gt;=A36)*($A$2:$A$122&lt;A36+Model!$B$15),Model!$B$22,0))/(1-Model!$B$9)/(1+Model!$B$18)^($A$2:$A$122-A36)))</f>
        <v/>
      </c>
      <c r="E36" s="7">
        <f>IF(A36="","",IF(A36&gt;=Model!$B$11,Model!$B$20,0))</f>
        <v/>
      </c>
      <c r="F36" s="7">
        <f>IF(A36="","",IF(Model!$B$15&gt;0,Model!$B$22,0))</f>
        <v/>
      </c>
      <c r="G36" s="7">
        <f>IF(A36="","",E36+F36)</f>
        <v/>
      </c>
      <c r="H36" s="7">
        <f>IF(A36="","",MAX(0,Model!$B$6-G36))</f>
        <v/>
      </c>
      <c r="I36" s="7">
        <f>IF(A36="","",H36/(1-Model!$B$9))</f>
        <v/>
      </c>
      <c r="J36" s="7">
        <f>IF(A36="","",C36-D36)</f>
        <v/>
      </c>
      <c r="K36">
        <f>IF(A36="","",C36&gt;=D36)</f>
        <v/>
      </c>
      <c r="L36" s="7">
        <f>IF(A36="","",IF(A36&gt;=Model!$B$11,Model!$B$19*(1+Model!$B$13)^B36,0))</f>
        <v/>
      </c>
      <c r="M36" s="7">
        <f>IF(A36="","",IF(Model!$B$15&gt;0,Model!$B$21*(1+Model!$B$13)^B36,0))</f>
        <v/>
      </c>
    </row>
    <row r="37">
      <c r="A37">
        <f>IF(Model!$B$10+ROW()-2&lt;=Model!$B$4,Model!$B$10+ROW()-2,"")</f>
        <v/>
      </c>
      <c r="B37">
        <f>IF(A37="","",A37-Model!$B$10)</f>
        <v/>
      </c>
      <c r="C37" s="7">
        <f>IF(A37="","",Model!$B$5*(1+Model!$B$18)^B37)</f>
        <v/>
      </c>
      <c r="D37" s="7">
        <f>IF(A37="","",SUMPRODUCT(($A$2:$A$122&gt;=A37)*($A$2:$A$122&lt;&gt;"")*((Model!$B$6-IF($A$2:$A$122&gt;=Model!$B$11,Model!$B$20,0)-IF(($A$2:$A$122&gt;=A37)*($A$2:$A$122&lt;A37+Model!$B$15),Model!$B$22,0))&gt;0)*(Model!$B$6-IF($A$2:$A$122&gt;=Model!$B$11,Model!$B$20,0)-IF(($A$2:$A$122&gt;=A37)*($A$2:$A$122&lt;A37+Model!$B$15),Model!$B$22,0))/(1-Model!$B$9)/(1+Model!$B$18)^($A$2:$A$122-A37)))</f>
        <v/>
      </c>
      <c r="E37" s="7">
        <f>IF(A37="","",IF(A37&gt;=Model!$B$11,Model!$B$20,0))</f>
        <v/>
      </c>
      <c r="F37" s="7">
        <f>IF(A37="","",IF(Model!$B$15&gt;0,Model!$B$22,0))</f>
        <v/>
      </c>
      <c r="G37" s="7">
        <f>IF(A37="","",E37+F37)</f>
        <v/>
      </c>
      <c r="H37" s="7">
        <f>IF(A37="","",MAX(0,Model!$B$6-G37))</f>
        <v/>
      </c>
      <c r="I37" s="7">
        <f>IF(A37="","",H37/(1-Model!$B$9))</f>
        <v/>
      </c>
      <c r="J37" s="7">
        <f>IF(A37="","",C37-D37)</f>
        <v/>
      </c>
      <c r="K37">
        <f>IF(A37="","",C37&gt;=D37)</f>
        <v/>
      </c>
      <c r="L37" s="7">
        <f>IF(A37="","",IF(A37&gt;=Model!$B$11,Model!$B$19*(1+Model!$B$13)^B37,0))</f>
        <v/>
      </c>
      <c r="M37" s="7">
        <f>IF(A37="","",IF(Model!$B$15&gt;0,Model!$B$21*(1+Model!$B$13)^B37,0))</f>
        <v/>
      </c>
    </row>
    <row r="38">
      <c r="A38">
        <f>IF(Model!$B$10+ROW()-2&lt;=Model!$B$4,Model!$B$10+ROW()-2,"")</f>
        <v/>
      </c>
      <c r="B38">
        <f>IF(A38="","",A38-Model!$B$10)</f>
        <v/>
      </c>
      <c r="C38" s="7">
        <f>IF(A38="","",Model!$B$5*(1+Model!$B$18)^B38)</f>
        <v/>
      </c>
      <c r="D38" s="7">
        <f>IF(A38="","",SUMPRODUCT(($A$2:$A$122&gt;=A38)*($A$2:$A$122&lt;&gt;"")*((Model!$B$6-IF($A$2:$A$122&gt;=Model!$B$11,Model!$B$20,0)-IF(($A$2:$A$122&gt;=A38)*($A$2:$A$122&lt;A38+Model!$B$15),Model!$B$22,0))&gt;0)*(Model!$B$6-IF($A$2:$A$122&gt;=Model!$B$11,Model!$B$20,0)-IF(($A$2:$A$122&gt;=A38)*($A$2:$A$122&lt;A38+Model!$B$15),Model!$B$22,0))/(1-Model!$B$9)/(1+Model!$B$18)^($A$2:$A$122-A38)))</f>
        <v/>
      </c>
      <c r="E38" s="7">
        <f>IF(A38="","",IF(A38&gt;=Model!$B$11,Model!$B$20,0))</f>
        <v/>
      </c>
      <c r="F38" s="7">
        <f>IF(A38="","",IF(Model!$B$15&gt;0,Model!$B$22,0))</f>
        <v/>
      </c>
      <c r="G38" s="7">
        <f>IF(A38="","",E38+F38)</f>
        <v/>
      </c>
      <c r="H38" s="7">
        <f>IF(A38="","",MAX(0,Model!$B$6-G38))</f>
        <v/>
      </c>
      <c r="I38" s="7">
        <f>IF(A38="","",H38/(1-Model!$B$9))</f>
        <v/>
      </c>
      <c r="J38" s="7">
        <f>IF(A38="","",C38-D38)</f>
        <v/>
      </c>
      <c r="K38">
        <f>IF(A38="","",C38&gt;=D38)</f>
        <v/>
      </c>
      <c r="L38" s="7">
        <f>IF(A38="","",IF(A38&gt;=Model!$B$11,Model!$B$19*(1+Model!$B$13)^B38,0))</f>
        <v/>
      </c>
      <c r="M38" s="7">
        <f>IF(A38="","",IF(Model!$B$15&gt;0,Model!$B$21*(1+Model!$B$13)^B38,0))</f>
        <v/>
      </c>
    </row>
    <row r="39">
      <c r="A39">
        <f>IF(Model!$B$10+ROW()-2&lt;=Model!$B$4,Model!$B$10+ROW()-2,"")</f>
        <v/>
      </c>
      <c r="B39">
        <f>IF(A39="","",A39-Model!$B$10)</f>
        <v/>
      </c>
      <c r="C39" s="7">
        <f>IF(A39="","",Model!$B$5*(1+Model!$B$18)^B39)</f>
        <v/>
      </c>
      <c r="D39" s="7">
        <f>IF(A39="","",SUMPRODUCT(($A$2:$A$122&gt;=A39)*($A$2:$A$122&lt;&gt;"")*((Model!$B$6-IF($A$2:$A$122&gt;=Model!$B$11,Model!$B$20,0)-IF(($A$2:$A$122&gt;=A39)*($A$2:$A$122&lt;A39+Model!$B$15),Model!$B$22,0))&gt;0)*(Model!$B$6-IF($A$2:$A$122&gt;=Model!$B$11,Model!$B$20,0)-IF(($A$2:$A$122&gt;=A39)*($A$2:$A$122&lt;A39+Model!$B$15),Model!$B$22,0))/(1-Model!$B$9)/(1+Model!$B$18)^($A$2:$A$122-A39)))</f>
        <v/>
      </c>
      <c r="E39" s="7">
        <f>IF(A39="","",IF(A39&gt;=Model!$B$11,Model!$B$20,0))</f>
        <v/>
      </c>
      <c r="F39" s="7">
        <f>IF(A39="","",IF(Model!$B$15&gt;0,Model!$B$22,0))</f>
        <v/>
      </c>
      <c r="G39" s="7">
        <f>IF(A39="","",E39+F39)</f>
        <v/>
      </c>
      <c r="H39" s="7">
        <f>IF(A39="","",MAX(0,Model!$B$6-G39))</f>
        <v/>
      </c>
      <c r="I39" s="7">
        <f>IF(A39="","",H39/(1-Model!$B$9))</f>
        <v/>
      </c>
      <c r="J39" s="7">
        <f>IF(A39="","",C39-D39)</f>
        <v/>
      </c>
      <c r="K39">
        <f>IF(A39="","",C39&gt;=D39)</f>
        <v/>
      </c>
      <c r="L39" s="7">
        <f>IF(A39="","",IF(A39&gt;=Model!$B$11,Model!$B$19*(1+Model!$B$13)^B39,0))</f>
        <v/>
      </c>
      <c r="M39" s="7">
        <f>IF(A39="","",IF(Model!$B$15&gt;0,Model!$B$21*(1+Model!$B$13)^B39,0))</f>
        <v/>
      </c>
    </row>
    <row r="40">
      <c r="A40">
        <f>IF(Model!$B$10+ROW()-2&lt;=Model!$B$4,Model!$B$10+ROW()-2,"")</f>
        <v/>
      </c>
      <c r="B40">
        <f>IF(A40="","",A40-Model!$B$10)</f>
        <v/>
      </c>
      <c r="C40" s="7">
        <f>IF(A40="","",Model!$B$5*(1+Model!$B$18)^B40)</f>
        <v/>
      </c>
      <c r="D40" s="7">
        <f>IF(A40="","",SUMPRODUCT(($A$2:$A$122&gt;=A40)*($A$2:$A$122&lt;&gt;"")*((Model!$B$6-IF($A$2:$A$122&gt;=Model!$B$11,Model!$B$20,0)-IF(($A$2:$A$122&gt;=A40)*($A$2:$A$122&lt;A40+Model!$B$15),Model!$B$22,0))&gt;0)*(Model!$B$6-IF($A$2:$A$122&gt;=Model!$B$11,Model!$B$20,0)-IF(($A$2:$A$122&gt;=A40)*($A$2:$A$122&lt;A40+Model!$B$15),Model!$B$22,0))/(1-Model!$B$9)/(1+Model!$B$18)^($A$2:$A$122-A40)))</f>
        <v/>
      </c>
      <c r="E40" s="7">
        <f>IF(A40="","",IF(A40&gt;=Model!$B$11,Model!$B$20,0))</f>
        <v/>
      </c>
      <c r="F40" s="7">
        <f>IF(A40="","",IF(Model!$B$15&gt;0,Model!$B$22,0))</f>
        <v/>
      </c>
      <c r="G40" s="7">
        <f>IF(A40="","",E40+F40)</f>
        <v/>
      </c>
      <c r="H40" s="7">
        <f>IF(A40="","",MAX(0,Model!$B$6-G40))</f>
        <v/>
      </c>
      <c r="I40" s="7">
        <f>IF(A40="","",H40/(1-Model!$B$9))</f>
        <v/>
      </c>
      <c r="J40" s="7">
        <f>IF(A40="","",C40-D40)</f>
        <v/>
      </c>
      <c r="K40">
        <f>IF(A40="","",C40&gt;=D40)</f>
        <v/>
      </c>
      <c r="L40" s="7">
        <f>IF(A40="","",IF(A40&gt;=Model!$B$11,Model!$B$19*(1+Model!$B$13)^B40,0))</f>
        <v/>
      </c>
      <c r="M40" s="7">
        <f>IF(A40="","",IF(Model!$B$15&gt;0,Model!$B$21*(1+Model!$B$13)^B40,0))</f>
        <v/>
      </c>
    </row>
    <row r="41">
      <c r="A41">
        <f>IF(Model!$B$10+ROW()-2&lt;=Model!$B$4,Model!$B$10+ROW()-2,"")</f>
        <v/>
      </c>
      <c r="B41">
        <f>IF(A41="","",A41-Model!$B$10)</f>
        <v/>
      </c>
      <c r="C41" s="7">
        <f>IF(A41="","",Model!$B$5*(1+Model!$B$18)^B41)</f>
        <v/>
      </c>
      <c r="D41" s="7">
        <f>IF(A41="","",SUMPRODUCT(($A$2:$A$122&gt;=A41)*($A$2:$A$122&lt;&gt;"")*((Model!$B$6-IF($A$2:$A$122&gt;=Model!$B$11,Model!$B$20,0)-IF(($A$2:$A$122&gt;=A41)*($A$2:$A$122&lt;A41+Model!$B$15),Model!$B$22,0))&gt;0)*(Model!$B$6-IF($A$2:$A$122&gt;=Model!$B$11,Model!$B$20,0)-IF(($A$2:$A$122&gt;=A41)*($A$2:$A$122&lt;A41+Model!$B$15),Model!$B$22,0))/(1-Model!$B$9)/(1+Model!$B$18)^($A$2:$A$122-A41)))</f>
        <v/>
      </c>
      <c r="E41" s="7">
        <f>IF(A41="","",IF(A41&gt;=Model!$B$11,Model!$B$20,0))</f>
        <v/>
      </c>
      <c r="F41" s="7">
        <f>IF(A41="","",IF(Model!$B$15&gt;0,Model!$B$22,0))</f>
        <v/>
      </c>
      <c r="G41" s="7">
        <f>IF(A41="","",E41+F41)</f>
        <v/>
      </c>
      <c r="H41" s="7">
        <f>IF(A41="","",MAX(0,Model!$B$6-G41))</f>
        <v/>
      </c>
      <c r="I41" s="7">
        <f>IF(A41="","",H41/(1-Model!$B$9))</f>
        <v/>
      </c>
      <c r="J41" s="7">
        <f>IF(A41="","",C41-D41)</f>
        <v/>
      </c>
      <c r="K41">
        <f>IF(A41="","",C41&gt;=D41)</f>
        <v/>
      </c>
      <c r="L41" s="7">
        <f>IF(A41="","",IF(A41&gt;=Model!$B$11,Model!$B$19*(1+Model!$B$13)^B41,0))</f>
        <v/>
      </c>
      <c r="M41" s="7">
        <f>IF(A41="","",IF(Model!$B$15&gt;0,Model!$B$21*(1+Model!$B$13)^B41,0))</f>
        <v/>
      </c>
    </row>
    <row r="42">
      <c r="A42">
        <f>IF(Model!$B$10+ROW()-2&lt;=Model!$B$4,Model!$B$10+ROW()-2,"")</f>
        <v/>
      </c>
      <c r="B42">
        <f>IF(A42="","",A42-Model!$B$10)</f>
        <v/>
      </c>
      <c r="C42" s="7">
        <f>IF(A42="","",Model!$B$5*(1+Model!$B$18)^B42)</f>
        <v/>
      </c>
      <c r="D42" s="7">
        <f>IF(A42="","",SUMPRODUCT(($A$2:$A$122&gt;=A42)*($A$2:$A$122&lt;&gt;"")*((Model!$B$6-IF($A$2:$A$122&gt;=Model!$B$11,Model!$B$20,0)-IF(($A$2:$A$122&gt;=A42)*($A$2:$A$122&lt;A42+Model!$B$15),Model!$B$22,0))&gt;0)*(Model!$B$6-IF($A$2:$A$122&gt;=Model!$B$11,Model!$B$20,0)-IF(($A$2:$A$122&gt;=A42)*($A$2:$A$122&lt;A42+Model!$B$15),Model!$B$22,0))/(1-Model!$B$9)/(1+Model!$B$18)^($A$2:$A$122-A42)))</f>
        <v/>
      </c>
      <c r="E42" s="7">
        <f>IF(A42="","",IF(A42&gt;=Model!$B$11,Model!$B$20,0))</f>
        <v/>
      </c>
      <c r="F42" s="7">
        <f>IF(A42="","",IF(Model!$B$15&gt;0,Model!$B$22,0))</f>
        <v/>
      </c>
      <c r="G42" s="7">
        <f>IF(A42="","",E42+F42)</f>
        <v/>
      </c>
      <c r="H42" s="7">
        <f>IF(A42="","",MAX(0,Model!$B$6-G42))</f>
        <v/>
      </c>
      <c r="I42" s="7">
        <f>IF(A42="","",H42/(1-Model!$B$9))</f>
        <v/>
      </c>
      <c r="J42" s="7">
        <f>IF(A42="","",C42-D42)</f>
        <v/>
      </c>
      <c r="K42">
        <f>IF(A42="","",C42&gt;=D42)</f>
        <v/>
      </c>
      <c r="L42" s="7">
        <f>IF(A42="","",IF(A42&gt;=Model!$B$11,Model!$B$19*(1+Model!$B$13)^B42,0))</f>
        <v/>
      </c>
      <c r="M42" s="7">
        <f>IF(A42="","",IF(Model!$B$15&gt;0,Model!$B$21*(1+Model!$B$13)^B42,0))</f>
        <v/>
      </c>
    </row>
    <row r="43">
      <c r="A43">
        <f>IF(Model!$B$10+ROW()-2&lt;=Model!$B$4,Model!$B$10+ROW()-2,"")</f>
        <v/>
      </c>
      <c r="B43">
        <f>IF(A43="","",A43-Model!$B$10)</f>
        <v/>
      </c>
      <c r="C43" s="7">
        <f>IF(A43="","",Model!$B$5*(1+Model!$B$18)^B43)</f>
        <v/>
      </c>
      <c r="D43" s="7">
        <f>IF(A43="","",SUMPRODUCT(($A$2:$A$122&gt;=A43)*($A$2:$A$122&lt;&gt;"")*((Model!$B$6-IF($A$2:$A$122&gt;=Model!$B$11,Model!$B$20,0)-IF(($A$2:$A$122&gt;=A43)*($A$2:$A$122&lt;A43+Model!$B$15),Model!$B$22,0))&gt;0)*(Model!$B$6-IF($A$2:$A$122&gt;=Model!$B$11,Model!$B$20,0)-IF(($A$2:$A$122&gt;=A43)*($A$2:$A$122&lt;A43+Model!$B$15),Model!$B$22,0))/(1-Model!$B$9)/(1+Model!$B$18)^($A$2:$A$122-A43)))</f>
        <v/>
      </c>
      <c r="E43" s="7">
        <f>IF(A43="","",IF(A43&gt;=Model!$B$11,Model!$B$20,0))</f>
        <v/>
      </c>
      <c r="F43" s="7">
        <f>IF(A43="","",IF(Model!$B$15&gt;0,Model!$B$22,0))</f>
        <v/>
      </c>
      <c r="G43" s="7">
        <f>IF(A43="","",E43+F43)</f>
        <v/>
      </c>
      <c r="H43" s="7">
        <f>IF(A43="","",MAX(0,Model!$B$6-G43))</f>
        <v/>
      </c>
      <c r="I43" s="7">
        <f>IF(A43="","",H43/(1-Model!$B$9))</f>
        <v/>
      </c>
      <c r="J43" s="7">
        <f>IF(A43="","",C43-D43)</f>
        <v/>
      </c>
      <c r="K43">
        <f>IF(A43="","",C43&gt;=D43)</f>
        <v/>
      </c>
      <c r="L43" s="7">
        <f>IF(A43="","",IF(A43&gt;=Model!$B$11,Model!$B$19*(1+Model!$B$13)^B43,0))</f>
        <v/>
      </c>
      <c r="M43" s="7">
        <f>IF(A43="","",IF(Model!$B$15&gt;0,Model!$B$21*(1+Model!$B$13)^B43,0))</f>
        <v/>
      </c>
    </row>
    <row r="44">
      <c r="A44">
        <f>IF(Model!$B$10+ROW()-2&lt;=Model!$B$4,Model!$B$10+ROW()-2,"")</f>
        <v/>
      </c>
      <c r="B44">
        <f>IF(A44="","",A44-Model!$B$10)</f>
        <v/>
      </c>
      <c r="C44" s="7">
        <f>IF(A44="","",Model!$B$5*(1+Model!$B$18)^B44)</f>
        <v/>
      </c>
      <c r="D44" s="7">
        <f>IF(A44="","",SUMPRODUCT(($A$2:$A$122&gt;=A44)*($A$2:$A$122&lt;&gt;"")*((Model!$B$6-IF($A$2:$A$122&gt;=Model!$B$11,Model!$B$20,0)-IF(($A$2:$A$122&gt;=A44)*($A$2:$A$122&lt;A44+Model!$B$15),Model!$B$22,0))&gt;0)*(Model!$B$6-IF($A$2:$A$122&gt;=Model!$B$11,Model!$B$20,0)-IF(($A$2:$A$122&gt;=A44)*($A$2:$A$122&lt;A44+Model!$B$15),Model!$B$22,0))/(1-Model!$B$9)/(1+Model!$B$18)^($A$2:$A$122-A44)))</f>
        <v/>
      </c>
      <c r="E44" s="7">
        <f>IF(A44="","",IF(A44&gt;=Model!$B$11,Model!$B$20,0))</f>
        <v/>
      </c>
      <c r="F44" s="7">
        <f>IF(A44="","",IF(Model!$B$15&gt;0,Model!$B$22,0))</f>
        <v/>
      </c>
      <c r="G44" s="7">
        <f>IF(A44="","",E44+F44)</f>
        <v/>
      </c>
      <c r="H44" s="7">
        <f>IF(A44="","",MAX(0,Model!$B$6-G44))</f>
        <v/>
      </c>
      <c r="I44" s="7">
        <f>IF(A44="","",H44/(1-Model!$B$9))</f>
        <v/>
      </c>
      <c r="J44" s="7">
        <f>IF(A44="","",C44-D44)</f>
        <v/>
      </c>
      <c r="K44">
        <f>IF(A44="","",C44&gt;=D44)</f>
        <v/>
      </c>
      <c r="L44" s="7">
        <f>IF(A44="","",IF(A44&gt;=Model!$B$11,Model!$B$19*(1+Model!$B$13)^B44,0))</f>
        <v/>
      </c>
      <c r="M44" s="7">
        <f>IF(A44="","",IF(Model!$B$15&gt;0,Model!$B$21*(1+Model!$B$13)^B44,0))</f>
        <v/>
      </c>
    </row>
    <row r="45">
      <c r="A45">
        <f>IF(Model!$B$10+ROW()-2&lt;=Model!$B$4,Model!$B$10+ROW()-2,"")</f>
        <v/>
      </c>
      <c r="B45">
        <f>IF(A45="","",A45-Model!$B$10)</f>
        <v/>
      </c>
      <c r="C45" s="7">
        <f>IF(A45="","",Model!$B$5*(1+Model!$B$18)^B45)</f>
        <v/>
      </c>
      <c r="D45" s="7">
        <f>IF(A45="","",SUMPRODUCT(($A$2:$A$122&gt;=A45)*($A$2:$A$122&lt;&gt;"")*((Model!$B$6-IF($A$2:$A$122&gt;=Model!$B$11,Model!$B$20,0)-IF(($A$2:$A$122&gt;=A45)*($A$2:$A$122&lt;A45+Model!$B$15),Model!$B$22,0))&gt;0)*(Model!$B$6-IF($A$2:$A$122&gt;=Model!$B$11,Model!$B$20,0)-IF(($A$2:$A$122&gt;=A45)*($A$2:$A$122&lt;A45+Model!$B$15),Model!$B$22,0))/(1-Model!$B$9)/(1+Model!$B$18)^($A$2:$A$122-A45)))</f>
        <v/>
      </c>
      <c r="E45" s="7">
        <f>IF(A45="","",IF(A45&gt;=Model!$B$11,Model!$B$20,0))</f>
        <v/>
      </c>
      <c r="F45" s="7">
        <f>IF(A45="","",IF(Model!$B$15&gt;0,Model!$B$22,0))</f>
        <v/>
      </c>
      <c r="G45" s="7">
        <f>IF(A45="","",E45+F45)</f>
        <v/>
      </c>
      <c r="H45" s="7">
        <f>IF(A45="","",MAX(0,Model!$B$6-G45))</f>
        <v/>
      </c>
      <c r="I45" s="7">
        <f>IF(A45="","",H45/(1-Model!$B$9))</f>
        <v/>
      </c>
      <c r="J45" s="7">
        <f>IF(A45="","",C45-D45)</f>
        <v/>
      </c>
      <c r="K45">
        <f>IF(A45="","",C45&gt;=D45)</f>
        <v/>
      </c>
      <c r="L45" s="7">
        <f>IF(A45="","",IF(A45&gt;=Model!$B$11,Model!$B$19*(1+Model!$B$13)^B45,0))</f>
        <v/>
      </c>
      <c r="M45" s="7">
        <f>IF(A45="","",IF(Model!$B$15&gt;0,Model!$B$21*(1+Model!$B$13)^B45,0))</f>
        <v/>
      </c>
    </row>
    <row r="46">
      <c r="A46">
        <f>IF(Model!$B$10+ROW()-2&lt;=Model!$B$4,Model!$B$10+ROW()-2,"")</f>
        <v/>
      </c>
      <c r="B46">
        <f>IF(A46="","",A46-Model!$B$10)</f>
        <v/>
      </c>
      <c r="C46" s="7">
        <f>IF(A46="","",Model!$B$5*(1+Model!$B$18)^B46)</f>
        <v/>
      </c>
      <c r="D46" s="7">
        <f>IF(A46="","",SUMPRODUCT(($A$2:$A$122&gt;=A46)*($A$2:$A$122&lt;&gt;"")*((Model!$B$6-IF($A$2:$A$122&gt;=Model!$B$11,Model!$B$20,0)-IF(($A$2:$A$122&gt;=A46)*($A$2:$A$122&lt;A46+Model!$B$15),Model!$B$22,0))&gt;0)*(Model!$B$6-IF($A$2:$A$122&gt;=Model!$B$11,Model!$B$20,0)-IF(($A$2:$A$122&gt;=A46)*($A$2:$A$122&lt;A46+Model!$B$15),Model!$B$22,0))/(1-Model!$B$9)/(1+Model!$B$18)^($A$2:$A$122-A46)))</f>
        <v/>
      </c>
      <c r="E46" s="7">
        <f>IF(A46="","",IF(A46&gt;=Model!$B$11,Model!$B$20,0))</f>
        <v/>
      </c>
      <c r="F46" s="7">
        <f>IF(A46="","",IF(Model!$B$15&gt;0,Model!$B$22,0))</f>
        <v/>
      </c>
      <c r="G46" s="7">
        <f>IF(A46="","",E46+F46)</f>
        <v/>
      </c>
      <c r="H46" s="7">
        <f>IF(A46="","",MAX(0,Model!$B$6-G46))</f>
        <v/>
      </c>
      <c r="I46" s="7">
        <f>IF(A46="","",H46/(1-Model!$B$9))</f>
        <v/>
      </c>
      <c r="J46" s="7">
        <f>IF(A46="","",C46-D46)</f>
        <v/>
      </c>
      <c r="K46">
        <f>IF(A46="","",C46&gt;=D46)</f>
        <v/>
      </c>
      <c r="L46" s="7">
        <f>IF(A46="","",IF(A46&gt;=Model!$B$11,Model!$B$19*(1+Model!$B$13)^B46,0))</f>
        <v/>
      </c>
      <c r="M46" s="7">
        <f>IF(A46="","",IF(Model!$B$15&gt;0,Model!$B$21*(1+Model!$B$13)^B46,0))</f>
        <v/>
      </c>
    </row>
    <row r="47">
      <c r="A47">
        <f>IF(Model!$B$10+ROW()-2&lt;=Model!$B$4,Model!$B$10+ROW()-2,"")</f>
        <v/>
      </c>
      <c r="B47">
        <f>IF(A47="","",A47-Model!$B$10)</f>
        <v/>
      </c>
      <c r="C47" s="7">
        <f>IF(A47="","",Model!$B$5*(1+Model!$B$18)^B47)</f>
        <v/>
      </c>
      <c r="D47" s="7">
        <f>IF(A47="","",SUMPRODUCT(($A$2:$A$122&gt;=A47)*($A$2:$A$122&lt;&gt;"")*((Model!$B$6-IF($A$2:$A$122&gt;=Model!$B$11,Model!$B$20,0)-IF(($A$2:$A$122&gt;=A47)*($A$2:$A$122&lt;A47+Model!$B$15),Model!$B$22,0))&gt;0)*(Model!$B$6-IF($A$2:$A$122&gt;=Model!$B$11,Model!$B$20,0)-IF(($A$2:$A$122&gt;=A47)*($A$2:$A$122&lt;A47+Model!$B$15),Model!$B$22,0))/(1-Model!$B$9)/(1+Model!$B$18)^($A$2:$A$122-A47)))</f>
        <v/>
      </c>
      <c r="E47" s="7">
        <f>IF(A47="","",IF(A47&gt;=Model!$B$11,Model!$B$20,0))</f>
        <v/>
      </c>
      <c r="F47" s="7">
        <f>IF(A47="","",IF(Model!$B$15&gt;0,Model!$B$22,0))</f>
        <v/>
      </c>
      <c r="G47" s="7">
        <f>IF(A47="","",E47+F47)</f>
        <v/>
      </c>
      <c r="H47" s="7">
        <f>IF(A47="","",MAX(0,Model!$B$6-G47))</f>
        <v/>
      </c>
      <c r="I47" s="7">
        <f>IF(A47="","",H47/(1-Model!$B$9))</f>
        <v/>
      </c>
      <c r="J47" s="7">
        <f>IF(A47="","",C47-D47)</f>
        <v/>
      </c>
      <c r="K47">
        <f>IF(A47="","",C47&gt;=D47)</f>
        <v/>
      </c>
      <c r="L47" s="7">
        <f>IF(A47="","",IF(A47&gt;=Model!$B$11,Model!$B$19*(1+Model!$B$13)^B47,0))</f>
        <v/>
      </c>
      <c r="M47" s="7">
        <f>IF(A47="","",IF(Model!$B$15&gt;0,Model!$B$21*(1+Model!$B$13)^B47,0))</f>
        <v/>
      </c>
    </row>
    <row r="48">
      <c r="A48">
        <f>IF(Model!$B$10+ROW()-2&lt;=Model!$B$4,Model!$B$10+ROW()-2,"")</f>
        <v/>
      </c>
      <c r="B48">
        <f>IF(A48="","",A48-Model!$B$10)</f>
        <v/>
      </c>
      <c r="C48" s="7">
        <f>IF(A48="","",Model!$B$5*(1+Model!$B$18)^B48)</f>
        <v/>
      </c>
      <c r="D48" s="7">
        <f>IF(A48="","",SUMPRODUCT(($A$2:$A$122&gt;=A48)*($A$2:$A$122&lt;&gt;"")*((Model!$B$6-IF($A$2:$A$122&gt;=Model!$B$11,Model!$B$20,0)-IF(($A$2:$A$122&gt;=A48)*($A$2:$A$122&lt;A48+Model!$B$15),Model!$B$22,0))&gt;0)*(Model!$B$6-IF($A$2:$A$122&gt;=Model!$B$11,Model!$B$20,0)-IF(($A$2:$A$122&gt;=A48)*($A$2:$A$122&lt;A48+Model!$B$15),Model!$B$22,0))/(1-Model!$B$9)/(1+Model!$B$18)^($A$2:$A$122-A48)))</f>
        <v/>
      </c>
      <c r="E48" s="7">
        <f>IF(A48="","",IF(A48&gt;=Model!$B$11,Model!$B$20,0))</f>
        <v/>
      </c>
      <c r="F48" s="7">
        <f>IF(A48="","",IF(Model!$B$15&gt;0,Model!$B$22,0))</f>
        <v/>
      </c>
      <c r="G48" s="7">
        <f>IF(A48="","",E48+F48)</f>
        <v/>
      </c>
      <c r="H48" s="7">
        <f>IF(A48="","",MAX(0,Model!$B$6-G48))</f>
        <v/>
      </c>
      <c r="I48" s="7">
        <f>IF(A48="","",H48/(1-Model!$B$9))</f>
        <v/>
      </c>
      <c r="J48" s="7">
        <f>IF(A48="","",C48-D48)</f>
        <v/>
      </c>
      <c r="K48">
        <f>IF(A48="","",C48&gt;=D48)</f>
        <v/>
      </c>
      <c r="L48" s="7">
        <f>IF(A48="","",IF(A48&gt;=Model!$B$11,Model!$B$19*(1+Model!$B$13)^B48,0))</f>
        <v/>
      </c>
      <c r="M48" s="7">
        <f>IF(A48="","",IF(Model!$B$15&gt;0,Model!$B$21*(1+Model!$B$13)^B48,0))</f>
        <v/>
      </c>
    </row>
    <row r="49">
      <c r="A49">
        <f>IF(Model!$B$10+ROW()-2&lt;=Model!$B$4,Model!$B$10+ROW()-2,"")</f>
        <v/>
      </c>
      <c r="B49">
        <f>IF(A49="","",A49-Model!$B$10)</f>
        <v/>
      </c>
      <c r="C49" s="7">
        <f>IF(A49="","",Model!$B$5*(1+Model!$B$18)^B49)</f>
        <v/>
      </c>
      <c r="D49" s="7">
        <f>IF(A49="","",SUMPRODUCT(($A$2:$A$122&gt;=A49)*($A$2:$A$122&lt;&gt;"")*((Model!$B$6-IF($A$2:$A$122&gt;=Model!$B$11,Model!$B$20,0)-IF(($A$2:$A$122&gt;=A49)*($A$2:$A$122&lt;A49+Model!$B$15),Model!$B$22,0))&gt;0)*(Model!$B$6-IF($A$2:$A$122&gt;=Model!$B$11,Model!$B$20,0)-IF(($A$2:$A$122&gt;=A49)*($A$2:$A$122&lt;A49+Model!$B$15),Model!$B$22,0))/(1-Model!$B$9)/(1+Model!$B$18)^($A$2:$A$122-A49)))</f>
        <v/>
      </c>
      <c r="E49" s="7">
        <f>IF(A49="","",IF(A49&gt;=Model!$B$11,Model!$B$20,0))</f>
        <v/>
      </c>
      <c r="F49" s="7">
        <f>IF(A49="","",IF(Model!$B$15&gt;0,Model!$B$22,0))</f>
        <v/>
      </c>
      <c r="G49" s="7">
        <f>IF(A49="","",E49+F49)</f>
        <v/>
      </c>
      <c r="H49" s="7">
        <f>IF(A49="","",MAX(0,Model!$B$6-G49))</f>
        <v/>
      </c>
      <c r="I49" s="7">
        <f>IF(A49="","",H49/(1-Model!$B$9))</f>
        <v/>
      </c>
      <c r="J49" s="7">
        <f>IF(A49="","",C49-D49)</f>
        <v/>
      </c>
      <c r="K49">
        <f>IF(A49="","",C49&gt;=D49)</f>
        <v/>
      </c>
      <c r="L49" s="7">
        <f>IF(A49="","",IF(A49&gt;=Model!$B$11,Model!$B$19*(1+Model!$B$13)^B49,0))</f>
        <v/>
      </c>
      <c r="M49" s="7">
        <f>IF(A49="","",IF(Model!$B$15&gt;0,Model!$B$21*(1+Model!$B$13)^B49,0))</f>
        <v/>
      </c>
    </row>
    <row r="50">
      <c r="A50">
        <f>IF(Model!$B$10+ROW()-2&lt;=Model!$B$4,Model!$B$10+ROW()-2,"")</f>
        <v/>
      </c>
      <c r="B50">
        <f>IF(A50="","",A50-Model!$B$10)</f>
        <v/>
      </c>
      <c r="C50" s="7">
        <f>IF(A50="","",Model!$B$5*(1+Model!$B$18)^B50)</f>
        <v/>
      </c>
      <c r="D50" s="7">
        <f>IF(A50="","",SUMPRODUCT(($A$2:$A$122&gt;=A50)*($A$2:$A$122&lt;&gt;"")*((Model!$B$6-IF($A$2:$A$122&gt;=Model!$B$11,Model!$B$20,0)-IF(($A$2:$A$122&gt;=A50)*($A$2:$A$122&lt;A50+Model!$B$15),Model!$B$22,0))&gt;0)*(Model!$B$6-IF($A$2:$A$122&gt;=Model!$B$11,Model!$B$20,0)-IF(($A$2:$A$122&gt;=A50)*($A$2:$A$122&lt;A50+Model!$B$15),Model!$B$22,0))/(1-Model!$B$9)/(1+Model!$B$18)^($A$2:$A$122-A50)))</f>
        <v/>
      </c>
      <c r="E50" s="7">
        <f>IF(A50="","",IF(A50&gt;=Model!$B$11,Model!$B$20,0))</f>
        <v/>
      </c>
      <c r="F50" s="7">
        <f>IF(A50="","",IF(Model!$B$15&gt;0,Model!$B$22,0))</f>
        <v/>
      </c>
      <c r="G50" s="7">
        <f>IF(A50="","",E50+F50)</f>
        <v/>
      </c>
      <c r="H50" s="7">
        <f>IF(A50="","",MAX(0,Model!$B$6-G50))</f>
        <v/>
      </c>
      <c r="I50" s="7">
        <f>IF(A50="","",H50/(1-Model!$B$9))</f>
        <v/>
      </c>
      <c r="J50" s="7">
        <f>IF(A50="","",C50-D50)</f>
        <v/>
      </c>
      <c r="K50">
        <f>IF(A50="","",C50&gt;=D50)</f>
        <v/>
      </c>
      <c r="L50" s="7">
        <f>IF(A50="","",IF(A50&gt;=Model!$B$11,Model!$B$19*(1+Model!$B$13)^B50,0))</f>
        <v/>
      </c>
      <c r="M50" s="7">
        <f>IF(A50="","",IF(Model!$B$15&gt;0,Model!$B$21*(1+Model!$B$13)^B50,0))</f>
        <v/>
      </c>
    </row>
    <row r="51">
      <c r="A51">
        <f>IF(Model!$B$10+ROW()-2&lt;=Model!$B$4,Model!$B$10+ROW()-2,"")</f>
        <v/>
      </c>
      <c r="B51">
        <f>IF(A51="","",A51-Model!$B$10)</f>
        <v/>
      </c>
      <c r="C51" s="7">
        <f>IF(A51="","",Model!$B$5*(1+Model!$B$18)^B51)</f>
        <v/>
      </c>
      <c r="D51" s="7">
        <f>IF(A51="","",SUMPRODUCT(($A$2:$A$122&gt;=A51)*($A$2:$A$122&lt;&gt;"")*((Model!$B$6-IF($A$2:$A$122&gt;=Model!$B$11,Model!$B$20,0)-IF(($A$2:$A$122&gt;=A51)*($A$2:$A$122&lt;A51+Model!$B$15),Model!$B$22,0))&gt;0)*(Model!$B$6-IF($A$2:$A$122&gt;=Model!$B$11,Model!$B$20,0)-IF(($A$2:$A$122&gt;=A51)*($A$2:$A$122&lt;A51+Model!$B$15),Model!$B$22,0))/(1-Model!$B$9)/(1+Model!$B$18)^($A$2:$A$122-A51)))</f>
        <v/>
      </c>
      <c r="E51" s="7">
        <f>IF(A51="","",IF(A51&gt;=Model!$B$11,Model!$B$20,0))</f>
        <v/>
      </c>
      <c r="F51" s="7">
        <f>IF(A51="","",IF(Model!$B$15&gt;0,Model!$B$22,0))</f>
        <v/>
      </c>
      <c r="G51" s="7">
        <f>IF(A51="","",E51+F51)</f>
        <v/>
      </c>
      <c r="H51" s="7">
        <f>IF(A51="","",MAX(0,Model!$B$6-G51))</f>
        <v/>
      </c>
      <c r="I51" s="7">
        <f>IF(A51="","",H51/(1-Model!$B$9))</f>
        <v/>
      </c>
      <c r="J51" s="7">
        <f>IF(A51="","",C51-D51)</f>
        <v/>
      </c>
      <c r="K51">
        <f>IF(A51="","",C51&gt;=D51)</f>
        <v/>
      </c>
      <c r="L51" s="7">
        <f>IF(A51="","",IF(A51&gt;=Model!$B$11,Model!$B$19*(1+Model!$B$13)^B51,0))</f>
        <v/>
      </c>
      <c r="M51" s="7">
        <f>IF(A51="","",IF(Model!$B$15&gt;0,Model!$B$21*(1+Model!$B$13)^B51,0))</f>
        <v/>
      </c>
    </row>
    <row r="52">
      <c r="A52">
        <f>IF(Model!$B$10+ROW()-2&lt;=Model!$B$4,Model!$B$10+ROW()-2,"")</f>
        <v/>
      </c>
      <c r="B52">
        <f>IF(A52="","",A52-Model!$B$10)</f>
        <v/>
      </c>
      <c r="C52" s="7">
        <f>IF(A52="","",Model!$B$5*(1+Model!$B$18)^B52)</f>
        <v/>
      </c>
      <c r="D52" s="7">
        <f>IF(A52="","",SUMPRODUCT(($A$2:$A$122&gt;=A52)*($A$2:$A$122&lt;&gt;"")*((Model!$B$6-IF($A$2:$A$122&gt;=Model!$B$11,Model!$B$20,0)-IF(($A$2:$A$122&gt;=A52)*($A$2:$A$122&lt;A52+Model!$B$15),Model!$B$22,0))&gt;0)*(Model!$B$6-IF($A$2:$A$122&gt;=Model!$B$11,Model!$B$20,0)-IF(($A$2:$A$122&gt;=A52)*($A$2:$A$122&lt;A52+Model!$B$15),Model!$B$22,0))/(1-Model!$B$9)/(1+Model!$B$18)^($A$2:$A$122-A52)))</f>
        <v/>
      </c>
      <c r="E52" s="7">
        <f>IF(A52="","",IF(A52&gt;=Model!$B$11,Model!$B$20,0))</f>
        <v/>
      </c>
      <c r="F52" s="7">
        <f>IF(A52="","",IF(Model!$B$15&gt;0,Model!$B$22,0))</f>
        <v/>
      </c>
      <c r="G52" s="7">
        <f>IF(A52="","",E52+F52)</f>
        <v/>
      </c>
      <c r="H52" s="7">
        <f>IF(A52="","",MAX(0,Model!$B$6-G52))</f>
        <v/>
      </c>
      <c r="I52" s="7">
        <f>IF(A52="","",H52/(1-Model!$B$9))</f>
        <v/>
      </c>
      <c r="J52" s="7">
        <f>IF(A52="","",C52-D52)</f>
        <v/>
      </c>
      <c r="K52">
        <f>IF(A52="","",C52&gt;=D52)</f>
        <v/>
      </c>
      <c r="L52" s="7">
        <f>IF(A52="","",IF(A52&gt;=Model!$B$11,Model!$B$19*(1+Model!$B$13)^B52,0))</f>
        <v/>
      </c>
      <c r="M52" s="7">
        <f>IF(A52="","",IF(Model!$B$15&gt;0,Model!$B$21*(1+Model!$B$13)^B52,0))</f>
        <v/>
      </c>
    </row>
    <row r="53">
      <c r="A53">
        <f>IF(Model!$B$10+ROW()-2&lt;=Model!$B$4,Model!$B$10+ROW()-2,"")</f>
        <v/>
      </c>
      <c r="B53">
        <f>IF(A53="","",A53-Model!$B$10)</f>
        <v/>
      </c>
      <c r="C53" s="7">
        <f>IF(A53="","",Model!$B$5*(1+Model!$B$18)^B53)</f>
        <v/>
      </c>
      <c r="D53" s="7">
        <f>IF(A53="","",SUMPRODUCT(($A$2:$A$122&gt;=A53)*($A$2:$A$122&lt;&gt;"")*((Model!$B$6-IF($A$2:$A$122&gt;=Model!$B$11,Model!$B$20,0)-IF(($A$2:$A$122&gt;=A53)*($A$2:$A$122&lt;A53+Model!$B$15),Model!$B$22,0))&gt;0)*(Model!$B$6-IF($A$2:$A$122&gt;=Model!$B$11,Model!$B$20,0)-IF(($A$2:$A$122&gt;=A53)*($A$2:$A$122&lt;A53+Model!$B$15),Model!$B$22,0))/(1-Model!$B$9)/(1+Model!$B$18)^($A$2:$A$122-A53)))</f>
        <v/>
      </c>
      <c r="E53" s="7">
        <f>IF(A53="","",IF(A53&gt;=Model!$B$11,Model!$B$20,0))</f>
        <v/>
      </c>
      <c r="F53" s="7">
        <f>IF(A53="","",IF(Model!$B$15&gt;0,Model!$B$22,0))</f>
        <v/>
      </c>
      <c r="G53" s="7">
        <f>IF(A53="","",E53+F53)</f>
        <v/>
      </c>
      <c r="H53" s="7">
        <f>IF(A53="","",MAX(0,Model!$B$6-G53))</f>
        <v/>
      </c>
      <c r="I53" s="7">
        <f>IF(A53="","",H53/(1-Model!$B$9))</f>
        <v/>
      </c>
      <c r="J53" s="7">
        <f>IF(A53="","",C53-D53)</f>
        <v/>
      </c>
      <c r="K53">
        <f>IF(A53="","",C53&gt;=D53)</f>
        <v/>
      </c>
      <c r="L53" s="7">
        <f>IF(A53="","",IF(A53&gt;=Model!$B$11,Model!$B$19*(1+Model!$B$13)^B53,0))</f>
        <v/>
      </c>
      <c r="M53" s="7">
        <f>IF(A53="","",IF(Model!$B$15&gt;0,Model!$B$21*(1+Model!$B$13)^B53,0))</f>
        <v/>
      </c>
    </row>
    <row r="54">
      <c r="A54">
        <f>IF(Model!$B$10+ROW()-2&lt;=Model!$B$4,Model!$B$10+ROW()-2,"")</f>
        <v/>
      </c>
      <c r="B54">
        <f>IF(A54="","",A54-Model!$B$10)</f>
        <v/>
      </c>
      <c r="C54" s="7">
        <f>IF(A54="","",Model!$B$5*(1+Model!$B$18)^B54)</f>
        <v/>
      </c>
      <c r="D54" s="7">
        <f>IF(A54="","",SUMPRODUCT(($A$2:$A$122&gt;=A54)*($A$2:$A$122&lt;&gt;"")*((Model!$B$6-IF($A$2:$A$122&gt;=Model!$B$11,Model!$B$20,0)-IF(($A$2:$A$122&gt;=A54)*($A$2:$A$122&lt;A54+Model!$B$15),Model!$B$22,0))&gt;0)*(Model!$B$6-IF($A$2:$A$122&gt;=Model!$B$11,Model!$B$20,0)-IF(($A$2:$A$122&gt;=A54)*($A$2:$A$122&lt;A54+Model!$B$15),Model!$B$22,0))/(1-Model!$B$9)/(1+Model!$B$18)^($A$2:$A$122-A54)))</f>
        <v/>
      </c>
      <c r="E54" s="7">
        <f>IF(A54="","",IF(A54&gt;=Model!$B$11,Model!$B$20,0))</f>
        <v/>
      </c>
      <c r="F54" s="7">
        <f>IF(A54="","",IF(Model!$B$15&gt;0,Model!$B$22,0))</f>
        <v/>
      </c>
      <c r="G54" s="7">
        <f>IF(A54="","",E54+F54)</f>
        <v/>
      </c>
      <c r="H54" s="7">
        <f>IF(A54="","",MAX(0,Model!$B$6-G54))</f>
        <v/>
      </c>
      <c r="I54" s="7">
        <f>IF(A54="","",H54/(1-Model!$B$9))</f>
        <v/>
      </c>
      <c r="J54" s="7">
        <f>IF(A54="","",C54-D54)</f>
        <v/>
      </c>
      <c r="K54">
        <f>IF(A54="","",C54&gt;=D54)</f>
        <v/>
      </c>
      <c r="L54" s="7">
        <f>IF(A54="","",IF(A54&gt;=Model!$B$11,Model!$B$19*(1+Model!$B$13)^B54,0))</f>
        <v/>
      </c>
      <c r="M54" s="7">
        <f>IF(A54="","",IF(Model!$B$15&gt;0,Model!$B$21*(1+Model!$B$13)^B54,0))</f>
        <v/>
      </c>
    </row>
    <row r="55">
      <c r="A55">
        <f>IF(Model!$B$10+ROW()-2&lt;=Model!$B$4,Model!$B$10+ROW()-2,"")</f>
        <v/>
      </c>
      <c r="B55">
        <f>IF(A55="","",A55-Model!$B$10)</f>
        <v/>
      </c>
      <c r="C55" s="7">
        <f>IF(A55="","",Model!$B$5*(1+Model!$B$18)^B55)</f>
        <v/>
      </c>
      <c r="D55" s="7">
        <f>IF(A55="","",SUMPRODUCT(($A$2:$A$122&gt;=A55)*($A$2:$A$122&lt;&gt;"")*((Model!$B$6-IF($A$2:$A$122&gt;=Model!$B$11,Model!$B$20,0)-IF(($A$2:$A$122&gt;=A55)*($A$2:$A$122&lt;A55+Model!$B$15),Model!$B$22,0))&gt;0)*(Model!$B$6-IF($A$2:$A$122&gt;=Model!$B$11,Model!$B$20,0)-IF(($A$2:$A$122&gt;=A55)*($A$2:$A$122&lt;A55+Model!$B$15),Model!$B$22,0))/(1-Model!$B$9)/(1+Model!$B$18)^($A$2:$A$122-A55)))</f>
        <v/>
      </c>
      <c r="E55" s="7">
        <f>IF(A55="","",IF(A55&gt;=Model!$B$11,Model!$B$20,0))</f>
        <v/>
      </c>
      <c r="F55" s="7">
        <f>IF(A55="","",IF(Model!$B$15&gt;0,Model!$B$22,0))</f>
        <v/>
      </c>
      <c r="G55" s="7">
        <f>IF(A55="","",E55+F55)</f>
        <v/>
      </c>
      <c r="H55" s="7">
        <f>IF(A55="","",MAX(0,Model!$B$6-G55))</f>
        <v/>
      </c>
      <c r="I55" s="7">
        <f>IF(A55="","",H55/(1-Model!$B$9))</f>
        <v/>
      </c>
      <c r="J55" s="7">
        <f>IF(A55="","",C55-D55)</f>
        <v/>
      </c>
      <c r="K55">
        <f>IF(A55="","",C55&gt;=D55)</f>
        <v/>
      </c>
      <c r="L55" s="7">
        <f>IF(A55="","",IF(A55&gt;=Model!$B$11,Model!$B$19*(1+Model!$B$13)^B55,0))</f>
        <v/>
      </c>
      <c r="M55" s="7">
        <f>IF(A55="","",IF(Model!$B$15&gt;0,Model!$B$21*(1+Model!$B$13)^B55,0))</f>
        <v/>
      </c>
    </row>
    <row r="56">
      <c r="A56">
        <f>IF(Model!$B$10+ROW()-2&lt;=Model!$B$4,Model!$B$10+ROW()-2,"")</f>
        <v/>
      </c>
      <c r="B56">
        <f>IF(A56="","",A56-Model!$B$10)</f>
        <v/>
      </c>
      <c r="C56" s="7">
        <f>IF(A56="","",Model!$B$5*(1+Model!$B$18)^B56)</f>
        <v/>
      </c>
      <c r="D56" s="7">
        <f>IF(A56="","",SUMPRODUCT(($A$2:$A$122&gt;=A56)*($A$2:$A$122&lt;&gt;"")*((Model!$B$6-IF($A$2:$A$122&gt;=Model!$B$11,Model!$B$20,0)-IF(($A$2:$A$122&gt;=A56)*($A$2:$A$122&lt;A56+Model!$B$15),Model!$B$22,0))&gt;0)*(Model!$B$6-IF($A$2:$A$122&gt;=Model!$B$11,Model!$B$20,0)-IF(($A$2:$A$122&gt;=A56)*($A$2:$A$122&lt;A56+Model!$B$15),Model!$B$22,0))/(1-Model!$B$9)/(1+Model!$B$18)^($A$2:$A$122-A56)))</f>
        <v/>
      </c>
      <c r="E56" s="7">
        <f>IF(A56="","",IF(A56&gt;=Model!$B$11,Model!$B$20,0))</f>
        <v/>
      </c>
      <c r="F56" s="7">
        <f>IF(A56="","",IF(Model!$B$15&gt;0,Model!$B$22,0))</f>
        <v/>
      </c>
      <c r="G56" s="7">
        <f>IF(A56="","",E56+F56)</f>
        <v/>
      </c>
      <c r="H56" s="7">
        <f>IF(A56="","",MAX(0,Model!$B$6-G56))</f>
        <v/>
      </c>
      <c r="I56" s="7">
        <f>IF(A56="","",H56/(1-Model!$B$9))</f>
        <v/>
      </c>
      <c r="J56" s="7">
        <f>IF(A56="","",C56-D56)</f>
        <v/>
      </c>
      <c r="K56">
        <f>IF(A56="","",C56&gt;=D56)</f>
        <v/>
      </c>
      <c r="L56" s="7">
        <f>IF(A56="","",IF(A56&gt;=Model!$B$11,Model!$B$19*(1+Model!$B$13)^B56,0))</f>
        <v/>
      </c>
      <c r="M56" s="7">
        <f>IF(A56="","",IF(Model!$B$15&gt;0,Model!$B$21*(1+Model!$B$13)^B56,0))</f>
        <v/>
      </c>
    </row>
    <row r="57">
      <c r="A57">
        <f>IF(Model!$B$10+ROW()-2&lt;=Model!$B$4,Model!$B$10+ROW()-2,"")</f>
        <v/>
      </c>
      <c r="B57">
        <f>IF(A57="","",A57-Model!$B$10)</f>
        <v/>
      </c>
      <c r="C57" s="7">
        <f>IF(A57="","",Model!$B$5*(1+Model!$B$18)^B57)</f>
        <v/>
      </c>
      <c r="D57" s="7">
        <f>IF(A57="","",SUMPRODUCT(($A$2:$A$122&gt;=A57)*($A$2:$A$122&lt;&gt;"")*((Model!$B$6-IF($A$2:$A$122&gt;=Model!$B$11,Model!$B$20,0)-IF(($A$2:$A$122&gt;=A57)*($A$2:$A$122&lt;A57+Model!$B$15),Model!$B$22,0))&gt;0)*(Model!$B$6-IF($A$2:$A$122&gt;=Model!$B$11,Model!$B$20,0)-IF(($A$2:$A$122&gt;=A57)*($A$2:$A$122&lt;A57+Model!$B$15),Model!$B$22,0))/(1-Model!$B$9)/(1+Model!$B$18)^($A$2:$A$122-A57)))</f>
        <v/>
      </c>
      <c r="E57" s="7">
        <f>IF(A57="","",IF(A57&gt;=Model!$B$11,Model!$B$20,0))</f>
        <v/>
      </c>
      <c r="F57" s="7">
        <f>IF(A57="","",IF(Model!$B$15&gt;0,Model!$B$22,0))</f>
        <v/>
      </c>
      <c r="G57" s="7">
        <f>IF(A57="","",E57+F57)</f>
        <v/>
      </c>
      <c r="H57" s="7">
        <f>IF(A57="","",MAX(0,Model!$B$6-G57))</f>
        <v/>
      </c>
      <c r="I57" s="7">
        <f>IF(A57="","",H57/(1-Model!$B$9))</f>
        <v/>
      </c>
      <c r="J57" s="7">
        <f>IF(A57="","",C57-D57)</f>
        <v/>
      </c>
      <c r="K57">
        <f>IF(A57="","",C57&gt;=D57)</f>
        <v/>
      </c>
      <c r="L57" s="7">
        <f>IF(A57="","",IF(A57&gt;=Model!$B$11,Model!$B$19*(1+Model!$B$13)^B57,0))</f>
        <v/>
      </c>
      <c r="M57" s="7">
        <f>IF(A57="","",IF(Model!$B$15&gt;0,Model!$B$21*(1+Model!$B$13)^B57,0))</f>
        <v/>
      </c>
    </row>
    <row r="58">
      <c r="A58">
        <f>IF(Model!$B$10+ROW()-2&lt;=Model!$B$4,Model!$B$10+ROW()-2,"")</f>
        <v/>
      </c>
      <c r="B58">
        <f>IF(A58="","",A58-Model!$B$10)</f>
        <v/>
      </c>
      <c r="C58" s="7">
        <f>IF(A58="","",Model!$B$5*(1+Model!$B$18)^B58)</f>
        <v/>
      </c>
      <c r="D58" s="7">
        <f>IF(A58="","",SUMPRODUCT(($A$2:$A$122&gt;=A58)*($A$2:$A$122&lt;&gt;"")*((Model!$B$6-IF($A$2:$A$122&gt;=Model!$B$11,Model!$B$20,0)-IF(($A$2:$A$122&gt;=A58)*($A$2:$A$122&lt;A58+Model!$B$15),Model!$B$22,0))&gt;0)*(Model!$B$6-IF($A$2:$A$122&gt;=Model!$B$11,Model!$B$20,0)-IF(($A$2:$A$122&gt;=A58)*($A$2:$A$122&lt;A58+Model!$B$15),Model!$B$22,0))/(1-Model!$B$9)/(1+Model!$B$18)^($A$2:$A$122-A58)))</f>
        <v/>
      </c>
      <c r="E58" s="7">
        <f>IF(A58="","",IF(A58&gt;=Model!$B$11,Model!$B$20,0))</f>
        <v/>
      </c>
      <c r="F58" s="7">
        <f>IF(A58="","",IF(Model!$B$15&gt;0,Model!$B$22,0))</f>
        <v/>
      </c>
      <c r="G58" s="7">
        <f>IF(A58="","",E58+F58)</f>
        <v/>
      </c>
      <c r="H58" s="7">
        <f>IF(A58="","",MAX(0,Model!$B$6-G58))</f>
        <v/>
      </c>
      <c r="I58" s="7">
        <f>IF(A58="","",H58/(1-Model!$B$9))</f>
        <v/>
      </c>
      <c r="J58" s="7">
        <f>IF(A58="","",C58-D58)</f>
        <v/>
      </c>
      <c r="K58">
        <f>IF(A58="","",C58&gt;=D58)</f>
        <v/>
      </c>
      <c r="L58" s="7">
        <f>IF(A58="","",IF(A58&gt;=Model!$B$11,Model!$B$19*(1+Model!$B$13)^B58,0))</f>
        <v/>
      </c>
      <c r="M58" s="7">
        <f>IF(A58="","",IF(Model!$B$15&gt;0,Model!$B$21*(1+Model!$B$13)^B58,0))</f>
        <v/>
      </c>
    </row>
    <row r="59">
      <c r="A59">
        <f>IF(Model!$B$10+ROW()-2&lt;=Model!$B$4,Model!$B$10+ROW()-2,"")</f>
        <v/>
      </c>
      <c r="B59">
        <f>IF(A59="","",A59-Model!$B$10)</f>
        <v/>
      </c>
      <c r="C59" s="7">
        <f>IF(A59="","",Model!$B$5*(1+Model!$B$18)^B59)</f>
        <v/>
      </c>
      <c r="D59" s="7">
        <f>IF(A59="","",SUMPRODUCT(($A$2:$A$122&gt;=A59)*($A$2:$A$122&lt;&gt;"")*((Model!$B$6-IF($A$2:$A$122&gt;=Model!$B$11,Model!$B$20,0)-IF(($A$2:$A$122&gt;=A59)*($A$2:$A$122&lt;A59+Model!$B$15),Model!$B$22,0))&gt;0)*(Model!$B$6-IF($A$2:$A$122&gt;=Model!$B$11,Model!$B$20,0)-IF(($A$2:$A$122&gt;=A59)*($A$2:$A$122&lt;A59+Model!$B$15),Model!$B$22,0))/(1-Model!$B$9)/(1+Model!$B$18)^($A$2:$A$122-A59)))</f>
        <v/>
      </c>
      <c r="E59" s="7">
        <f>IF(A59="","",IF(A59&gt;=Model!$B$11,Model!$B$20,0))</f>
        <v/>
      </c>
      <c r="F59" s="7">
        <f>IF(A59="","",IF(Model!$B$15&gt;0,Model!$B$22,0))</f>
        <v/>
      </c>
      <c r="G59" s="7">
        <f>IF(A59="","",E59+F59)</f>
        <v/>
      </c>
      <c r="H59" s="7">
        <f>IF(A59="","",MAX(0,Model!$B$6-G59))</f>
        <v/>
      </c>
      <c r="I59" s="7">
        <f>IF(A59="","",H59/(1-Model!$B$9))</f>
        <v/>
      </c>
      <c r="J59" s="7">
        <f>IF(A59="","",C59-D59)</f>
        <v/>
      </c>
      <c r="K59">
        <f>IF(A59="","",C59&gt;=D59)</f>
        <v/>
      </c>
      <c r="L59" s="7">
        <f>IF(A59="","",IF(A59&gt;=Model!$B$11,Model!$B$19*(1+Model!$B$13)^B59,0))</f>
        <v/>
      </c>
      <c r="M59" s="7">
        <f>IF(A59="","",IF(Model!$B$15&gt;0,Model!$B$21*(1+Model!$B$13)^B59,0))</f>
        <v/>
      </c>
    </row>
    <row r="60">
      <c r="A60">
        <f>IF(Model!$B$10+ROW()-2&lt;=Model!$B$4,Model!$B$10+ROW()-2,"")</f>
        <v/>
      </c>
      <c r="B60">
        <f>IF(A60="","",A60-Model!$B$10)</f>
        <v/>
      </c>
      <c r="C60" s="7">
        <f>IF(A60="","",Model!$B$5*(1+Model!$B$18)^B60)</f>
        <v/>
      </c>
      <c r="D60" s="7">
        <f>IF(A60="","",SUMPRODUCT(($A$2:$A$122&gt;=A60)*($A$2:$A$122&lt;&gt;"")*((Model!$B$6-IF($A$2:$A$122&gt;=Model!$B$11,Model!$B$20,0)-IF(($A$2:$A$122&gt;=A60)*($A$2:$A$122&lt;A60+Model!$B$15),Model!$B$22,0))&gt;0)*(Model!$B$6-IF($A$2:$A$122&gt;=Model!$B$11,Model!$B$20,0)-IF(($A$2:$A$122&gt;=A60)*($A$2:$A$122&lt;A60+Model!$B$15),Model!$B$22,0))/(1-Model!$B$9)/(1+Model!$B$18)^($A$2:$A$122-A60)))</f>
        <v/>
      </c>
      <c r="E60" s="7">
        <f>IF(A60="","",IF(A60&gt;=Model!$B$11,Model!$B$20,0))</f>
        <v/>
      </c>
      <c r="F60" s="7">
        <f>IF(A60="","",IF(Model!$B$15&gt;0,Model!$B$22,0))</f>
        <v/>
      </c>
      <c r="G60" s="7">
        <f>IF(A60="","",E60+F60)</f>
        <v/>
      </c>
      <c r="H60" s="7">
        <f>IF(A60="","",MAX(0,Model!$B$6-G60))</f>
        <v/>
      </c>
      <c r="I60" s="7">
        <f>IF(A60="","",H60/(1-Model!$B$9))</f>
        <v/>
      </c>
      <c r="J60" s="7">
        <f>IF(A60="","",C60-D60)</f>
        <v/>
      </c>
      <c r="K60">
        <f>IF(A60="","",C60&gt;=D60)</f>
        <v/>
      </c>
      <c r="L60" s="7">
        <f>IF(A60="","",IF(A60&gt;=Model!$B$11,Model!$B$19*(1+Model!$B$13)^B60,0))</f>
        <v/>
      </c>
      <c r="M60" s="7">
        <f>IF(A60="","",IF(Model!$B$15&gt;0,Model!$B$21*(1+Model!$B$13)^B60,0))</f>
        <v/>
      </c>
    </row>
    <row r="61">
      <c r="A61">
        <f>IF(Model!$B$10+ROW()-2&lt;=Model!$B$4,Model!$B$10+ROW()-2,"")</f>
        <v/>
      </c>
      <c r="B61">
        <f>IF(A61="","",A61-Model!$B$10)</f>
        <v/>
      </c>
      <c r="C61" s="7">
        <f>IF(A61="","",Model!$B$5*(1+Model!$B$18)^B61)</f>
        <v/>
      </c>
      <c r="D61" s="7">
        <f>IF(A61="","",SUMPRODUCT(($A$2:$A$122&gt;=A61)*($A$2:$A$122&lt;&gt;"")*((Model!$B$6-IF($A$2:$A$122&gt;=Model!$B$11,Model!$B$20,0)-IF(($A$2:$A$122&gt;=A61)*($A$2:$A$122&lt;A61+Model!$B$15),Model!$B$22,0))&gt;0)*(Model!$B$6-IF($A$2:$A$122&gt;=Model!$B$11,Model!$B$20,0)-IF(($A$2:$A$122&gt;=A61)*($A$2:$A$122&lt;A61+Model!$B$15),Model!$B$22,0))/(1-Model!$B$9)/(1+Model!$B$18)^($A$2:$A$122-A61)))</f>
        <v/>
      </c>
      <c r="E61" s="7">
        <f>IF(A61="","",IF(A61&gt;=Model!$B$11,Model!$B$20,0))</f>
        <v/>
      </c>
      <c r="F61" s="7">
        <f>IF(A61="","",IF(Model!$B$15&gt;0,Model!$B$22,0))</f>
        <v/>
      </c>
      <c r="G61" s="7">
        <f>IF(A61="","",E61+F61)</f>
        <v/>
      </c>
      <c r="H61" s="7">
        <f>IF(A61="","",MAX(0,Model!$B$6-G61))</f>
        <v/>
      </c>
      <c r="I61" s="7">
        <f>IF(A61="","",H61/(1-Model!$B$9))</f>
        <v/>
      </c>
      <c r="J61" s="7">
        <f>IF(A61="","",C61-D61)</f>
        <v/>
      </c>
      <c r="K61">
        <f>IF(A61="","",C61&gt;=D61)</f>
        <v/>
      </c>
      <c r="L61" s="7">
        <f>IF(A61="","",IF(A61&gt;=Model!$B$11,Model!$B$19*(1+Model!$B$13)^B61,0))</f>
        <v/>
      </c>
      <c r="M61" s="7">
        <f>IF(A61="","",IF(Model!$B$15&gt;0,Model!$B$21*(1+Model!$B$13)^B61,0))</f>
        <v/>
      </c>
    </row>
    <row r="62">
      <c r="A62">
        <f>IF(Model!$B$10+ROW()-2&lt;=Model!$B$4,Model!$B$10+ROW()-2,"")</f>
        <v/>
      </c>
      <c r="B62">
        <f>IF(A62="","",A62-Model!$B$10)</f>
        <v/>
      </c>
      <c r="C62" s="7">
        <f>IF(A62="","",Model!$B$5*(1+Model!$B$18)^B62)</f>
        <v/>
      </c>
      <c r="D62" s="7">
        <f>IF(A62="","",SUMPRODUCT(($A$2:$A$122&gt;=A62)*($A$2:$A$122&lt;&gt;"")*((Model!$B$6-IF($A$2:$A$122&gt;=Model!$B$11,Model!$B$20,0)-IF(($A$2:$A$122&gt;=A62)*($A$2:$A$122&lt;A62+Model!$B$15),Model!$B$22,0))&gt;0)*(Model!$B$6-IF($A$2:$A$122&gt;=Model!$B$11,Model!$B$20,0)-IF(($A$2:$A$122&gt;=A62)*($A$2:$A$122&lt;A62+Model!$B$15),Model!$B$22,0))/(1-Model!$B$9)/(1+Model!$B$18)^($A$2:$A$122-A62)))</f>
        <v/>
      </c>
      <c r="E62" s="7">
        <f>IF(A62="","",IF(A62&gt;=Model!$B$11,Model!$B$20,0))</f>
        <v/>
      </c>
      <c r="F62" s="7">
        <f>IF(A62="","",IF(Model!$B$15&gt;0,Model!$B$22,0))</f>
        <v/>
      </c>
      <c r="G62" s="7">
        <f>IF(A62="","",E62+F62)</f>
        <v/>
      </c>
      <c r="H62" s="7">
        <f>IF(A62="","",MAX(0,Model!$B$6-G62))</f>
        <v/>
      </c>
      <c r="I62" s="7">
        <f>IF(A62="","",H62/(1-Model!$B$9))</f>
        <v/>
      </c>
      <c r="J62" s="7">
        <f>IF(A62="","",C62-D62)</f>
        <v/>
      </c>
      <c r="K62">
        <f>IF(A62="","",C62&gt;=D62)</f>
        <v/>
      </c>
      <c r="L62" s="7">
        <f>IF(A62="","",IF(A62&gt;=Model!$B$11,Model!$B$19*(1+Model!$B$13)^B62,0))</f>
        <v/>
      </c>
      <c r="M62" s="7">
        <f>IF(A62="","",IF(Model!$B$15&gt;0,Model!$B$21*(1+Model!$B$13)^B62,0))</f>
        <v/>
      </c>
    </row>
    <row r="63">
      <c r="A63">
        <f>IF(Model!$B$10+ROW()-2&lt;=Model!$B$4,Model!$B$10+ROW()-2,"")</f>
        <v/>
      </c>
      <c r="B63">
        <f>IF(A63="","",A63-Model!$B$10)</f>
        <v/>
      </c>
      <c r="C63" s="7">
        <f>IF(A63="","",Model!$B$5*(1+Model!$B$18)^B63)</f>
        <v/>
      </c>
      <c r="D63" s="7">
        <f>IF(A63="","",SUMPRODUCT(($A$2:$A$122&gt;=A63)*($A$2:$A$122&lt;&gt;"")*((Model!$B$6-IF($A$2:$A$122&gt;=Model!$B$11,Model!$B$20,0)-IF(($A$2:$A$122&gt;=A63)*($A$2:$A$122&lt;A63+Model!$B$15),Model!$B$22,0))&gt;0)*(Model!$B$6-IF($A$2:$A$122&gt;=Model!$B$11,Model!$B$20,0)-IF(($A$2:$A$122&gt;=A63)*($A$2:$A$122&lt;A63+Model!$B$15),Model!$B$22,0))/(1-Model!$B$9)/(1+Model!$B$18)^($A$2:$A$122-A63)))</f>
        <v/>
      </c>
      <c r="E63" s="7">
        <f>IF(A63="","",IF(A63&gt;=Model!$B$11,Model!$B$20,0))</f>
        <v/>
      </c>
      <c r="F63" s="7">
        <f>IF(A63="","",IF(Model!$B$15&gt;0,Model!$B$22,0))</f>
        <v/>
      </c>
      <c r="G63" s="7">
        <f>IF(A63="","",E63+F63)</f>
        <v/>
      </c>
      <c r="H63" s="7">
        <f>IF(A63="","",MAX(0,Model!$B$6-G63))</f>
        <v/>
      </c>
      <c r="I63" s="7">
        <f>IF(A63="","",H63/(1-Model!$B$9))</f>
        <v/>
      </c>
      <c r="J63" s="7">
        <f>IF(A63="","",C63-D63)</f>
        <v/>
      </c>
      <c r="K63">
        <f>IF(A63="","",C63&gt;=D63)</f>
        <v/>
      </c>
      <c r="L63" s="7">
        <f>IF(A63="","",IF(A63&gt;=Model!$B$11,Model!$B$19*(1+Model!$B$13)^B63,0))</f>
        <v/>
      </c>
      <c r="M63" s="7">
        <f>IF(A63="","",IF(Model!$B$15&gt;0,Model!$B$21*(1+Model!$B$13)^B63,0))</f>
        <v/>
      </c>
    </row>
    <row r="64">
      <c r="A64">
        <f>IF(Model!$B$10+ROW()-2&lt;=Model!$B$4,Model!$B$10+ROW()-2,"")</f>
        <v/>
      </c>
      <c r="B64">
        <f>IF(A64="","",A64-Model!$B$10)</f>
        <v/>
      </c>
      <c r="C64" s="7">
        <f>IF(A64="","",Model!$B$5*(1+Model!$B$18)^B64)</f>
        <v/>
      </c>
      <c r="D64" s="7">
        <f>IF(A64="","",SUMPRODUCT(($A$2:$A$122&gt;=A64)*($A$2:$A$122&lt;&gt;"")*((Model!$B$6-IF($A$2:$A$122&gt;=Model!$B$11,Model!$B$20,0)-IF(($A$2:$A$122&gt;=A64)*($A$2:$A$122&lt;A64+Model!$B$15),Model!$B$22,0))&gt;0)*(Model!$B$6-IF($A$2:$A$122&gt;=Model!$B$11,Model!$B$20,0)-IF(($A$2:$A$122&gt;=A64)*($A$2:$A$122&lt;A64+Model!$B$15),Model!$B$22,0))/(1-Model!$B$9)/(1+Model!$B$18)^($A$2:$A$122-A64)))</f>
        <v/>
      </c>
      <c r="E64" s="7">
        <f>IF(A64="","",IF(A64&gt;=Model!$B$11,Model!$B$20,0))</f>
        <v/>
      </c>
      <c r="F64" s="7">
        <f>IF(A64="","",IF(Model!$B$15&gt;0,Model!$B$22,0))</f>
        <v/>
      </c>
      <c r="G64" s="7">
        <f>IF(A64="","",E64+F64)</f>
        <v/>
      </c>
      <c r="H64" s="7">
        <f>IF(A64="","",MAX(0,Model!$B$6-G64))</f>
        <v/>
      </c>
      <c r="I64" s="7">
        <f>IF(A64="","",H64/(1-Model!$B$9))</f>
        <v/>
      </c>
      <c r="J64" s="7">
        <f>IF(A64="","",C64-D64)</f>
        <v/>
      </c>
      <c r="K64">
        <f>IF(A64="","",C64&gt;=D64)</f>
        <v/>
      </c>
      <c r="L64" s="7">
        <f>IF(A64="","",IF(A64&gt;=Model!$B$11,Model!$B$19*(1+Model!$B$13)^B64,0))</f>
        <v/>
      </c>
      <c r="M64" s="7">
        <f>IF(A64="","",IF(Model!$B$15&gt;0,Model!$B$21*(1+Model!$B$13)^B64,0))</f>
        <v/>
      </c>
    </row>
    <row r="65">
      <c r="A65">
        <f>IF(Model!$B$10+ROW()-2&lt;=Model!$B$4,Model!$B$10+ROW()-2,"")</f>
        <v/>
      </c>
      <c r="B65">
        <f>IF(A65="","",A65-Model!$B$10)</f>
        <v/>
      </c>
      <c r="C65" s="7">
        <f>IF(A65="","",Model!$B$5*(1+Model!$B$18)^B65)</f>
        <v/>
      </c>
      <c r="D65" s="7">
        <f>IF(A65="","",SUMPRODUCT(($A$2:$A$122&gt;=A65)*($A$2:$A$122&lt;&gt;"")*((Model!$B$6-IF($A$2:$A$122&gt;=Model!$B$11,Model!$B$20,0)-IF(($A$2:$A$122&gt;=A65)*($A$2:$A$122&lt;A65+Model!$B$15),Model!$B$22,0))&gt;0)*(Model!$B$6-IF($A$2:$A$122&gt;=Model!$B$11,Model!$B$20,0)-IF(($A$2:$A$122&gt;=A65)*($A$2:$A$122&lt;A65+Model!$B$15),Model!$B$22,0))/(1-Model!$B$9)/(1+Model!$B$18)^($A$2:$A$122-A65)))</f>
        <v/>
      </c>
      <c r="E65" s="7">
        <f>IF(A65="","",IF(A65&gt;=Model!$B$11,Model!$B$20,0))</f>
        <v/>
      </c>
      <c r="F65" s="7">
        <f>IF(A65="","",IF(Model!$B$15&gt;0,Model!$B$22,0))</f>
        <v/>
      </c>
      <c r="G65" s="7">
        <f>IF(A65="","",E65+F65)</f>
        <v/>
      </c>
      <c r="H65" s="7">
        <f>IF(A65="","",MAX(0,Model!$B$6-G65))</f>
        <v/>
      </c>
      <c r="I65" s="7">
        <f>IF(A65="","",H65/(1-Model!$B$9))</f>
        <v/>
      </c>
      <c r="J65" s="7">
        <f>IF(A65="","",C65-D65)</f>
        <v/>
      </c>
      <c r="K65">
        <f>IF(A65="","",C65&gt;=D65)</f>
        <v/>
      </c>
      <c r="L65" s="7">
        <f>IF(A65="","",IF(A65&gt;=Model!$B$11,Model!$B$19*(1+Model!$B$13)^B65,0))</f>
        <v/>
      </c>
      <c r="M65" s="7">
        <f>IF(A65="","",IF(Model!$B$15&gt;0,Model!$B$21*(1+Model!$B$13)^B65,0))</f>
        <v/>
      </c>
    </row>
    <row r="66">
      <c r="A66">
        <f>IF(Model!$B$10+ROW()-2&lt;=Model!$B$4,Model!$B$10+ROW()-2,"")</f>
        <v/>
      </c>
      <c r="B66">
        <f>IF(A66="","",A66-Model!$B$10)</f>
        <v/>
      </c>
      <c r="C66" s="7">
        <f>IF(A66="","",Model!$B$5*(1+Model!$B$18)^B66)</f>
        <v/>
      </c>
      <c r="D66" s="7">
        <f>IF(A66="","",SUMPRODUCT(($A$2:$A$122&gt;=A66)*($A$2:$A$122&lt;&gt;"")*((Model!$B$6-IF($A$2:$A$122&gt;=Model!$B$11,Model!$B$20,0)-IF(($A$2:$A$122&gt;=A66)*($A$2:$A$122&lt;A66+Model!$B$15),Model!$B$22,0))&gt;0)*(Model!$B$6-IF($A$2:$A$122&gt;=Model!$B$11,Model!$B$20,0)-IF(($A$2:$A$122&gt;=A66)*($A$2:$A$122&lt;A66+Model!$B$15),Model!$B$22,0))/(1-Model!$B$9)/(1+Model!$B$18)^($A$2:$A$122-A66)))</f>
        <v/>
      </c>
      <c r="E66" s="7">
        <f>IF(A66="","",IF(A66&gt;=Model!$B$11,Model!$B$20,0))</f>
        <v/>
      </c>
      <c r="F66" s="7">
        <f>IF(A66="","",IF(Model!$B$15&gt;0,Model!$B$22,0))</f>
        <v/>
      </c>
      <c r="G66" s="7">
        <f>IF(A66="","",E66+F66)</f>
        <v/>
      </c>
      <c r="H66" s="7">
        <f>IF(A66="","",MAX(0,Model!$B$6-G66))</f>
        <v/>
      </c>
      <c r="I66" s="7">
        <f>IF(A66="","",H66/(1-Model!$B$9))</f>
        <v/>
      </c>
      <c r="J66" s="7">
        <f>IF(A66="","",C66-D66)</f>
        <v/>
      </c>
      <c r="K66">
        <f>IF(A66="","",C66&gt;=D66)</f>
        <v/>
      </c>
      <c r="L66" s="7">
        <f>IF(A66="","",IF(A66&gt;=Model!$B$11,Model!$B$19*(1+Model!$B$13)^B66,0))</f>
        <v/>
      </c>
      <c r="M66" s="7">
        <f>IF(A66="","",IF(Model!$B$15&gt;0,Model!$B$21*(1+Model!$B$13)^B66,0))</f>
        <v/>
      </c>
    </row>
    <row r="67">
      <c r="A67">
        <f>IF(Model!$B$10+ROW()-2&lt;=Model!$B$4,Model!$B$10+ROW()-2,"")</f>
        <v/>
      </c>
      <c r="B67">
        <f>IF(A67="","",A67-Model!$B$10)</f>
        <v/>
      </c>
      <c r="C67" s="7">
        <f>IF(A67="","",Model!$B$5*(1+Model!$B$18)^B67)</f>
        <v/>
      </c>
      <c r="D67" s="7">
        <f>IF(A67="","",SUMPRODUCT(($A$2:$A$122&gt;=A67)*($A$2:$A$122&lt;&gt;"")*((Model!$B$6-IF($A$2:$A$122&gt;=Model!$B$11,Model!$B$20,0)-IF(($A$2:$A$122&gt;=A67)*($A$2:$A$122&lt;A67+Model!$B$15),Model!$B$22,0))&gt;0)*(Model!$B$6-IF($A$2:$A$122&gt;=Model!$B$11,Model!$B$20,0)-IF(($A$2:$A$122&gt;=A67)*($A$2:$A$122&lt;A67+Model!$B$15),Model!$B$22,0))/(1-Model!$B$9)/(1+Model!$B$18)^($A$2:$A$122-A67)))</f>
        <v/>
      </c>
      <c r="E67" s="7">
        <f>IF(A67="","",IF(A67&gt;=Model!$B$11,Model!$B$20,0))</f>
        <v/>
      </c>
      <c r="F67" s="7">
        <f>IF(A67="","",IF(Model!$B$15&gt;0,Model!$B$22,0))</f>
        <v/>
      </c>
      <c r="G67" s="7">
        <f>IF(A67="","",E67+F67)</f>
        <v/>
      </c>
      <c r="H67" s="7">
        <f>IF(A67="","",MAX(0,Model!$B$6-G67))</f>
        <v/>
      </c>
      <c r="I67" s="7">
        <f>IF(A67="","",H67/(1-Model!$B$9))</f>
        <v/>
      </c>
      <c r="J67" s="7">
        <f>IF(A67="","",C67-D67)</f>
        <v/>
      </c>
      <c r="K67">
        <f>IF(A67="","",C67&gt;=D67)</f>
        <v/>
      </c>
      <c r="L67" s="7">
        <f>IF(A67="","",IF(A67&gt;=Model!$B$11,Model!$B$19*(1+Model!$B$13)^B67,0))</f>
        <v/>
      </c>
      <c r="M67" s="7">
        <f>IF(A67="","",IF(Model!$B$15&gt;0,Model!$B$21*(1+Model!$B$13)^B67,0))</f>
        <v/>
      </c>
    </row>
    <row r="68">
      <c r="A68">
        <f>IF(Model!$B$10+ROW()-2&lt;=Model!$B$4,Model!$B$10+ROW()-2,"")</f>
        <v/>
      </c>
      <c r="B68">
        <f>IF(A68="","",A68-Model!$B$10)</f>
        <v/>
      </c>
      <c r="C68" s="7">
        <f>IF(A68="","",Model!$B$5*(1+Model!$B$18)^B68)</f>
        <v/>
      </c>
      <c r="D68" s="7">
        <f>IF(A68="","",SUMPRODUCT(($A$2:$A$122&gt;=A68)*($A$2:$A$122&lt;&gt;"")*((Model!$B$6-IF($A$2:$A$122&gt;=Model!$B$11,Model!$B$20,0)-IF(($A$2:$A$122&gt;=A68)*($A$2:$A$122&lt;A68+Model!$B$15),Model!$B$22,0))&gt;0)*(Model!$B$6-IF($A$2:$A$122&gt;=Model!$B$11,Model!$B$20,0)-IF(($A$2:$A$122&gt;=A68)*($A$2:$A$122&lt;A68+Model!$B$15),Model!$B$22,0))/(1-Model!$B$9)/(1+Model!$B$18)^($A$2:$A$122-A68)))</f>
        <v/>
      </c>
      <c r="E68" s="7">
        <f>IF(A68="","",IF(A68&gt;=Model!$B$11,Model!$B$20,0))</f>
        <v/>
      </c>
      <c r="F68" s="7">
        <f>IF(A68="","",IF(Model!$B$15&gt;0,Model!$B$22,0))</f>
        <v/>
      </c>
      <c r="G68" s="7">
        <f>IF(A68="","",E68+F68)</f>
        <v/>
      </c>
      <c r="H68" s="7">
        <f>IF(A68="","",MAX(0,Model!$B$6-G68))</f>
        <v/>
      </c>
      <c r="I68" s="7">
        <f>IF(A68="","",H68/(1-Model!$B$9))</f>
        <v/>
      </c>
      <c r="J68" s="7">
        <f>IF(A68="","",C68-D68)</f>
        <v/>
      </c>
      <c r="K68">
        <f>IF(A68="","",C68&gt;=D68)</f>
        <v/>
      </c>
      <c r="L68" s="7">
        <f>IF(A68="","",IF(A68&gt;=Model!$B$11,Model!$B$19*(1+Model!$B$13)^B68,0))</f>
        <v/>
      </c>
      <c r="M68" s="7">
        <f>IF(A68="","",IF(Model!$B$15&gt;0,Model!$B$21*(1+Model!$B$13)^B68,0))</f>
        <v/>
      </c>
    </row>
    <row r="69">
      <c r="A69">
        <f>IF(Model!$B$10+ROW()-2&lt;=Model!$B$4,Model!$B$10+ROW()-2,"")</f>
        <v/>
      </c>
      <c r="B69">
        <f>IF(A69="","",A69-Model!$B$10)</f>
        <v/>
      </c>
      <c r="C69" s="7">
        <f>IF(A69="","",Model!$B$5*(1+Model!$B$18)^B69)</f>
        <v/>
      </c>
      <c r="D69" s="7">
        <f>IF(A69="","",SUMPRODUCT(($A$2:$A$122&gt;=A69)*($A$2:$A$122&lt;&gt;"")*((Model!$B$6-IF($A$2:$A$122&gt;=Model!$B$11,Model!$B$20,0)-IF(($A$2:$A$122&gt;=A69)*($A$2:$A$122&lt;A69+Model!$B$15),Model!$B$22,0))&gt;0)*(Model!$B$6-IF($A$2:$A$122&gt;=Model!$B$11,Model!$B$20,0)-IF(($A$2:$A$122&gt;=A69)*($A$2:$A$122&lt;A69+Model!$B$15),Model!$B$22,0))/(1-Model!$B$9)/(1+Model!$B$18)^($A$2:$A$122-A69)))</f>
        <v/>
      </c>
      <c r="E69" s="7">
        <f>IF(A69="","",IF(A69&gt;=Model!$B$11,Model!$B$20,0))</f>
        <v/>
      </c>
      <c r="F69" s="7">
        <f>IF(A69="","",IF(Model!$B$15&gt;0,Model!$B$22,0))</f>
        <v/>
      </c>
      <c r="G69" s="7">
        <f>IF(A69="","",E69+F69)</f>
        <v/>
      </c>
      <c r="H69" s="7">
        <f>IF(A69="","",MAX(0,Model!$B$6-G69))</f>
        <v/>
      </c>
      <c r="I69" s="7">
        <f>IF(A69="","",H69/(1-Model!$B$9))</f>
        <v/>
      </c>
      <c r="J69" s="7">
        <f>IF(A69="","",C69-D69)</f>
        <v/>
      </c>
      <c r="K69">
        <f>IF(A69="","",C69&gt;=D69)</f>
        <v/>
      </c>
      <c r="L69" s="7">
        <f>IF(A69="","",IF(A69&gt;=Model!$B$11,Model!$B$19*(1+Model!$B$13)^B69,0))</f>
        <v/>
      </c>
      <c r="M69" s="7">
        <f>IF(A69="","",IF(Model!$B$15&gt;0,Model!$B$21*(1+Model!$B$13)^B69,0))</f>
        <v/>
      </c>
    </row>
    <row r="70">
      <c r="A70">
        <f>IF(Model!$B$10+ROW()-2&lt;=Model!$B$4,Model!$B$10+ROW()-2,"")</f>
        <v/>
      </c>
      <c r="B70">
        <f>IF(A70="","",A70-Model!$B$10)</f>
        <v/>
      </c>
      <c r="C70" s="7">
        <f>IF(A70="","",Model!$B$5*(1+Model!$B$18)^B70)</f>
        <v/>
      </c>
      <c r="D70" s="7">
        <f>IF(A70="","",SUMPRODUCT(($A$2:$A$122&gt;=A70)*($A$2:$A$122&lt;&gt;"")*((Model!$B$6-IF($A$2:$A$122&gt;=Model!$B$11,Model!$B$20,0)-IF(($A$2:$A$122&gt;=A70)*($A$2:$A$122&lt;A70+Model!$B$15),Model!$B$22,0))&gt;0)*(Model!$B$6-IF($A$2:$A$122&gt;=Model!$B$11,Model!$B$20,0)-IF(($A$2:$A$122&gt;=A70)*($A$2:$A$122&lt;A70+Model!$B$15),Model!$B$22,0))/(1-Model!$B$9)/(1+Model!$B$18)^($A$2:$A$122-A70)))</f>
        <v/>
      </c>
      <c r="E70" s="7">
        <f>IF(A70="","",IF(A70&gt;=Model!$B$11,Model!$B$20,0))</f>
        <v/>
      </c>
      <c r="F70" s="7">
        <f>IF(A70="","",IF(Model!$B$15&gt;0,Model!$B$22,0))</f>
        <v/>
      </c>
      <c r="G70" s="7">
        <f>IF(A70="","",E70+F70)</f>
        <v/>
      </c>
      <c r="H70" s="7">
        <f>IF(A70="","",MAX(0,Model!$B$6-G70))</f>
        <v/>
      </c>
      <c r="I70" s="7">
        <f>IF(A70="","",H70/(1-Model!$B$9))</f>
        <v/>
      </c>
      <c r="J70" s="7">
        <f>IF(A70="","",C70-D70)</f>
        <v/>
      </c>
      <c r="K70">
        <f>IF(A70="","",C70&gt;=D70)</f>
        <v/>
      </c>
      <c r="L70" s="7">
        <f>IF(A70="","",IF(A70&gt;=Model!$B$11,Model!$B$19*(1+Model!$B$13)^B70,0))</f>
        <v/>
      </c>
      <c r="M70" s="7">
        <f>IF(A70="","",IF(Model!$B$15&gt;0,Model!$B$21*(1+Model!$B$13)^B70,0))</f>
        <v/>
      </c>
    </row>
    <row r="71">
      <c r="A71">
        <f>IF(Model!$B$10+ROW()-2&lt;=Model!$B$4,Model!$B$10+ROW()-2,"")</f>
        <v/>
      </c>
      <c r="B71">
        <f>IF(A71="","",A71-Model!$B$10)</f>
        <v/>
      </c>
      <c r="C71" s="7">
        <f>IF(A71="","",Model!$B$5*(1+Model!$B$18)^B71)</f>
        <v/>
      </c>
      <c r="D71" s="7">
        <f>IF(A71="","",SUMPRODUCT(($A$2:$A$122&gt;=A71)*($A$2:$A$122&lt;&gt;"")*((Model!$B$6-IF($A$2:$A$122&gt;=Model!$B$11,Model!$B$20,0)-IF(($A$2:$A$122&gt;=A71)*($A$2:$A$122&lt;A71+Model!$B$15),Model!$B$22,0))&gt;0)*(Model!$B$6-IF($A$2:$A$122&gt;=Model!$B$11,Model!$B$20,0)-IF(($A$2:$A$122&gt;=A71)*($A$2:$A$122&lt;A71+Model!$B$15),Model!$B$22,0))/(1-Model!$B$9)/(1+Model!$B$18)^($A$2:$A$122-A71)))</f>
        <v/>
      </c>
      <c r="E71" s="7">
        <f>IF(A71="","",IF(A71&gt;=Model!$B$11,Model!$B$20,0))</f>
        <v/>
      </c>
      <c r="F71" s="7">
        <f>IF(A71="","",IF(Model!$B$15&gt;0,Model!$B$22,0))</f>
        <v/>
      </c>
      <c r="G71" s="7">
        <f>IF(A71="","",E71+F71)</f>
        <v/>
      </c>
      <c r="H71" s="7">
        <f>IF(A71="","",MAX(0,Model!$B$6-G71))</f>
        <v/>
      </c>
      <c r="I71" s="7">
        <f>IF(A71="","",H71/(1-Model!$B$9))</f>
        <v/>
      </c>
      <c r="J71" s="7">
        <f>IF(A71="","",C71-D71)</f>
        <v/>
      </c>
      <c r="K71">
        <f>IF(A71="","",C71&gt;=D71)</f>
        <v/>
      </c>
      <c r="L71" s="7">
        <f>IF(A71="","",IF(A71&gt;=Model!$B$11,Model!$B$19*(1+Model!$B$13)^B71,0))</f>
        <v/>
      </c>
      <c r="M71" s="7">
        <f>IF(A71="","",IF(Model!$B$15&gt;0,Model!$B$21*(1+Model!$B$13)^B71,0))</f>
        <v/>
      </c>
    </row>
    <row r="72">
      <c r="A72">
        <f>IF(Model!$B$10+ROW()-2&lt;=Model!$B$4,Model!$B$10+ROW()-2,"")</f>
        <v/>
      </c>
      <c r="B72">
        <f>IF(A72="","",A72-Model!$B$10)</f>
        <v/>
      </c>
      <c r="C72" s="7">
        <f>IF(A72="","",Model!$B$5*(1+Model!$B$18)^B72)</f>
        <v/>
      </c>
      <c r="D72" s="7">
        <f>IF(A72="","",SUMPRODUCT(($A$2:$A$122&gt;=A72)*($A$2:$A$122&lt;&gt;"")*((Model!$B$6-IF($A$2:$A$122&gt;=Model!$B$11,Model!$B$20,0)-IF(($A$2:$A$122&gt;=A72)*($A$2:$A$122&lt;A72+Model!$B$15),Model!$B$22,0))&gt;0)*(Model!$B$6-IF($A$2:$A$122&gt;=Model!$B$11,Model!$B$20,0)-IF(($A$2:$A$122&gt;=A72)*($A$2:$A$122&lt;A72+Model!$B$15),Model!$B$22,0))/(1-Model!$B$9)/(1+Model!$B$18)^($A$2:$A$122-A72)))</f>
        <v/>
      </c>
      <c r="E72" s="7">
        <f>IF(A72="","",IF(A72&gt;=Model!$B$11,Model!$B$20,0))</f>
        <v/>
      </c>
      <c r="F72" s="7">
        <f>IF(A72="","",IF(Model!$B$15&gt;0,Model!$B$22,0))</f>
        <v/>
      </c>
      <c r="G72" s="7">
        <f>IF(A72="","",E72+F72)</f>
        <v/>
      </c>
      <c r="H72" s="7">
        <f>IF(A72="","",MAX(0,Model!$B$6-G72))</f>
        <v/>
      </c>
      <c r="I72" s="7">
        <f>IF(A72="","",H72/(1-Model!$B$9))</f>
        <v/>
      </c>
      <c r="J72" s="7">
        <f>IF(A72="","",C72-D72)</f>
        <v/>
      </c>
      <c r="K72">
        <f>IF(A72="","",C72&gt;=D72)</f>
        <v/>
      </c>
      <c r="L72" s="7">
        <f>IF(A72="","",IF(A72&gt;=Model!$B$11,Model!$B$19*(1+Model!$B$13)^B72,0))</f>
        <v/>
      </c>
      <c r="M72" s="7">
        <f>IF(A72="","",IF(Model!$B$15&gt;0,Model!$B$21*(1+Model!$B$13)^B72,0))</f>
        <v/>
      </c>
    </row>
    <row r="73">
      <c r="A73">
        <f>IF(Model!$B$10+ROW()-2&lt;=Model!$B$4,Model!$B$10+ROW()-2,"")</f>
        <v/>
      </c>
      <c r="B73">
        <f>IF(A73="","",A73-Model!$B$10)</f>
        <v/>
      </c>
      <c r="C73" s="7">
        <f>IF(A73="","",Model!$B$5*(1+Model!$B$18)^B73)</f>
        <v/>
      </c>
      <c r="D73" s="7">
        <f>IF(A73="","",SUMPRODUCT(($A$2:$A$122&gt;=A73)*($A$2:$A$122&lt;&gt;"")*((Model!$B$6-IF($A$2:$A$122&gt;=Model!$B$11,Model!$B$20,0)-IF(($A$2:$A$122&gt;=A73)*($A$2:$A$122&lt;A73+Model!$B$15),Model!$B$22,0))&gt;0)*(Model!$B$6-IF($A$2:$A$122&gt;=Model!$B$11,Model!$B$20,0)-IF(($A$2:$A$122&gt;=A73)*($A$2:$A$122&lt;A73+Model!$B$15),Model!$B$22,0))/(1-Model!$B$9)/(1+Model!$B$18)^($A$2:$A$122-A73)))</f>
        <v/>
      </c>
      <c r="E73" s="7">
        <f>IF(A73="","",IF(A73&gt;=Model!$B$11,Model!$B$20,0))</f>
        <v/>
      </c>
      <c r="F73" s="7">
        <f>IF(A73="","",IF(Model!$B$15&gt;0,Model!$B$22,0))</f>
        <v/>
      </c>
      <c r="G73" s="7">
        <f>IF(A73="","",E73+F73)</f>
        <v/>
      </c>
      <c r="H73" s="7">
        <f>IF(A73="","",MAX(0,Model!$B$6-G73))</f>
        <v/>
      </c>
      <c r="I73" s="7">
        <f>IF(A73="","",H73/(1-Model!$B$9))</f>
        <v/>
      </c>
      <c r="J73" s="7">
        <f>IF(A73="","",C73-D73)</f>
        <v/>
      </c>
      <c r="K73">
        <f>IF(A73="","",C73&gt;=D73)</f>
        <v/>
      </c>
      <c r="L73" s="7">
        <f>IF(A73="","",IF(A73&gt;=Model!$B$11,Model!$B$19*(1+Model!$B$13)^B73,0))</f>
        <v/>
      </c>
      <c r="M73" s="7">
        <f>IF(A73="","",IF(Model!$B$15&gt;0,Model!$B$21*(1+Model!$B$13)^B73,0))</f>
        <v/>
      </c>
    </row>
    <row r="74">
      <c r="A74">
        <f>IF(Model!$B$10+ROW()-2&lt;=Model!$B$4,Model!$B$10+ROW()-2,"")</f>
        <v/>
      </c>
      <c r="B74">
        <f>IF(A74="","",A74-Model!$B$10)</f>
        <v/>
      </c>
      <c r="C74" s="7">
        <f>IF(A74="","",Model!$B$5*(1+Model!$B$18)^B74)</f>
        <v/>
      </c>
      <c r="D74" s="7">
        <f>IF(A74="","",SUMPRODUCT(($A$2:$A$122&gt;=A74)*($A$2:$A$122&lt;&gt;"")*((Model!$B$6-IF($A$2:$A$122&gt;=Model!$B$11,Model!$B$20,0)-IF(($A$2:$A$122&gt;=A74)*($A$2:$A$122&lt;A74+Model!$B$15),Model!$B$22,0))&gt;0)*(Model!$B$6-IF($A$2:$A$122&gt;=Model!$B$11,Model!$B$20,0)-IF(($A$2:$A$122&gt;=A74)*($A$2:$A$122&lt;A74+Model!$B$15),Model!$B$22,0))/(1-Model!$B$9)/(1+Model!$B$18)^($A$2:$A$122-A74)))</f>
        <v/>
      </c>
      <c r="E74" s="7">
        <f>IF(A74="","",IF(A74&gt;=Model!$B$11,Model!$B$20,0))</f>
        <v/>
      </c>
      <c r="F74" s="7">
        <f>IF(A74="","",IF(Model!$B$15&gt;0,Model!$B$22,0))</f>
        <v/>
      </c>
      <c r="G74" s="7">
        <f>IF(A74="","",E74+F74)</f>
        <v/>
      </c>
      <c r="H74" s="7">
        <f>IF(A74="","",MAX(0,Model!$B$6-G74))</f>
        <v/>
      </c>
      <c r="I74" s="7">
        <f>IF(A74="","",H74/(1-Model!$B$9))</f>
        <v/>
      </c>
      <c r="J74" s="7">
        <f>IF(A74="","",C74-D74)</f>
        <v/>
      </c>
      <c r="K74">
        <f>IF(A74="","",C74&gt;=D74)</f>
        <v/>
      </c>
      <c r="L74" s="7">
        <f>IF(A74="","",IF(A74&gt;=Model!$B$11,Model!$B$19*(1+Model!$B$13)^B74,0))</f>
        <v/>
      </c>
      <c r="M74" s="7">
        <f>IF(A74="","",IF(Model!$B$15&gt;0,Model!$B$21*(1+Model!$B$13)^B74,0))</f>
        <v/>
      </c>
    </row>
    <row r="75">
      <c r="A75">
        <f>IF(Model!$B$10+ROW()-2&lt;=Model!$B$4,Model!$B$10+ROW()-2,"")</f>
        <v/>
      </c>
      <c r="B75">
        <f>IF(A75="","",A75-Model!$B$10)</f>
        <v/>
      </c>
      <c r="C75" s="7">
        <f>IF(A75="","",Model!$B$5*(1+Model!$B$18)^B75)</f>
        <v/>
      </c>
      <c r="D75" s="7">
        <f>IF(A75="","",SUMPRODUCT(($A$2:$A$122&gt;=A75)*($A$2:$A$122&lt;&gt;"")*((Model!$B$6-IF($A$2:$A$122&gt;=Model!$B$11,Model!$B$20,0)-IF(($A$2:$A$122&gt;=A75)*($A$2:$A$122&lt;A75+Model!$B$15),Model!$B$22,0))&gt;0)*(Model!$B$6-IF($A$2:$A$122&gt;=Model!$B$11,Model!$B$20,0)-IF(($A$2:$A$122&gt;=A75)*($A$2:$A$122&lt;A75+Model!$B$15),Model!$B$22,0))/(1-Model!$B$9)/(1+Model!$B$18)^($A$2:$A$122-A75)))</f>
        <v/>
      </c>
      <c r="E75" s="7">
        <f>IF(A75="","",IF(A75&gt;=Model!$B$11,Model!$B$20,0))</f>
        <v/>
      </c>
      <c r="F75" s="7">
        <f>IF(A75="","",IF(Model!$B$15&gt;0,Model!$B$22,0))</f>
        <v/>
      </c>
      <c r="G75" s="7">
        <f>IF(A75="","",E75+F75)</f>
        <v/>
      </c>
      <c r="H75" s="7">
        <f>IF(A75="","",MAX(0,Model!$B$6-G75))</f>
        <v/>
      </c>
      <c r="I75" s="7">
        <f>IF(A75="","",H75/(1-Model!$B$9))</f>
        <v/>
      </c>
      <c r="J75" s="7">
        <f>IF(A75="","",C75-D75)</f>
        <v/>
      </c>
      <c r="K75">
        <f>IF(A75="","",C75&gt;=D75)</f>
        <v/>
      </c>
      <c r="L75" s="7">
        <f>IF(A75="","",IF(A75&gt;=Model!$B$11,Model!$B$19*(1+Model!$B$13)^B75,0))</f>
        <v/>
      </c>
      <c r="M75" s="7">
        <f>IF(A75="","",IF(Model!$B$15&gt;0,Model!$B$21*(1+Model!$B$13)^B75,0))</f>
        <v/>
      </c>
    </row>
    <row r="76">
      <c r="A76">
        <f>IF(Model!$B$10+ROW()-2&lt;=Model!$B$4,Model!$B$10+ROW()-2,"")</f>
        <v/>
      </c>
      <c r="B76">
        <f>IF(A76="","",A76-Model!$B$10)</f>
        <v/>
      </c>
      <c r="C76" s="7">
        <f>IF(A76="","",Model!$B$5*(1+Model!$B$18)^B76)</f>
        <v/>
      </c>
      <c r="D76" s="7">
        <f>IF(A76="","",SUMPRODUCT(($A$2:$A$122&gt;=A76)*($A$2:$A$122&lt;&gt;"")*((Model!$B$6-IF($A$2:$A$122&gt;=Model!$B$11,Model!$B$20,0)-IF(($A$2:$A$122&gt;=A76)*($A$2:$A$122&lt;A76+Model!$B$15),Model!$B$22,0))&gt;0)*(Model!$B$6-IF($A$2:$A$122&gt;=Model!$B$11,Model!$B$20,0)-IF(($A$2:$A$122&gt;=A76)*($A$2:$A$122&lt;A76+Model!$B$15),Model!$B$22,0))/(1-Model!$B$9)/(1+Model!$B$18)^($A$2:$A$122-A76)))</f>
        <v/>
      </c>
      <c r="E76" s="7">
        <f>IF(A76="","",IF(A76&gt;=Model!$B$11,Model!$B$20,0))</f>
        <v/>
      </c>
      <c r="F76" s="7">
        <f>IF(A76="","",IF(Model!$B$15&gt;0,Model!$B$22,0))</f>
        <v/>
      </c>
      <c r="G76" s="7">
        <f>IF(A76="","",E76+F76)</f>
        <v/>
      </c>
      <c r="H76" s="7">
        <f>IF(A76="","",MAX(0,Model!$B$6-G76))</f>
        <v/>
      </c>
      <c r="I76" s="7">
        <f>IF(A76="","",H76/(1-Model!$B$9))</f>
        <v/>
      </c>
      <c r="J76" s="7">
        <f>IF(A76="","",C76-D76)</f>
        <v/>
      </c>
      <c r="K76">
        <f>IF(A76="","",C76&gt;=D76)</f>
        <v/>
      </c>
      <c r="L76" s="7">
        <f>IF(A76="","",IF(A76&gt;=Model!$B$11,Model!$B$19*(1+Model!$B$13)^B76,0))</f>
        <v/>
      </c>
      <c r="M76" s="7">
        <f>IF(A76="","",IF(Model!$B$15&gt;0,Model!$B$21*(1+Model!$B$13)^B76,0))</f>
        <v/>
      </c>
    </row>
    <row r="77">
      <c r="A77">
        <f>IF(Model!$B$10+ROW()-2&lt;=Model!$B$4,Model!$B$10+ROW()-2,"")</f>
        <v/>
      </c>
      <c r="B77">
        <f>IF(A77="","",A77-Model!$B$10)</f>
        <v/>
      </c>
      <c r="C77" s="7">
        <f>IF(A77="","",Model!$B$5*(1+Model!$B$18)^B77)</f>
        <v/>
      </c>
      <c r="D77" s="7">
        <f>IF(A77="","",SUMPRODUCT(($A$2:$A$122&gt;=A77)*($A$2:$A$122&lt;&gt;"")*((Model!$B$6-IF($A$2:$A$122&gt;=Model!$B$11,Model!$B$20,0)-IF(($A$2:$A$122&gt;=A77)*($A$2:$A$122&lt;A77+Model!$B$15),Model!$B$22,0))&gt;0)*(Model!$B$6-IF($A$2:$A$122&gt;=Model!$B$11,Model!$B$20,0)-IF(($A$2:$A$122&gt;=A77)*($A$2:$A$122&lt;A77+Model!$B$15),Model!$B$22,0))/(1-Model!$B$9)/(1+Model!$B$18)^($A$2:$A$122-A77)))</f>
        <v/>
      </c>
      <c r="E77" s="7">
        <f>IF(A77="","",IF(A77&gt;=Model!$B$11,Model!$B$20,0))</f>
        <v/>
      </c>
      <c r="F77" s="7">
        <f>IF(A77="","",IF(Model!$B$15&gt;0,Model!$B$22,0))</f>
        <v/>
      </c>
      <c r="G77" s="7">
        <f>IF(A77="","",E77+F77)</f>
        <v/>
      </c>
      <c r="H77" s="7">
        <f>IF(A77="","",MAX(0,Model!$B$6-G77))</f>
        <v/>
      </c>
      <c r="I77" s="7">
        <f>IF(A77="","",H77/(1-Model!$B$9))</f>
        <v/>
      </c>
      <c r="J77" s="7">
        <f>IF(A77="","",C77-D77)</f>
        <v/>
      </c>
      <c r="K77">
        <f>IF(A77="","",C77&gt;=D77)</f>
        <v/>
      </c>
      <c r="L77" s="7">
        <f>IF(A77="","",IF(A77&gt;=Model!$B$11,Model!$B$19*(1+Model!$B$13)^B77,0))</f>
        <v/>
      </c>
      <c r="M77" s="7">
        <f>IF(A77="","",IF(Model!$B$15&gt;0,Model!$B$21*(1+Model!$B$13)^B77,0))</f>
        <v/>
      </c>
    </row>
    <row r="78">
      <c r="A78">
        <f>IF(Model!$B$10+ROW()-2&lt;=Model!$B$4,Model!$B$10+ROW()-2,"")</f>
        <v/>
      </c>
      <c r="B78">
        <f>IF(A78="","",A78-Model!$B$10)</f>
        <v/>
      </c>
      <c r="C78" s="7">
        <f>IF(A78="","",Model!$B$5*(1+Model!$B$18)^B78)</f>
        <v/>
      </c>
      <c r="D78" s="7">
        <f>IF(A78="","",SUMPRODUCT(($A$2:$A$122&gt;=A78)*($A$2:$A$122&lt;&gt;"")*((Model!$B$6-IF($A$2:$A$122&gt;=Model!$B$11,Model!$B$20,0)-IF(($A$2:$A$122&gt;=A78)*($A$2:$A$122&lt;A78+Model!$B$15),Model!$B$22,0))&gt;0)*(Model!$B$6-IF($A$2:$A$122&gt;=Model!$B$11,Model!$B$20,0)-IF(($A$2:$A$122&gt;=A78)*($A$2:$A$122&lt;A78+Model!$B$15),Model!$B$22,0))/(1-Model!$B$9)/(1+Model!$B$18)^($A$2:$A$122-A78)))</f>
        <v/>
      </c>
      <c r="E78" s="7">
        <f>IF(A78="","",IF(A78&gt;=Model!$B$11,Model!$B$20,0))</f>
        <v/>
      </c>
      <c r="F78" s="7">
        <f>IF(A78="","",IF(Model!$B$15&gt;0,Model!$B$22,0))</f>
        <v/>
      </c>
      <c r="G78" s="7">
        <f>IF(A78="","",E78+F78)</f>
        <v/>
      </c>
      <c r="H78" s="7">
        <f>IF(A78="","",MAX(0,Model!$B$6-G78))</f>
        <v/>
      </c>
      <c r="I78" s="7">
        <f>IF(A78="","",H78/(1-Model!$B$9))</f>
        <v/>
      </c>
      <c r="J78" s="7">
        <f>IF(A78="","",C78-D78)</f>
        <v/>
      </c>
      <c r="K78">
        <f>IF(A78="","",C78&gt;=D78)</f>
        <v/>
      </c>
      <c r="L78" s="7">
        <f>IF(A78="","",IF(A78&gt;=Model!$B$11,Model!$B$19*(1+Model!$B$13)^B78,0))</f>
        <v/>
      </c>
      <c r="M78" s="7">
        <f>IF(A78="","",IF(Model!$B$15&gt;0,Model!$B$21*(1+Model!$B$13)^B78,0))</f>
        <v/>
      </c>
    </row>
    <row r="79">
      <c r="A79">
        <f>IF(Model!$B$10+ROW()-2&lt;=Model!$B$4,Model!$B$10+ROW()-2,"")</f>
        <v/>
      </c>
      <c r="B79">
        <f>IF(A79="","",A79-Model!$B$10)</f>
        <v/>
      </c>
      <c r="C79" s="7">
        <f>IF(A79="","",Model!$B$5*(1+Model!$B$18)^B79)</f>
        <v/>
      </c>
      <c r="D79" s="7">
        <f>IF(A79="","",SUMPRODUCT(($A$2:$A$122&gt;=A79)*($A$2:$A$122&lt;&gt;"")*((Model!$B$6-IF($A$2:$A$122&gt;=Model!$B$11,Model!$B$20,0)-IF(($A$2:$A$122&gt;=A79)*($A$2:$A$122&lt;A79+Model!$B$15),Model!$B$22,0))&gt;0)*(Model!$B$6-IF($A$2:$A$122&gt;=Model!$B$11,Model!$B$20,0)-IF(($A$2:$A$122&gt;=A79)*($A$2:$A$122&lt;A79+Model!$B$15),Model!$B$22,0))/(1-Model!$B$9)/(1+Model!$B$18)^($A$2:$A$122-A79)))</f>
        <v/>
      </c>
      <c r="E79" s="7">
        <f>IF(A79="","",IF(A79&gt;=Model!$B$11,Model!$B$20,0))</f>
        <v/>
      </c>
      <c r="F79" s="7">
        <f>IF(A79="","",IF(Model!$B$15&gt;0,Model!$B$22,0))</f>
        <v/>
      </c>
      <c r="G79" s="7">
        <f>IF(A79="","",E79+F79)</f>
        <v/>
      </c>
      <c r="H79" s="7">
        <f>IF(A79="","",MAX(0,Model!$B$6-G79))</f>
        <v/>
      </c>
      <c r="I79" s="7">
        <f>IF(A79="","",H79/(1-Model!$B$9))</f>
        <v/>
      </c>
      <c r="J79" s="7">
        <f>IF(A79="","",C79-D79)</f>
        <v/>
      </c>
      <c r="K79">
        <f>IF(A79="","",C79&gt;=D79)</f>
        <v/>
      </c>
      <c r="L79" s="7">
        <f>IF(A79="","",IF(A79&gt;=Model!$B$11,Model!$B$19*(1+Model!$B$13)^B79,0))</f>
        <v/>
      </c>
      <c r="M79" s="7">
        <f>IF(A79="","",IF(Model!$B$15&gt;0,Model!$B$21*(1+Model!$B$13)^B79,0))</f>
        <v/>
      </c>
    </row>
    <row r="80">
      <c r="A80">
        <f>IF(Model!$B$10+ROW()-2&lt;=Model!$B$4,Model!$B$10+ROW()-2,"")</f>
        <v/>
      </c>
      <c r="B80">
        <f>IF(A80="","",A80-Model!$B$10)</f>
        <v/>
      </c>
      <c r="C80" s="7">
        <f>IF(A80="","",Model!$B$5*(1+Model!$B$18)^B80)</f>
        <v/>
      </c>
      <c r="D80" s="7">
        <f>IF(A80="","",SUMPRODUCT(($A$2:$A$122&gt;=A80)*($A$2:$A$122&lt;&gt;"")*((Model!$B$6-IF($A$2:$A$122&gt;=Model!$B$11,Model!$B$20,0)-IF(($A$2:$A$122&gt;=A80)*($A$2:$A$122&lt;A80+Model!$B$15),Model!$B$22,0))&gt;0)*(Model!$B$6-IF($A$2:$A$122&gt;=Model!$B$11,Model!$B$20,0)-IF(($A$2:$A$122&gt;=A80)*($A$2:$A$122&lt;A80+Model!$B$15),Model!$B$22,0))/(1-Model!$B$9)/(1+Model!$B$18)^($A$2:$A$122-A80)))</f>
        <v/>
      </c>
      <c r="E80" s="7">
        <f>IF(A80="","",IF(A80&gt;=Model!$B$11,Model!$B$20,0))</f>
        <v/>
      </c>
      <c r="F80" s="7">
        <f>IF(A80="","",IF(Model!$B$15&gt;0,Model!$B$22,0))</f>
        <v/>
      </c>
      <c r="G80" s="7">
        <f>IF(A80="","",E80+F80)</f>
        <v/>
      </c>
      <c r="H80" s="7">
        <f>IF(A80="","",MAX(0,Model!$B$6-G80))</f>
        <v/>
      </c>
      <c r="I80" s="7">
        <f>IF(A80="","",H80/(1-Model!$B$9))</f>
        <v/>
      </c>
      <c r="J80" s="7">
        <f>IF(A80="","",C80-D80)</f>
        <v/>
      </c>
      <c r="K80">
        <f>IF(A80="","",C80&gt;=D80)</f>
        <v/>
      </c>
      <c r="L80" s="7">
        <f>IF(A80="","",IF(A80&gt;=Model!$B$11,Model!$B$19*(1+Model!$B$13)^B80,0))</f>
        <v/>
      </c>
      <c r="M80" s="7">
        <f>IF(A80="","",IF(Model!$B$15&gt;0,Model!$B$21*(1+Model!$B$13)^B80,0))</f>
        <v/>
      </c>
    </row>
    <row r="81">
      <c r="A81">
        <f>IF(Model!$B$10+ROW()-2&lt;=Model!$B$4,Model!$B$10+ROW()-2,"")</f>
        <v/>
      </c>
      <c r="B81">
        <f>IF(A81="","",A81-Model!$B$10)</f>
        <v/>
      </c>
      <c r="C81" s="7">
        <f>IF(A81="","",Model!$B$5*(1+Model!$B$18)^B81)</f>
        <v/>
      </c>
      <c r="D81" s="7">
        <f>IF(A81="","",SUMPRODUCT(($A$2:$A$122&gt;=A81)*($A$2:$A$122&lt;&gt;"")*((Model!$B$6-IF($A$2:$A$122&gt;=Model!$B$11,Model!$B$20,0)-IF(($A$2:$A$122&gt;=A81)*($A$2:$A$122&lt;A81+Model!$B$15),Model!$B$22,0))&gt;0)*(Model!$B$6-IF($A$2:$A$122&gt;=Model!$B$11,Model!$B$20,0)-IF(($A$2:$A$122&gt;=A81)*($A$2:$A$122&lt;A81+Model!$B$15),Model!$B$22,0))/(1-Model!$B$9)/(1+Model!$B$18)^($A$2:$A$122-A81)))</f>
        <v/>
      </c>
      <c r="E81" s="7">
        <f>IF(A81="","",IF(A81&gt;=Model!$B$11,Model!$B$20,0))</f>
        <v/>
      </c>
      <c r="F81" s="7">
        <f>IF(A81="","",IF(Model!$B$15&gt;0,Model!$B$22,0))</f>
        <v/>
      </c>
      <c r="G81" s="7">
        <f>IF(A81="","",E81+F81)</f>
        <v/>
      </c>
      <c r="H81" s="7">
        <f>IF(A81="","",MAX(0,Model!$B$6-G81))</f>
        <v/>
      </c>
      <c r="I81" s="7">
        <f>IF(A81="","",H81/(1-Model!$B$9))</f>
        <v/>
      </c>
      <c r="J81" s="7">
        <f>IF(A81="","",C81-D81)</f>
        <v/>
      </c>
      <c r="K81">
        <f>IF(A81="","",C81&gt;=D81)</f>
        <v/>
      </c>
      <c r="L81" s="7">
        <f>IF(A81="","",IF(A81&gt;=Model!$B$11,Model!$B$19*(1+Model!$B$13)^B81,0))</f>
        <v/>
      </c>
      <c r="M81" s="7">
        <f>IF(A81="","",IF(Model!$B$15&gt;0,Model!$B$21*(1+Model!$B$13)^B81,0))</f>
        <v/>
      </c>
    </row>
    <row r="82">
      <c r="A82">
        <f>IF(Model!$B$10+ROW()-2&lt;=Model!$B$4,Model!$B$10+ROW()-2,"")</f>
        <v/>
      </c>
      <c r="B82">
        <f>IF(A82="","",A82-Model!$B$10)</f>
        <v/>
      </c>
      <c r="C82" s="7">
        <f>IF(A82="","",Model!$B$5*(1+Model!$B$18)^B82)</f>
        <v/>
      </c>
      <c r="D82" s="7">
        <f>IF(A82="","",SUMPRODUCT(($A$2:$A$122&gt;=A82)*($A$2:$A$122&lt;&gt;"")*((Model!$B$6-IF($A$2:$A$122&gt;=Model!$B$11,Model!$B$20,0)-IF(($A$2:$A$122&gt;=A82)*($A$2:$A$122&lt;A82+Model!$B$15),Model!$B$22,0))&gt;0)*(Model!$B$6-IF($A$2:$A$122&gt;=Model!$B$11,Model!$B$20,0)-IF(($A$2:$A$122&gt;=A82)*($A$2:$A$122&lt;A82+Model!$B$15),Model!$B$22,0))/(1-Model!$B$9)/(1+Model!$B$18)^($A$2:$A$122-A82)))</f>
        <v/>
      </c>
      <c r="E82" s="7">
        <f>IF(A82="","",IF(A82&gt;=Model!$B$11,Model!$B$20,0))</f>
        <v/>
      </c>
      <c r="F82" s="7">
        <f>IF(A82="","",IF(Model!$B$15&gt;0,Model!$B$22,0))</f>
        <v/>
      </c>
      <c r="G82" s="7">
        <f>IF(A82="","",E82+F82)</f>
        <v/>
      </c>
      <c r="H82" s="7">
        <f>IF(A82="","",MAX(0,Model!$B$6-G82))</f>
        <v/>
      </c>
      <c r="I82" s="7">
        <f>IF(A82="","",H82/(1-Model!$B$9))</f>
        <v/>
      </c>
      <c r="J82" s="7">
        <f>IF(A82="","",C82-D82)</f>
        <v/>
      </c>
      <c r="K82">
        <f>IF(A82="","",C82&gt;=D82)</f>
        <v/>
      </c>
      <c r="L82" s="7">
        <f>IF(A82="","",IF(A82&gt;=Model!$B$11,Model!$B$19*(1+Model!$B$13)^B82,0))</f>
        <v/>
      </c>
      <c r="M82" s="7">
        <f>IF(A82="","",IF(Model!$B$15&gt;0,Model!$B$21*(1+Model!$B$13)^B82,0))</f>
        <v/>
      </c>
    </row>
    <row r="83">
      <c r="A83">
        <f>IF(Model!$B$10+ROW()-2&lt;=Model!$B$4,Model!$B$10+ROW()-2,"")</f>
        <v/>
      </c>
      <c r="B83">
        <f>IF(A83="","",A83-Model!$B$10)</f>
        <v/>
      </c>
      <c r="C83" s="7">
        <f>IF(A83="","",Model!$B$5*(1+Model!$B$18)^B83)</f>
        <v/>
      </c>
      <c r="D83" s="7">
        <f>IF(A83="","",SUMPRODUCT(($A$2:$A$122&gt;=A83)*($A$2:$A$122&lt;&gt;"")*((Model!$B$6-IF($A$2:$A$122&gt;=Model!$B$11,Model!$B$20,0)-IF(($A$2:$A$122&gt;=A83)*($A$2:$A$122&lt;A83+Model!$B$15),Model!$B$22,0))&gt;0)*(Model!$B$6-IF($A$2:$A$122&gt;=Model!$B$11,Model!$B$20,0)-IF(($A$2:$A$122&gt;=A83)*($A$2:$A$122&lt;A83+Model!$B$15),Model!$B$22,0))/(1-Model!$B$9)/(1+Model!$B$18)^($A$2:$A$122-A83)))</f>
        <v/>
      </c>
      <c r="E83" s="7">
        <f>IF(A83="","",IF(A83&gt;=Model!$B$11,Model!$B$20,0))</f>
        <v/>
      </c>
      <c r="F83" s="7">
        <f>IF(A83="","",IF(Model!$B$15&gt;0,Model!$B$22,0))</f>
        <v/>
      </c>
      <c r="G83" s="7">
        <f>IF(A83="","",E83+F83)</f>
        <v/>
      </c>
      <c r="H83" s="7">
        <f>IF(A83="","",MAX(0,Model!$B$6-G83))</f>
        <v/>
      </c>
      <c r="I83" s="7">
        <f>IF(A83="","",H83/(1-Model!$B$9))</f>
        <v/>
      </c>
      <c r="J83" s="7">
        <f>IF(A83="","",C83-D83)</f>
        <v/>
      </c>
      <c r="K83">
        <f>IF(A83="","",C83&gt;=D83)</f>
        <v/>
      </c>
      <c r="L83" s="7">
        <f>IF(A83="","",IF(A83&gt;=Model!$B$11,Model!$B$19*(1+Model!$B$13)^B83,0))</f>
        <v/>
      </c>
      <c r="M83" s="7">
        <f>IF(A83="","",IF(Model!$B$15&gt;0,Model!$B$21*(1+Model!$B$13)^B83,0))</f>
        <v/>
      </c>
    </row>
    <row r="84">
      <c r="A84">
        <f>IF(Model!$B$10+ROW()-2&lt;=Model!$B$4,Model!$B$10+ROW()-2,"")</f>
        <v/>
      </c>
      <c r="B84">
        <f>IF(A84="","",A84-Model!$B$10)</f>
        <v/>
      </c>
      <c r="C84" s="7">
        <f>IF(A84="","",Model!$B$5*(1+Model!$B$18)^B84)</f>
        <v/>
      </c>
      <c r="D84" s="7">
        <f>IF(A84="","",SUMPRODUCT(($A$2:$A$122&gt;=A84)*($A$2:$A$122&lt;&gt;"")*((Model!$B$6-IF($A$2:$A$122&gt;=Model!$B$11,Model!$B$20,0)-IF(($A$2:$A$122&gt;=A84)*($A$2:$A$122&lt;A84+Model!$B$15),Model!$B$22,0))&gt;0)*(Model!$B$6-IF($A$2:$A$122&gt;=Model!$B$11,Model!$B$20,0)-IF(($A$2:$A$122&gt;=A84)*($A$2:$A$122&lt;A84+Model!$B$15),Model!$B$22,0))/(1-Model!$B$9)/(1+Model!$B$18)^($A$2:$A$122-A84)))</f>
        <v/>
      </c>
      <c r="E84" s="7">
        <f>IF(A84="","",IF(A84&gt;=Model!$B$11,Model!$B$20,0))</f>
        <v/>
      </c>
      <c r="F84" s="7">
        <f>IF(A84="","",IF(Model!$B$15&gt;0,Model!$B$22,0))</f>
        <v/>
      </c>
      <c r="G84" s="7">
        <f>IF(A84="","",E84+F84)</f>
        <v/>
      </c>
      <c r="H84" s="7">
        <f>IF(A84="","",MAX(0,Model!$B$6-G84))</f>
        <v/>
      </c>
      <c r="I84" s="7">
        <f>IF(A84="","",H84/(1-Model!$B$9))</f>
        <v/>
      </c>
      <c r="J84" s="7">
        <f>IF(A84="","",C84-D84)</f>
        <v/>
      </c>
      <c r="K84">
        <f>IF(A84="","",C84&gt;=D84)</f>
        <v/>
      </c>
      <c r="L84" s="7">
        <f>IF(A84="","",IF(A84&gt;=Model!$B$11,Model!$B$19*(1+Model!$B$13)^B84,0))</f>
        <v/>
      </c>
      <c r="M84" s="7">
        <f>IF(A84="","",IF(Model!$B$15&gt;0,Model!$B$21*(1+Model!$B$13)^B84,0))</f>
        <v/>
      </c>
    </row>
    <row r="85">
      <c r="A85">
        <f>IF(Model!$B$10+ROW()-2&lt;=Model!$B$4,Model!$B$10+ROW()-2,"")</f>
        <v/>
      </c>
      <c r="B85">
        <f>IF(A85="","",A85-Model!$B$10)</f>
        <v/>
      </c>
      <c r="C85" s="7">
        <f>IF(A85="","",Model!$B$5*(1+Model!$B$18)^B85)</f>
        <v/>
      </c>
      <c r="D85" s="7">
        <f>IF(A85="","",SUMPRODUCT(($A$2:$A$122&gt;=A85)*($A$2:$A$122&lt;&gt;"")*((Model!$B$6-IF($A$2:$A$122&gt;=Model!$B$11,Model!$B$20,0)-IF(($A$2:$A$122&gt;=A85)*($A$2:$A$122&lt;A85+Model!$B$15),Model!$B$22,0))&gt;0)*(Model!$B$6-IF($A$2:$A$122&gt;=Model!$B$11,Model!$B$20,0)-IF(($A$2:$A$122&gt;=A85)*($A$2:$A$122&lt;A85+Model!$B$15),Model!$B$22,0))/(1-Model!$B$9)/(1+Model!$B$18)^($A$2:$A$122-A85)))</f>
        <v/>
      </c>
      <c r="E85" s="7">
        <f>IF(A85="","",IF(A85&gt;=Model!$B$11,Model!$B$20,0))</f>
        <v/>
      </c>
      <c r="F85" s="7">
        <f>IF(A85="","",IF(Model!$B$15&gt;0,Model!$B$22,0))</f>
        <v/>
      </c>
      <c r="G85" s="7">
        <f>IF(A85="","",E85+F85)</f>
        <v/>
      </c>
      <c r="H85" s="7">
        <f>IF(A85="","",MAX(0,Model!$B$6-G85))</f>
        <v/>
      </c>
      <c r="I85" s="7">
        <f>IF(A85="","",H85/(1-Model!$B$9))</f>
        <v/>
      </c>
      <c r="J85" s="7">
        <f>IF(A85="","",C85-D85)</f>
        <v/>
      </c>
      <c r="K85">
        <f>IF(A85="","",C85&gt;=D85)</f>
        <v/>
      </c>
      <c r="L85" s="7">
        <f>IF(A85="","",IF(A85&gt;=Model!$B$11,Model!$B$19*(1+Model!$B$13)^B85,0))</f>
        <v/>
      </c>
      <c r="M85" s="7">
        <f>IF(A85="","",IF(Model!$B$15&gt;0,Model!$B$21*(1+Model!$B$13)^B85,0))</f>
        <v/>
      </c>
    </row>
    <row r="86">
      <c r="A86">
        <f>IF(Model!$B$10+ROW()-2&lt;=Model!$B$4,Model!$B$10+ROW()-2,"")</f>
        <v/>
      </c>
      <c r="B86">
        <f>IF(A86="","",A86-Model!$B$10)</f>
        <v/>
      </c>
      <c r="C86" s="7">
        <f>IF(A86="","",Model!$B$5*(1+Model!$B$18)^B86)</f>
        <v/>
      </c>
      <c r="D86" s="7">
        <f>IF(A86="","",SUMPRODUCT(($A$2:$A$122&gt;=A86)*($A$2:$A$122&lt;&gt;"")*((Model!$B$6-IF($A$2:$A$122&gt;=Model!$B$11,Model!$B$20,0)-IF(($A$2:$A$122&gt;=A86)*($A$2:$A$122&lt;A86+Model!$B$15),Model!$B$22,0))&gt;0)*(Model!$B$6-IF($A$2:$A$122&gt;=Model!$B$11,Model!$B$20,0)-IF(($A$2:$A$122&gt;=A86)*($A$2:$A$122&lt;A86+Model!$B$15),Model!$B$22,0))/(1-Model!$B$9)/(1+Model!$B$18)^($A$2:$A$122-A86)))</f>
        <v/>
      </c>
      <c r="E86" s="7">
        <f>IF(A86="","",IF(A86&gt;=Model!$B$11,Model!$B$20,0))</f>
        <v/>
      </c>
      <c r="F86" s="7">
        <f>IF(A86="","",IF(Model!$B$15&gt;0,Model!$B$22,0))</f>
        <v/>
      </c>
      <c r="G86" s="7">
        <f>IF(A86="","",E86+F86)</f>
        <v/>
      </c>
      <c r="H86" s="7">
        <f>IF(A86="","",MAX(0,Model!$B$6-G86))</f>
        <v/>
      </c>
      <c r="I86" s="7">
        <f>IF(A86="","",H86/(1-Model!$B$9))</f>
        <v/>
      </c>
      <c r="J86" s="7">
        <f>IF(A86="","",C86-D86)</f>
        <v/>
      </c>
      <c r="K86">
        <f>IF(A86="","",C86&gt;=D86)</f>
        <v/>
      </c>
      <c r="L86" s="7">
        <f>IF(A86="","",IF(A86&gt;=Model!$B$11,Model!$B$19*(1+Model!$B$13)^B86,0))</f>
        <v/>
      </c>
      <c r="M86" s="7">
        <f>IF(A86="","",IF(Model!$B$15&gt;0,Model!$B$21*(1+Model!$B$13)^B86,0))</f>
        <v/>
      </c>
    </row>
    <row r="87">
      <c r="A87">
        <f>IF(Model!$B$10+ROW()-2&lt;=Model!$B$4,Model!$B$10+ROW()-2,"")</f>
        <v/>
      </c>
      <c r="B87">
        <f>IF(A87="","",A87-Model!$B$10)</f>
        <v/>
      </c>
      <c r="C87" s="7">
        <f>IF(A87="","",Model!$B$5*(1+Model!$B$18)^B87)</f>
        <v/>
      </c>
      <c r="D87" s="7">
        <f>IF(A87="","",SUMPRODUCT(($A$2:$A$122&gt;=A87)*($A$2:$A$122&lt;&gt;"")*((Model!$B$6-IF($A$2:$A$122&gt;=Model!$B$11,Model!$B$20,0)-IF(($A$2:$A$122&gt;=A87)*($A$2:$A$122&lt;A87+Model!$B$15),Model!$B$22,0))&gt;0)*(Model!$B$6-IF($A$2:$A$122&gt;=Model!$B$11,Model!$B$20,0)-IF(($A$2:$A$122&gt;=A87)*($A$2:$A$122&lt;A87+Model!$B$15),Model!$B$22,0))/(1-Model!$B$9)/(1+Model!$B$18)^($A$2:$A$122-A87)))</f>
        <v/>
      </c>
      <c r="E87" s="7">
        <f>IF(A87="","",IF(A87&gt;=Model!$B$11,Model!$B$20,0))</f>
        <v/>
      </c>
      <c r="F87" s="7">
        <f>IF(A87="","",IF(Model!$B$15&gt;0,Model!$B$22,0))</f>
        <v/>
      </c>
      <c r="G87" s="7">
        <f>IF(A87="","",E87+F87)</f>
        <v/>
      </c>
      <c r="H87" s="7">
        <f>IF(A87="","",MAX(0,Model!$B$6-G87))</f>
        <v/>
      </c>
      <c r="I87" s="7">
        <f>IF(A87="","",H87/(1-Model!$B$9))</f>
        <v/>
      </c>
      <c r="J87" s="7">
        <f>IF(A87="","",C87-D87)</f>
        <v/>
      </c>
      <c r="K87">
        <f>IF(A87="","",C87&gt;=D87)</f>
        <v/>
      </c>
      <c r="L87" s="7">
        <f>IF(A87="","",IF(A87&gt;=Model!$B$11,Model!$B$19*(1+Model!$B$13)^B87,0))</f>
        <v/>
      </c>
      <c r="M87" s="7">
        <f>IF(A87="","",IF(Model!$B$15&gt;0,Model!$B$21*(1+Model!$B$13)^B87,0))</f>
        <v/>
      </c>
    </row>
    <row r="88">
      <c r="A88">
        <f>IF(Model!$B$10+ROW()-2&lt;=Model!$B$4,Model!$B$10+ROW()-2,"")</f>
        <v/>
      </c>
      <c r="B88">
        <f>IF(A88="","",A88-Model!$B$10)</f>
        <v/>
      </c>
      <c r="C88" s="7">
        <f>IF(A88="","",Model!$B$5*(1+Model!$B$18)^B88)</f>
        <v/>
      </c>
      <c r="D88" s="7">
        <f>IF(A88="","",SUMPRODUCT(($A$2:$A$122&gt;=A88)*($A$2:$A$122&lt;&gt;"")*((Model!$B$6-IF($A$2:$A$122&gt;=Model!$B$11,Model!$B$20,0)-IF(($A$2:$A$122&gt;=A88)*($A$2:$A$122&lt;A88+Model!$B$15),Model!$B$22,0))&gt;0)*(Model!$B$6-IF($A$2:$A$122&gt;=Model!$B$11,Model!$B$20,0)-IF(($A$2:$A$122&gt;=A88)*($A$2:$A$122&lt;A88+Model!$B$15),Model!$B$22,0))/(1-Model!$B$9)/(1+Model!$B$18)^($A$2:$A$122-A88)))</f>
        <v/>
      </c>
      <c r="E88" s="7">
        <f>IF(A88="","",IF(A88&gt;=Model!$B$11,Model!$B$20,0))</f>
        <v/>
      </c>
      <c r="F88" s="7">
        <f>IF(A88="","",IF(Model!$B$15&gt;0,Model!$B$22,0))</f>
        <v/>
      </c>
      <c r="G88" s="7">
        <f>IF(A88="","",E88+F88)</f>
        <v/>
      </c>
      <c r="H88" s="7">
        <f>IF(A88="","",MAX(0,Model!$B$6-G88))</f>
        <v/>
      </c>
      <c r="I88" s="7">
        <f>IF(A88="","",H88/(1-Model!$B$9))</f>
        <v/>
      </c>
      <c r="J88" s="7">
        <f>IF(A88="","",C88-D88)</f>
        <v/>
      </c>
      <c r="K88">
        <f>IF(A88="","",C88&gt;=D88)</f>
        <v/>
      </c>
      <c r="L88" s="7">
        <f>IF(A88="","",IF(A88&gt;=Model!$B$11,Model!$B$19*(1+Model!$B$13)^B88,0))</f>
        <v/>
      </c>
      <c r="M88" s="7">
        <f>IF(A88="","",IF(Model!$B$15&gt;0,Model!$B$21*(1+Model!$B$13)^B88,0))</f>
        <v/>
      </c>
    </row>
    <row r="89">
      <c r="A89">
        <f>IF(Model!$B$10+ROW()-2&lt;=Model!$B$4,Model!$B$10+ROW()-2,"")</f>
        <v/>
      </c>
      <c r="B89">
        <f>IF(A89="","",A89-Model!$B$10)</f>
        <v/>
      </c>
      <c r="C89" s="7">
        <f>IF(A89="","",Model!$B$5*(1+Model!$B$18)^B89)</f>
        <v/>
      </c>
      <c r="D89" s="7">
        <f>IF(A89="","",SUMPRODUCT(($A$2:$A$122&gt;=A89)*($A$2:$A$122&lt;&gt;"")*((Model!$B$6-IF($A$2:$A$122&gt;=Model!$B$11,Model!$B$20,0)-IF(($A$2:$A$122&gt;=A89)*($A$2:$A$122&lt;A89+Model!$B$15),Model!$B$22,0))&gt;0)*(Model!$B$6-IF($A$2:$A$122&gt;=Model!$B$11,Model!$B$20,0)-IF(($A$2:$A$122&gt;=A89)*($A$2:$A$122&lt;A89+Model!$B$15),Model!$B$22,0))/(1-Model!$B$9)/(1+Model!$B$18)^($A$2:$A$122-A89)))</f>
        <v/>
      </c>
      <c r="E89" s="7">
        <f>IF(A89="","",IF(A89&gt;=Model!$B$11,Model!$B$20,0))</f>
        <v/>
      </c>
      <c r="F89" s="7">
        <f>IF(A89="","",IF(Model!$B$15&gt;0,Model!$B$22,0))</f>
        <v/>
      </c>
      <c r="G89" s="7">
        <f>IF(A89="","",E89+F89)</f>
        <v/>
      </c>
      <c r="H89" s="7">
        <f>IF(A89="","",MAX(0,Model!$B$6-G89))</f>
        <v/>
      </c>
      <c r="I89" s="7">
        <f>IF(A89="","",H89/(1-Model!$B$9))</f>
        <v/>
      </c>
      <c r="J89" s="7">
        <f>IF(A89="","",C89-D89)</f>
        <v/>
      </c>
      <c r="K89">
        <f>IF(A89="","",C89&gt;=D89)</f>
        <v/>
      </c>
      <c r="L89" s="7">
        <f>IF(A89="","",IF(A89&gt;=Model!$B$11,Model!$B$19*(1+Model!$B$13)^B89,0))</f>
        <v/>
      </c>
      <c r="M89" s="7">
        <f>IF(A89="","",IF(Model!$B$15&gt;0,Model!$B$21*(1+Model!$B$13)^B89,0))</f>
        <v/>
      </c>
    </row>
    <row r="90">
      <c r="A90">
        <f>IF(Model!$B$10+ROW()-2&lt;=Model!$B$4,Model!$B$10+ROW()-2,"")</f>
        <v/>
      </c>
      <c r="B90">
        <f>IF(A90="","",A90-Model!$B$10)</f>
        <v/>
      </c>
      <c r="C90" s="7">
        <f>IF(A90="","",Model!$B$5*(1+Model!$B$18)^B90)</f>
        <v/>
      </c>
      <c r="D90" s="7">
        <f>IF(A90="","",SUMPRODUCT(($A$2:$A$122&gt;=A90)*($A$2:$A$122&lt;&gt;"")*((Model!$B$6-IF($A$2:$A$122&gt;=Model!$B$11,Model!$B$20,0)-IF(($A$2:$A$122&gt;=A90)*($A$2:$A$122&lt;A90+Model!$B$15),Model!$B$22,0))&gt;0)*(Model!$B$6-IF($A$2:$A$122&gt;=Model!$B$11,Model!$B$20,0)-IF(($A$2:$A$122&gt;=A90)*($A$2:$A$122&lt;A90+Model!$B$15),Model!$B$22,0))/(1-Model!$B$9)/(1+Model!$B$18)^($A$2:$A$122-A90)))</f>
        <v/>
      </c>
      <c r="E90" s="7">
        <f>IF(A90="","",IF(A90&gt;=Model!$B$11,Model!$B$20,0))</f>
        <v/>
      </c>
      <c r="F90" s="7">
        <f>IF(A90="","",IF(Model!$B$15&gt;0,Model!$B$22,0))</f>
        <v/>
      </c>
      <c r="G90" s="7">
        <f>IF(A90="","",E90+F90)</f>
        <v/>
      </c>
      <c r="H90" s="7">
        <f>IF(A90="","",MAX(0,Model!$B$6-G90))</f>
        <v/>
      </c>
      <c r="I90" s="7">
        <f>IF(A90="","",H90/(1-Model!$B$9))</f>
        <v/>
      </c>
      <c r="J90" s="7">
        <f>IF(A90="","",C90-D90)</f>
        <v/>
      </c>
      <c r="K90">
        <f>IF(A90="","",C90&gt;=D90)</f>
        <v/>
      </c>
      <c r="L90" s="7">
        <f>IF(A90="","",IF(A90&gt;=Model!$B$11,Model!$B$19*(1+Model!$B$13)^B90,0))</f>
        <v/>
      </c>
      <c r="M90" s="7">
        <f>IF(A90="","",IF(Model!$B$15&gt;0,Model!$B$21*(1+Model!$B$13)^B90,0))</f>
        <v/>
      </c>
    </row>
    <row r="91">
      <c r="A91">
        <f>IF(Model!$B$10+ROW()-2&lt;=Model!$B$4,Model!$B$10+ROW()-2,"")</f>
        <v/>
      </c>
      <c r="B91">
        <f>IF(A91="","",A91-Model!$B$10)</f>
        <v/>
      </c>
      <c r="C91" s="7">
        <f>IF(A91="","",Model!$B$5*(1+Model!$B$18)^B91)</f>
        <v/>
      </c>
      <c r="D91" s="7">
        <f>IF(A91="","",SUMPRODUCT(($A$2:$A$122&gt;=A91)*($A$2:$A$122&lt;&gt;"")*((Model!$B$6-IF($A$2:$A$122&gt;=Model!$B$11,Model!$B$20,0)-IF(($A$2:$A$122&gt;=A91)*($A$2:$A$122&lt;A91+Model!$B$15),Model!$B$22,0))&gt;0)*(Model!$B$6-IF($A$2:$A$122&gt;=Model!$B$11,Model!$B$20,0)-IF(($A$2:$A$122&gt;=A91)*($A$2:$A$122&lt;A91+Model!$B$15),Model!$B$22,0))/(1-Model!$B$9)/(1+Model!$B$18)^($A$2:$A$122-A91)))</f>
        <v/>
      </c>
      <c r="E91" s="7">
        <f>IF(A91="","",IF(A91&gt;=Model!$B$11,Model!$B$20,0))</f>
        <v/>
      </c>
      <c r="F91" s="7">
        <f>IF(A91="","",IF(Model!$B$15&gt;0,Model!$B$22,0))</f>
        <v/>
      </c>
      <c r="G91" s="7">
        <f>IF(A91="","",E91+F91)</f>
        <v/>
      </c>
      <c r="H91" s="7">
        <f>IF(A91="","",MAX(0,Model!$B$6-G91))</f>
        <v/>
      </c>
      <c r="I91" s="7">
        <f>IF(A91="","",H91/(1-Model!$B$9))</f>
        <v/>
      </c>
      <c r="J91" s="7">
        <f>IF(A91="","",C91-D91)</f>
        <v/>
      </c>
      <c r="K91">
        <f>IF(A91="","",C91&gt;=D91)</f>
        <v/>
      </c>
      <c r="L91" s="7">
        <f>IF(A91="","",IF(A91&gt;=Model!$B$11,Model!$B$19*(1+Model!$B$13)^B91,0))</f>
        <v/>
      </c>
      <c r="M91" s="7">
        <f>IF(A91="","",IF(Model!$B$15&gt;0,Model!$B$21*(1+Model!$B$13)^B91,0))</f>
        <v/>
      </c>
    </row>
    <row r="92">
      <c r="A92">
        <f>IF(Model!$B$10+ROW()-2&lt;=Model!$B$4,Model!$B$10+ROW()-2,"")</f>
        <v/>
      </c>
      <c r="B92">
        <f>IF(A92="","",A92-Model!$B$10)</f>
        <v/>
      </c>
      <c r="C92" s="7">
        <f>IF(A92="","",Model!$B$5*(1+Model!$B$18)^B92)</f>
        <v/>
      </c>
      <c r="D92" s="7">
        <f>IF(A92="","",SUMPRODUCT(($A$2:$A$122&gt;=A92)*($A$2:$A$122&lt;&gt;"")*((Model!$B$6-IF($A$2:$A$122&gt;=Model!$B$11,Model!$B$20,0)-IF(($A$2:$A$122&gt;=A92)*($A$2:$A$122&lt;A92+Model!$B$15),Model!$B$22,0))&gt;0)*(Model!$B$6-IF($A$2:$A$122&gt;=Model!$B$11,Model!$B$20,0)-IF(($A$2:$A$122&gt;=A92)*($A$2:$A$122&lt;A92+Model!$B$15),Model!$B$22,0))/(1-Model!$B$9)/(1+Model!$B$18)^($A$2:$A$122-A92)))</f>
        <v/>
      </c>
      <c r="E92" s="7">
        <f>IF(A92="","",IF(A92&gt;=Model!$B$11,Model!$B$20,0))</f>
        <v/>
      </c>
      <c r="F92" s="7">
        <f>IF(A92="","",IF(Model!$B$15&gt;0,Model!$B$22,0))</f>
        <v/>
      </c>
      <c r="G92" s="7">
        <f>IF(A92="","",E92+F92)</f>
        <v/>
      </c>
      <c r="H92" s="7">
        <f>IF(A92="","",MAX(0,Model!$B$6-G92))</f>
        <v/>
      </c>
      <c r="I92" s="7">
        <f>IF(A92="","",H92/(1-Model!$B$9))</f>
        <v/>
      </c>
      <c r="J92" s="7">
        <f>IF(A92="","",C92-D92)</f>
        <v/>
      </c>
      <c r="K92">
        <f>IF(A92="","",C92&gt;=D92)</f>
        <v/>
      </c>
      <c r="L92" s="7">
        <f>IF(A92="","",IF(A92&gt;=Model!$B$11,Model!$B$19*(1+Model!$B$13)^B92,0))</f>
        <v/>
      </c>
      <c r="M92" s="7">
        <f>IF(A92="","",IF(Model!$B$15&gt;0,Model!$B$21*(1+Model!$B$13)^B92,0))</f>
        <v/>
      </c>
    </row>
    <row r="93">
      <c r="A93">
        <f>IF(Model!$B$10+ROW()-2&lt;=Model!$B$4,Model!$B$10+ROW()-2,"")</f>
        <v/>
      </c>
      <c r="B93">
        <f>IF(A93="","",A93-Model!$B$10)</f>
        <v/>
      </c>
      <c r="C93" s="7">
        <f>IF(A93="","",Model!$B$5*(1+Model!$B$18)^B93)</f>
        <v/>
      </c>
      <c r="D93" s="7">
        <f>IF(A93="","",SUMPRODUCT(($A$2:$A$122&gt;=A93)*($A$2:$A$122&lt;&gt;"")*((Model!$B$6-IF($A$2:$A$122&gt;=Model!$B$11,Model!$B$20,0)-IF(($A$2:$A$122&gt;=A93)*($A$2:$A$122&lt;A93+Model!$B$15),Model!$B$22,0))&gt;0)*(Model!$B$6-IF($A$2:$A$122&gt;=Model!$B$11,Model!$B$20,0)-IF(($A$2:$A$122&gt;=A93)*($A$2:$A$122&lt;A93+Model!$B$15),Model!$B$22,0))/(1-Model!$B$9)/(1+Model!$B$18)^($A$2:$A$122-A93)))</f>
        <v/>
      </c>
      <c r="E93" s="7">
        <f>IF(A93="","",IF(A93&gt;=Model!$B$11,Model!$B$20,0))</f>
        <v/>
      </c>
      <c r="F93" s="7">
        <f>IF(A93="","",IF(Model!$B$15&gt;0,Model!$B$22,0))</f>
        <v/>
      </c>
      <c r="G93" s="7">
        <f>IF(A93="","",E93+F93)</f>
        <v/>
      </c>
      <c r="H93" s="7">
        <f>IF(A93="","",MAX(0,Model!$B$6-G93))</f>
        <v/>
      </c>
      <c r="I93" s="7">
        <f>IF(A93="","",H93/(1-Model!$B$9))</f>
        <v/>
      </c>
      <c r="J93" s="7">
        <f>IF(A93="","",C93-D93)</f>
        <v/>
      </c>
      <c r="K93">
        <f>IF(A93="","",C93&gt;=D93)</f>
        <v/>
      </c>
      <c r="L93" s="7">
        <f>IF(A93="","",IF(A93&gt;=Model!$B$11,Model!$B$19*(1+Model!$B$13)^B93,0))</f>
        <v/>
      </c>
      <c r="M93" s="7">
        <f>IF(A93="","",IF(Model!$B$15&gt;0,Model!$B$21*(1+Model!$B$13)^B93,0))</f>
        <v/>
      </c>
    </row>
    <row r="94">
      <c r="A94">
        <f>IF(Model!$B$10+ROW()-2&lt;=Model!$B$4,Model!$B$10+ROW()-2,"")</f>
        <v/>
      </c>
      <c r="B94">
        <f>IF(A94="","",A94-Model!$B$10)</f>
        <v/>
      </c>
      <c r="C94" s="7">
        <f>IF(A94="","",Model!$B$5*(1+Model!$B$18)^B94)</f>
        <v/>
      </c>
      <c r="D94" s="7">
        <f>IF(A94="","",SUMPRODUCT(($A$2:$A$122&gt;=A94)*($A$2:$A$122&lt;&gt;"")*((Model!$B$6-IF($A$2:$A$122&gt;=Model!$B$11,Model!$B$20,0)-IF(($A$2:$A$122&gt;=A94)*($A$2:$A$122&lt;A94+Model!$B$15),Model!$B$22,0))&gt;0)*(Model!$B$6-IF($A$2:$A$122&gt;=Model!$B$11,Model!$B$20,0)-IF(($A$2:$A$122&gt;=A94)*($A$2:$A$122&lt;A94+Model!$B$15),Model!$B$22,0))/(1-Model!$B$9)/(1+Model!$B$18)^($A$2:$A$122-A94)))</f>
        <v/>
      </c>
      <c r="E94" s="7">
        <f>IF(A94="","",IF(A94&gt;=Model!$B$11,Model!$B$20,0))</f>
        <v/>
      </c>
      <c r="F94" s="7">
        <f>IF(A94="","",IF(Model!$B$15&gt;0,Model!$B$22,0))</f>
        <v/>
      </c>
      <c r="G94" s="7">
        <f>IF(A94="","",E94+F94)</f>
        <v/>
      </c>
      <c r="H94" s="7">
        <f>IF(A94="","",MAX(0,Model!$B$6-G94))</f>
        <v/>
      </c>
      <c r="I94" s="7">
        <f>IF(A94="","",H94/(1-Model!$B$9))</f>
        <v/>
      </c>
      <c r="J94" s="7">
        <f>IF(A94="","",C94-D94)</f>
        <v/>
      </c>
      <c r="K94">
        <f>IF(A94="","",C94&gt;=D94)</f>
        <v/>
      </c>
      <c r="L94" s="7">
        <f>IF(A94="","",IF(A94&gt;=Model!$B$11,Model!$B$19*(1+Model!$B$13)^B94,0))</f>
        <v/>
      </c>
      <c r="M94" s="7">
        <f>IF(A94="","",IF(Model!$B$15&gt;0,Model!$B$21*(1+Model!$B$13)^B94,0))</f>
        <v/>
      </c>
    </row>
    <row r="95">
      <c r="A95">
        <f>IF(Model!$B$10+ROW()-2&lt;=Model!$B$4,Model!$B$10+ROW()-2,"")</f>
        <v/>
      </c>
      <c r="B95">
        <f>IF(A95="","",A95-Model!$B$10)</f>
        <v/>
      </c>
      <c r="C95" s="7">
        <f>IF(A95="","",Model!$B$5*(1+Model!$B$18)^B95)</f>
        <v/>
      </c>
      <c r="D95" s="7">
        <f>IF(A95="","",SUMPRODUCT(($A$2:$A$122&gt;=A95)*($A$2:$A$122&lt;&gt;"")*((Model!$B$6-IF($A$2:$A$122&gt;=Model!$B$11,Model!$B$20,0)-IF(($A$2:$A$122&gt;=A95)*($A$2:$A$122&lt;A95+Model!$B$15),Model!$B$22,0))&gt;0)*(Model!$B$6-IF($A$2:$A$122&gt;=Model!$B$11,Model!$B$20,0)-IF(($A$2:$A$122&gt;=A95)*($A$2:$A$122&lt;A95+Model!$B$15),Model!$B$22,0))/(1-Model!$B$9)/(1+Model!$B$18)^($A$2:$A$122-A95)))</f>
        <v/>
      </c>
      <c r="E95" s="7">
        <f>IF(A95="","",IF(A95&gt;=Model!$B$11,Model!$B$20,0))</f>
        <v/>
      </c>
      <c r="F95" s="7">
        <f>IF(A95="","",IF(Model!$B$15&gt;0,Model!$B$22,0))</f>
        <v/>
      </c>
      <c r="G95" s="7">
        <f>IF(A95="","",E95+F95)</f>
        <v/>
      </c>
      <c r="H95" s="7">
        <f>IF(A95="","",MAX(0,Model!$B$6-G95))</f>
        <v/>
      </c>
      <c r="I95" s="7">
        <f>IF(A95="","",H95/(1-Model!$B$9))</f>
        <v/>
      </c>
      <c r="J95" s="7">
        <f>IF(A95="","",C95-D95)</f>
        <v/>
      </c>
      <c r="K95">
        <f>IF(A95="","",C95&gt;=D95)</f>
        <v/>
      </c>
      <c r="L95" s="7">
        <f>IF(A95="","",IF(A95&gt;=Model!$B$11,Model!$B$19*(1+Model!$B$13)^B95,0))</f>
        <v/>
      </c>
      <c r="M95" s="7">
        <f>IF(A95="","",IF(Model!$B$15&gt;0,Model!$B$21*(1+Model!$B$13)^B95,0))</f>
        <v/>
      </c>
    </row>
    <row r="96">
      <c r="A96">
        <f>IF(Model!$B$10+ROW()-2&lt;=Model!$B$4,Model!$B$10+ROW()-2,"")</f>
        <v/>
      </c>
      <c r="B96">
        <f>IF(A96="","",A96-Model!$B$10)</f>
        <v/>
      </c>
      <c r="C96" s="7">
        <f>IF(A96="","",Model!$B$5*(1+Model!$B$18)^B96)</f>
        <v/>
      </c>
      <c r="D96" s="7">
        <f>IF(A96="","",SUMPRODUCT(($A$2:$A$122&gt;=A96)*($A$2:$A$122&lt;&gt;"")*((Model!$B$6-IF($A$2:$A$122&gt;=Model!$B$11,Model!$B$20,0)-IF(($A$2:$A$122&gt;=A96)*($A$2:$A$122&lt;A96+Model!$B$15),Model!$B$22,0))&gt;0)*(Model!$B$6-IF($A$2:$A$122&gt;=Model!$B$11,Model!$B$20,0)-IF(($A$2:$A$122&gt;=A96)*($A$2:$A$122&lt;A96+Model!$B$15),Model!$B$22,0))/(1-Model!$B$9)/(1+Model!$B$18)^($A$2:$A$122-A96)))</f>
        <v/>
      </c>
      <c r="E96" s="7">
        <f>IF(A96="","",IF(A96&gt;=Model!$B$11,Model!$B$20,0))</f>
        <v/>
      </c>
      <c r="F96" s="7">
        <f>IF(A96="","",IF(Model!$B$15&gt;0,Model!$B$22,0))</f>
        <v/>
      </c>
      <c r="G96" s="7">
        <f>IF(A96="","",E96+F96)</f>
        <v/>
      </c>
      <c r="H96" s="7">
        <f>IF(A96="","",MAX(0,Model!$B$6-G96))</f>
        <v/>
      </c>
      <c r="I96" s="7">
        <f>IF(A96="","",H96/(1-Model!$B$9))</f>
        <v/>
      </c>
      <c r="J96" s="7">
        <f>IF(A96="","",C96-D96)</f>
        <v/>
      </c>
      <c r="K96">
        <f>IF(A96="","",C96&gt;=D96)</f>
        <v/>
      </c>
      <c r="L96" s="7">
        <f>IF(A96="","",IF(A96&gt;=Model!$B$11,Model!$B$19*(1+Model!$B$13)^B96,0))</f>
        <v/>
      </c>
      <c r="M96" s="7">
        <f>IF(A96="","",IF(Model!$B$15&gt;0,Model!$B$21*(1+Model!$B$13)^B96,0))</f>
        <v/>
      </c>
    </row>
    <row r="97">
      <c r="A97">
        <f>IF(Model!$B$10+ROW()-2&lt;=Model!$B$4,Model!$B$10+ROW()-2,"")</f>
        <v/>
      </c>
      <c r="B97">
        <f>IF(A97="","",A97-Model!$B$10)</f>
        <v/>
      </c>
      <c r="C97" s="7">
        <f>IF(A97="","",Model!$B$5*(1+Model!$B$18)^B97)</f>
        <v/>
      </c>
      <c r="D97" s="7">
        <f>IF(A97="","",SUMPRODUCT(($A$2:$A$122&gt;=A97)*($A$2:$A$122&lt;&gt;"")*((Model!$B$6-IF($A$2:$A$122&gt;=Model!$B$11,Model!$B$20,0)-IF(($A$2:$A$122&gt;=A97)*($A$2:$A$122&lt;A97+Model!$B$15),Model!$B$22,0))&gt;0)*(Model!$B$6-IF($A$2:$A$122&gt;=Model!$B$11,Model!$B$20,0)-IF(($A$2:$A$122&gt;=A97)*($A$2:$A$122&lt;A97+Model!$B$15),Model!$B$22,0))/(1-Model!$B$9)/(1+Model!$B$18)^($A$2:$A$122-A97)))</f>
        <v/>
      </c>
      <c r="E97" s="7">
        <f>IF(A97="","",IF(A97&gt;=Model!$B$11,Model!$B$20,0))</f>
        <v/>
      </c>
      <c r="F97" s="7">
        <f>IF(A97="","",IF(Model!$B$15&gt;0,Model!$B$22,0))</f>
        <v/>
      </c>
      <c r="G97" s="7">
        <f>IF(A97="","",E97+F97)</f>
        <v/>
      </c>
      <c r="H97" s="7">
        <f>IF(A97="","",MAX(0,Model!$B$6-G97))</f>
        <v/>
      </c>
      <c r="I97" s="7">
        <f>IF(A97="","",H97/(1-Model!$B$9))</f>
        <v/>
      </c>
      <c r="J97" s="7">
        <f>IF(A97="","",C97-D97)</f>
        <v/>
      </c>
      <c r="K97">
        <f>IF(A97="","",C97&gt;=D97)</f>
        <v/>
      </c>
      <c r="L97" s="7">
        <f>IF(A97="","",IF(A97&gt;=Model!$B$11,Model!$B$19*(1+Model!$B$13)^B97,0))</f>
        <v/>
      </c>
      <c r="M97" s="7">
        <f>IF(A97="","",IF(Model!$B$15&gt;0,Model!$B$21*(1+Model!$B$13)^B97,0))</f>
        <v/>
      </c>
    </row>
    <row r="98">
      <c r="A98">
        <f>IF(Model!$B$10+ROW()-2&lt;=Model!$B$4,Model!$B$10+ROW()-2,"")</f>
        <v/>
      </c>
      <c r="B98">
        <f>IF(A98="","",A98-Model!$B$10)</f>
        <v/>
      </c>
      <c r="C98" s="7">
        <f>IF(A98="","",Model!$B$5*(1+Model!$B$18)^B98)</f>
        <v/>
      </c>
      <c r="D98" s="7">
        <f>IF(A98="","",SUMPRODUCT(($A$2:$A$122&gt;=A98)*($A$2:$A$122&lt;&gt;"")*((Model!$B$6-IF($A$2:$A$122&gt;=Model!$B$11,Model!$B$20,0)-IF(($A$2:$A$122&gt;=A98)*($A$2:$A$122&lt;A98+Model!$B$15),Model!$B$22,0))&gt;0)*(Model!$B$6-IF($A$2:$A$122&gt;=Model!$B$11,Model!$B$20,0)-IF(($A$2:$A$122&gt;=A98)*($A$2:$A$122&lt;A98+Model!$B$15),Model!$B$22,0))/(1-Model!$B$9)/(1+Model!$B$18)^($A$2:$A$122-A98)))</f>
        <v/>
      </c>
      <c r="E98" s="7">
        <f>IF(A98="","",IF(A98&gt;=Model!$B$11,Model!$B$20,0))</f>
        <v/>
      </c>
      <c r="F98" s="7">
        <f>IF(A98="","",IF(Model!$B$15&gt;0,Model!$B$22,0))</f>
        <v/>
      </c>
      <c r="G98" s="7">
        <f>IF(A98="","",E98+F98)</f>
        <v/>
      </c>
      <c r="H98" s="7">
        <f>IF(A98="","",MAX(0,Model!$B$6-G98))</f>
        <v/>
      </c>
      <c r="I98" s="7">
        <f>IF(A98="","",H98/(1-Model!$B$9))</f>
        <v/>
      </c>
      <c r="J98" s="7">
        <f>IF(A98="","",C98-D98)</f>
        <v/>
      </c>
      <c r="K98">
        <f>IF(A98="","",C98&gt;=D98)</f>
        <v/>
      </c>
      <c r="L98" s="7">
        <f>IF(A98="","",IF(A98&gt;=Model!$B$11,Model!$B$19*(1+Model!$B$13)^B98,0))</f>
        <v/>
      </c>
      <c r="M98" s="7">
        <f>IF(A98="","",IF(Model!$B$15&gt;0,Model!$B$21*(1+Model!$B$13)^B98,0))</f>
        <v/>
      </c>
    </row>
    <row r="99">
      <c r="A99">
        <f>IF(Model!$B$10+ROW()-2&lt;=Model!$B$4,Model!$B$10+ROW()-2,"")</f>
        <v/>
      </c>
      <c r="B99">
        <f>IF(A99="","",A99-Model!$B$10)</f>
        <v/>
      </c>
      <c r="C99" s="7">
        <f>IF(A99="","",Model!$B$5*(1+Model!$B$18)^B99)</f>
        <v/>
      </c>
      <c r="D99" s="7">
        <f>IF(A99="","",SUMPRODUCT(($A$2:$A$122&gt;=A99)*($A$2:$A$122&lt;&gt;"")*((Model!$B$6-IF($A$2:$A$122&gt;=Model!$B$11,Model!$B$20,0)-IF(($A$2:$A$122&gt;=A99)*($A$2:$A$122&lt;A99+Model!$B$15),Model!$B$22,0))&gt;0)*(Model!$B$6-IF($A$2:$A$122&gt;=Model!$B$11,Model!$B$20,0)-IF(($A$2:$A$122&gt;=A99)*($A$2:$A$122&lt;A99+Model!$B$15),Model!$B$22,0))/(1-Model!$B$9)/(1+Model!$B$18)^($A$2:$A$122-A99)))</f>
        <v/>
      </c>
      <c r="E99" s="7">
        <f>IF(A99="","",IF(A99&gt;=Model!$B$11,Model!$B$20,0))</f>
        <v/>
      </c>
      <c r="F99" s="7">
        <f>IF(A99="","",IF(Model!$B$15&gt;0,Model!$B$22,0))</f>
        <v/>
      </c>
      <c r="G99" s="7">
        <f>IF(A99="","",E99+F99)</f>
        <v/>
      </c>
      <c r="H99" s="7">
        <f>IF(A99="","",MAX(0,Model!$B$6-G99))</f>
        <v/>
      </c>
      <c r="I99" s="7">
        <f>IF(A99="","",H99/(1-Model!$B$9))</f>
        <v/>
      </c>
      <c r="J99" s="7">
        <f>IF(A99="","",C99-D99)</f>
        <v/>
      </c>
      <c r="K99">
        <f>IF(A99="","",C99&gt;=D99)</f>
        <v/>
      </c>
      <c r="L99" s="7">
        <f>IF(A99="","",IF(A99&gt;=Model!$B$11,Model!$B$19*(1+Model!$B$13)^B99,0))</f>
        <v/>
      </c>
      <c r="M99" s="7">
        <f>IF(A99="","",IF(Model!$B$15&gt;0,Model!$B$21*(1+Model!$B$13)^B99,0))</f>
        <v/>
      </c>
    </row>
    <row r="100">
      <c r="A100">
        <f>IF(Model!$B$10+ROW()-2&lt;=Model!$B$4,Model!$B$10+ROW()-2,"")</f>
        <v/>
      </c>
      <c r="B100">
        <f>IF(A100="","",A100-Model!$B$10)</f>
        <v/>
      </c>
      <c r="C100" s="7">
        <f>IF(A100="","",Model!$B$5*(1+Model!$B$18)^B100)</f>
        <v/>
      </c>
      <c r="D100" s="7">
        <f>IF(A100="","",SUMPRODUCT(($A$2:$A$122&gt;=A100)*($A$2:$A$122&lt;&gt;"")*((Model!$B$6-IF($A$2:$A$122&gt;=Model!$B$11,Model!$B$20,0)-IF(($A$2:$A$122&gt;=A100)*($A$2:$A$122&lt;A100+Model!$B$15),Model!$B$22,0))&gt;0)*(Model!$B$6-IF($A$2:$A$122&gt;=Model!$B$11,Model!$B$20,0)-IF(($A$2:$A$122&gt;=A100)*($A$2:$A$122&lt;A100+Model!$B$15),Model!$B$22,0))/(1-Model!$B$9)/(1+Model!$B$18)^($A$2:$A$122-A100)))</f>
        <v/>
      </c>
      <c r="E100" s="7">
        <f>IF(A100="","",IF(A100&gt;=Model!$B$11,Model!$B$20,0))</f>
        <v/>
      </c>
      <c r="F100" s="7">
        <f>IF(A100="","",IF(Model!$B$15&gt;0,Model!$B$22,0))</f>
        <v/>
      </c>
      <c r="G100" s="7">
        <f>IF(A100="","",E100+F100)</f>
        <v/>
      </c>
      <c r="H100" s="7">
        <f>IF(A100="","",MAX(0,Model!$B$6-G100))</f>
        <v/>
      </c>
      <c r="I100" s="7">
        <f>IF(A100="","",H100/(1-Model!$B$9))</f>
        <v/>
      </c>
      <c r="J100" s="7">
        <f>IF(A100="","",C100-D100)</f>
        <v/>
      </c>
      <c r="K100">
        <f>IF(A100="","",C100&gt;=D100)</f>
        <v/>
      </c>
      <c r="L100" s="7">
        <f>IF(A100="","",IF(A100&gt;=Model!$B$11,Model!$B$19*(1+Model!$B$13)^B100,0))</f>
        <v/>
      </c>
      <c r="M100" s="7">
        <f>IF(A100="","",IF(Model!$B$15&gt;0,Model!$B$21*(1+Model!$B$13)^B100,0))</f>
        <v/>
      </c>
    </row>
    <row r="101">
      <c r="A101">
        <f>IF(Model!$B$10+ROW()-2&lt;=Model!$B$4,Model!$B$10+ROW()-2,"")</f>
        <v/>
      </c>
      <c r="B101">
        <f>IF(A101="","",A101-Model!$B$10)</f>
        <v/>
      </c>
      <c r="C101" s="7">
        <f>IF(A101="","",Model!$B$5*(1+Model!$B$18)^B101)</f>
        <v/>
      </c>
      <c r="D101" s="7">
        <f>IF(A101="","",SUMPRODUCT(($A$2:$A$122&gt;=A101)*($A$2:$A$122&lt;&gt;"")*((Model!$B$6-IF($A$2:$A$122&gt;=Model!$B$11,Model!$B$20,0)-IF(($A$2:$A$122&gt;=A101)*($A$2:$A$122&lt;A101+Model!$B$15),Model!$B$22,0))&gt;0)*(Model!$B$6-IF($A$2:$A$122&gt;=Model!$B$11,Model!$B$20,0)-IF(($A$2:$A$122&gt;=A101)*($A$2:$A$122&lt;A101+Model!$B$15),Model!$B$22,0))/(1-Model!$B$9)/(1+Model!$B$18)^($A$2:$A$122-A101)))</f>
        <v/>
      </c>
      <c r="E101" s="7">
        <f>IF(A101="","",IF(A101&gt;=Model!$B$11,Model!$B$20,0))</f>
        <v/>
      </c>
      <c r="F101" s="7">
        <f>IF(A101="","",IF(Model!$B$15&gt;0,Model!$B$22,0))</f>
        <v/>
      </c>
      <c r="G101" s="7">
        <f>IF(A101="","",E101+F101)</f>
        <v/>
      </c>
      <c r="H101" s="7">
        <f>IF(A101="","",MAX(0,Model!$B$6-G101))</f>
        <v/>
      </c>
      <c r="I101" s="7">
        <f>IF(A101="","",H101/(1-Model!$B$9))</f>
        <v/>
      </c>
      <c r="J101" s="7">
        <f>IF(A101="","",C101-D101)</f>
        <v/>
      </c>
      <c r="K101">
        <f>IF(A101="","",C101&gt;=D101)</f>
        <v/>
      </c>
      <c r="L101" s="7">
        <f>IF(A101="","",IF(A101&gt;=Model!$B$11,Model!$B$19*(1+Model!$B$13)^B101,0))</f>
        <v/>
      </c>
      <c r="M101" s="7">
        <f>IF(A101="","",IF(Model!$B$15&gt;0,Model!$B$21*(1+Model!$B$13)^B101,0))</f>
        <v/>
      </c>
    </row>
    <row r="102">
      <c r="A102">
        <f>IF(Model!$B$10+ROW()-2&lt;=Model!$B$4,Model!$B$10+ROW()-2,"")</f>
        <v/>
      </c>
      <c r="B102">
        <f>IF(A102="","",A102-Model!$B$10)</f>
        <v/>
      </c>
      <c r="C102" s="7">
        <f>IF(A102="","",Model!$B$5*(1+Model!$B$18)^B102)</f>
        <v/>
      </c>
      <c r="D102" s="7">
        <f>IF(A102="","",SUMPRODUCT(($A$2:$A$122&gt;=A102)*($A$2:$A$122&lt;&gt;"")*((Model!$B$6-IF($A$2:$A$122&gt;=Model!$B$11,Model!$B$20,0)-IF(($A$2:$A$122&gt;=A102)*($A$2:$A$122&lt;A102+Model!$B$15),Model!$B$22,0))&gt;0)*(Model!$B$6-IF($A$2:$A$122&gt;=Model!$B$11,Model!$B$20,0)-IF(($A$2:$A$122&gt;=A102)*($A$2:$A$122&lt;A102+Model!$B$15),Model!$B$22,0))/(1-Model!$B$9)/(1+Model!$B$18)^($A$2:$A$122-A102)))</f>
        <v/>
      </c>
      <c r="E102" s="7">
        <f>IF(A102="","",IF(A102&gt;=Model!$B$11,Model!$B$20,0))</f>
        <v/>
      </c>
      <c r="F102" s="7">
        <f>IF(A102="","",IF(Model!$B$15&gt;0,Model!$B$22,0))</f>
        <v/>
      </c>
      <c r="G102" s="7">
        <f>IF(A102="","",E102+F102)</f>
        <v/>
      </c>
      <c r="H102" s="7">
        <f>IF(A102="","",MAX(0,Model!$B$6-G102))</f>
        <v/>
      </c>
      <c r="I102" s="7">
        <f>IF(A102="","",H102/(1-Model!$B$9))</f>
        <v/>
      </c>
      <c r="J102" s="7">
        <f>IF(A102="","",C102-D102)</f>
        <v/>
      </c>
      <c r="K102">
        <f>IF(A102="","",C102&gt;=D102)</f>
        <v/>
      </c>
      <c r="L102" s="7">
        <f>IF(A102="","",IF(A102&gt;=Model!$B$11,Model!$B$19*(1+Model!$B$13)^B102,0))</f>
        <v/>
      </c>
      <c r="M102" s="7">
        <f>IF(A102="","",IF(Model!$B$15&gt;0,Model!$B$21*(1+Model!$B$13)^B102,0))</f>
        <v/>
      </c>
    </row>
    <row r="103">
      <c r="A103">
        <f>IF(Model!$B$10+ROW()-2&lt;=Model!$B$4,Model!$B$10+ROW()-2,"")</f>
        <v/>
      </c>
      <c r="B103">
        <f>IF(A103="","",A103-Model!$B$10)</f>
        <v/>
      </c>
      <c r="C103" s="7">
        <f>IF(A103="","",Model!$B$5*(1+Model!$B$18)^B103)</f>
        <v/>
      </c>
      <c r="D103" s="7">
        <f>IF(A103="","",SUMPRODUCT(($A$2:$A$122&gt;=A103)*($A$2:$A$122&lt;&gt;"")*((Model!$B$6-IF($A$2:$A$122&gt;=Model!$B$11,Model!$B$20,0)-IF(($A$2:$A$122&gt;=A103)*($A$2:$A$122&lt;A103+Model!$B$15),Model!$B$22,0))&gt;0)*(Model!$B$6-IF($A$2:$A$122&gt;=Model!$B$11,Model!$B$20,0)-IF(($A$2:$A$122&gt;=A103)*($A$2:$A$122&lt;A103+Model!$B$15),Model!$B$22,0))/(1-Model!$B$9)/(1+Model!$B$18)^($A$2:$A$122-A103)))</f>
        <v/>
      </c>
      <c r="E103" s="7">
        <f>IF(A103="","",IF(A103&gt;=Model!$B$11,Model!$B$20,0))</f>
        <v/>
      </c>
      <c r="F103" s="7">
        <f>IF(A103="","",IF(Model!$B$15&gt;0,Model!$B$22,0))</f>
        <v/>
      </c>
      <c r="G103" s="7">
        <f>IF(A103="","",E103+F103)</f>
        <v/>
      </c>
      <c r="H103" s="7">
        <f>IF(A103="","",MAX(0,Model!$B$6-G103))</f>
        <v/>
      </c>
      <c r="I103" s="7">
        <f>IF(A103="","",H103/(1-Model!$B$9))</f>
        <v/>
      </c>
      <c r="J103" s="7">
        <f>IF(A103="","",C103-D103)</f>
        <v/>
      </c>
      <c r="K103">
        <f>IF(A103="","",C103&gt;=D103)</f>
        <v/>
      </c>
      <c r="L103" s="7">
        <f>IF(A103="","",IF(A103&gt;=Model!$B$11,Model!$B$19*(1+Model!$B$13)^B103,0))</f>
        <v/>
      </c>
      <c r="M103" s="7">
        <f>IF(A103="","",IF(Model!$B$15&gt;0,Model!$B$21*(1+Model!$B$13)^B103,0))</f>
        <v/>
      </c>
    </row>
    <row r="104">
      <c r="A104">
        <f>IF(Model!$B$10+ROW()-2&lt;=Model!$B$4,Model!$B$10+ROW()-2,"")</f>
        <v/>
      </c>
      <c r="B104">
        <f>IF(A104="","",A104-Model!$B$10)</f>
        <v/>
      </c>
      <c r="C104" s="7">
        <f>IF(A104="","",Model!$B$5*(1+Model!$B$18)^B104)</f>
        <v/>
      </c>
      <c r="D104" s="7">
        <f>IF(A104="","",SUMPRODUCT(($A$2:$A$122&gt;=A104)*($A$2:$A$122&lt;&gt;"")*((Model!$B$6-IF($A$2:$A$122&gt;=Model!$B$11,Model!$B$20,0)-IF(($A$2:$A$122&gt;=A104)*($A$2:$A$122&lt;A104+Model!$B$15),Model!$B$22,0))&gt;0)*(Model!$B$6-IF($A$2:$A$122&gt;=Model!$B$11,Model!$B$20,0)-IF(($A$2:$A$122&gt;=A104)*($A$2:$A$122&lt;A104+Model!$B$15),Model!$B$22,0))/(1-Model!$B$9)/(1+Model!$B$18)^($A$2:$A$122-A104)))</f>
        <v/>
      </c>
      <c r="E104" s="7">
        <f>IF(A104="","",IF(A104&gt;=Model!$B$11,Model!$B$20,0))</f>
        <v/>
      </c>
      <c r="F104" s="7">
        <f>IF(A104="","",IF(Model!$B$15&gt;0,Model!$B$22,0))</f>
        <v/>
      </c>
      <c r="G104" s="7">
        <f>IF(A104="","",E104+F104)</f>
        <v/>
      </c>
      <c r="H104" s="7">
        <f>IF(A104="","",MAX(0,Model!$B$6-G104))</f>
        <v/>
      </c>
      <c r="I104" s="7">
        <f>IF(A104="","",H104/(1-Model!$B$9))</f>
        <v/>
      </c>
      <c r="J104" s="7">
        <f>IF(A104="","",C104-D104)</f>
        <v/>
      </c>
      <c r="K104">
        <f>IF(A104="","",C104&gt;=D104)</f>
        <v/>
      </c>
      <c r="L104" s="7">
        <f>IF(A104="","",IF(A104&gt;=Model!$B$11,Model!$B$19*(1+Model!$B$13)^B104,0))</f>
        <v/>
      </c>
      <c r="M104" s="7">
        <f>IF(A104="","",IF(Model!$B$15&gt;0,Model!$B$21*(1+Model!$B$13)^B104,0))</f>
        <v/>
      </c>
    </row>
    <row r="105">
      <c r="A105">
        <f>IF(Model!$B$10+ROW()-2&lt;=Model!$B$4,Model!$B$10+ROW()-2,"")</f>
        <v/>
      </c>
      <c r="B105">
        <f>IF(A105="","",A105-Model!$B$10)</f>
        <v/>
      </c>
      <c r="C105" s="7">
        <f>IF(A105="","",Model!$B$5*(1+Model!$B$18)^B105)</f>
        <v/>
      </c>
      <c r="D105" s="7">
        <f>IF(A105="","",SUMPRODUCT(($A$2:$A$122&gt;=A105)*($A$2:$A$122&lt;&gt;"")*((Model!$B$6-IF($A$2:$A$122&gt;=Model!$B$11,Model!$B$20,0)-IF(($A$2:$A$122&gt;=A105)*($A$2:$A$122&lt;A105+Model!$B$15),Model!$B$22,0))&gt;0)*(Model!$B$6-IF($A$2:$A$122&gt;=Model!$B$11,Model!$B$20,0)-IF(($A$2:$A$122&gt;=A105)*($A$2:$A$122&lt;A105+Model!$B$15),Model!$B$22,0))/(1-Model!$B$9)/(1+Model!$B$18)^($A$2:$A$122-A105)))</f>
        <v/>
      </c>
      <c r="E105" s="7">
        <f>IF(A105="","",IF(A105&gt;=Model!$B$11,Model!$B$20,0))</f>
        <v/>
      </c>
      <c r="F105" s="7">
        <f>IF(A105="","",IF(Model!$B$15&gt;0,Model!$B$22,0))</f>
        <v/>
      </c>
      <c r="G105" s="7">
        <f>IF(A105="","",E105+F105)</f>
        <v/>
      </c>
      <c r="H105" s="7">
        <f>IF(A105="","",MAX(0,Model!$B$6-G105))</f>
        <v/>
      </c>
      <c r="I105" s="7">
        <f>IF(A105="","",H105/(1-Model!$B$9))</f>
        <v/>
      </c>
      <c r="J105" s="7">
        <f>IF(A105="","",C105-D105)</f>
        <v/>
      </c>
      <c r="K105">
        <f>IF(A105="","",C105&gt;=D105)</f>
        <v/>
      </c>
      <c r="L105" s="7">
        <f>IF(A105="","",IF(A105&gt;=Model!$B$11,Model!$B$19*(1+Model!$B$13)^B105,0))</f>
        <v/>
      </c>
      <c r="M105" s="7">
        <f>IF(A105="","",IF(Model!$B$15&gt;0,Model!$B$21*(1+Model!$B$13)^B105,0))</f>
        <v/>
      </c>
    </row>
    <row r="106">
      <c r="A106">
        <f>IF(Model!$B$10+ROW()-2&lt;=Model!$B$4,Model!$B$10+ROW()-2,"")</f>
        <v/>
      </c>
      <c r="B106">
        <f>IF(A106="","",A106-Model!$B$10)</f>
        <v/>
      </c>
      <c r="C106" s="7">
        <f>IF(A106="","",Model!$B$5*(1+Model!$B$18)^B106)</f>
        <v/>
      </c>
      <c r="D106" s="7">
        <f>IF(A106="","",SUMPRODUCT(($A$2:$A$122&gt;=A106)*($A$2:$A$122&lt;&gt;"")*((Model!$B$6-IF($A$2:$A$122&gt;=Model!$B$11,Model!$B$20,0)-IF(($A$2:$A$122&gt;=A106)*($A$2:$A$122&lt;A106+Model!$B$15),Model!$B$22,0))&gt;0)*(Model!$B$6-IF($A$2:$A$122&gt;=Model!$B$11,Model!$B$20,0)-IF(($A$2:$A$122&gt;=A106)*($A$2:$A$122&lt;A106+Model!$B$15),Model!$B$22,0))/(1-Model!$B$9)/(1+Model!$B$18)^($A$2:$A$122-A106)))</f>
        <v/>
      </c>
      <c r="E106" s="7">
        <f>IF(A106="","",IF(A106&gt;=Model!$B$11,Model!$B$20,0))</f>
        <v/>
      </c>
      <c r="F106" s="7">
        <f>IF(A106="","",IF(Model!$B$15&gt;0,Model!$B$22,0))</f>
        <v/>
      </c>
      <c r="G106" s="7">
        <f>IF(A106="","",E106+F106)</f>
        <v/>
      </c>
      <c r="H106" s="7">
        <f>IF(A106="","",MAX(0,Model!$B$6-G106))</f>
        <v/>
      </c>
      <c r="I106" s="7">
        <f>IF(A106="","",H106/(1-Model!$B$9))</f>
        <v/>
      </c>
      <c r="J106" s="7">
        <f>IF(A106="","",C106-D106)</f>
        <v/>
      </c>
      <c r="K106">
        <f>IF(A106="","",C106&gt;=D106)</f>
        <v/>
      </c>
      <c r="L106" s="7">
        <f>IF(A106="","",IF(A106&gt;=Model!$B$11,Model!$B$19*(1+Model!$B$13)^B106,0))</f>
        <v/>
      </c>
      <c r="M106" s="7">
        <f>IF(A106="","",IF(Model!$B$15&gt;0,Model!$B$21*(1+Model!$B$13)^B106,0))</f>
        <v/>
      </c>
    </row>
    <row r="107">
      <c r="A107">
        <f>IF(Model!$B$10+ROW()-2&lt;=Model!$B$4,Model!$B$10+ROW()-2,"")</f>
        <v/>
      </c>
      <c r="B107">
        <f>IF(A107="","",A107-Model!$B$10)</f>
        <v/>
      </c>
      <c r="C107" s="7">
        <f>IF(A107="","",Model!$B$5*(1+Model!$B$18)^B107)</f>
        <v/>
      </c>
      <c r="D107" s="7">
        <f>IF(A107="","",SUMPRODUCT(($A$2:$A$122&gt;=A107)*($A$2:$A$122&lt;&gt;"")*((Model!$B$6-IF($A$2:$A$122&gt;=Model!$B$11,Model!$B$20,0)-IF(($A$2:$A$122&gt;=A107)*($A$2:$A$122&lt;A107+Model!$B$15),Model!$B$22,0))&gt;0)*(Model!$B$6-IF($A$2:$A$122&gt;=Model!$B$11,Model!$B$20,0)-IF(($A$2:$A$122&gt;=A107)*($A$2:$A$122&lt;A107+Model!$B$15),Model!$B$22,0))/(1-Model!$B$9)/(1+Model!$B$18)^($A$2:$A$122-A107)))</f>
        <v/>
      </c>
      <c r="E107" s="7">
        <f>IF(A107="","",IF(A107&gt;=Model!$B$11,Model!$B$20,0))</f>
        <v/>
      </c>
      <c r="F107" s="7">
        <f>IF(A107="","",IF(Model!$B$15&gt;0,Model!$B$22,0))</f>
        <v/>
      </c>
      <c r="G107" s="7">
        <f>IF(A107="","",E107+F107)</f>
        <v/>
      </c>
      <c r="H107" s="7">
        <f>IF(A107="","",MAX(0,Model!$B$6-G107))</f>
        <v/>
      </c>
      <c r="I107" s="7">
        <f>IF(A107="","",H107/(1-Model!$B$9))</f>
        <v/>
      </c>
      <c r="J107" s="7">
        <f>IF(A107="","",C107-D107)</f>
        <v/>
      </c>
      <c r="K107">
        <f>IF(A107="","",C107&gt;=D107)</f>
        <v/>
      </c>
      <c r="L107" s="7">
        <f>IF(A107="","",IF(A107&gt;=Model!$B$11,Model!$B$19*(1+Model!$B$13)^B107,0))</f>
        <v/>
      </c>
      <c r="M107" s="7">
        <f>IF(A107="","",IF(Model!$B$15&gt;0,Model!$B$21*(1+Model!$B$13)^B107,0))</f>
        <v/>
      </c>
    </row>
    <row r="108">
      <c r="A108">
        <f>IF(Model!$B$10+ROW()-2&lt;=Model!$B$4,Model!$B$10+ROW()-2,"")</f>
        <v/>
      </c>
      <c r="B108">
        <f>IF(A108="","",A108-Model!$B$10)</f>
        <v/>
      </c>
      <c r="C108" s="7">
        <f>IF(A108="","",Model!$B$5*(1+Model!$B$18)^B108)</f>
        <v/>
      </c>
      <c r="D108" s="7">
        <f>IF(A108="","",SUMPRODUCT(($A$2:$A$122&gt;=A108)*($A$2:$A$122&lt;&gt;"")*((Model!$B$6-IF($A$2:$A$122&gt;=Model!$B$11,Model!$B$20,0)-IF(($A$2:$A$122&gt;=A108)*($A$2:$A$122&lt;A108+Model!$B$15),Model!$B$22,0))&gt;0)*(Model!$B$6-IF($A$2:$A$122&gt;=Model!$B$11,Model!$B$20,0)-IF(($A$2:$A$122&gt;=A108)*($A$2:$A$122&lt;A108+Model!$B$15),Model!$B$22,0))/(1-Model!$B$9)/(1+Model!$B$18)^($A$2:$A$122-A108)))</f>
        <v/>
      </c>
      <c r="E108" s="7">
        <f>IF(A108="","",IF(A108&gt;=Model!$B$11,Model!$B$20,0))</f>
        <v/>
      </c>
      <c r="F108" s="7">
        <f>IF(A108="","",IF(Model!$B$15&gt;0,Model!$B$22,0))</f>
        <v/>
      </c>
      <c r="G108" s="7">
        <f>IF(A108="","",E108+F108)</f>
        <v/>
      </c>
      <c r="H108" s="7">
        <f>IF(A108="","",MAX(0,Model!$B$6-G108))</f>
        <v/>
      </c>
      <c r="I108" s="7">
        <f>IF(A108="","",H108/(1-Model!$B$9))</f>
        <v/>
      </c>
      <c r="J108" s="7">
        <f>IF(A108="","",C108-D108)</f>
        <v/>
      </c>
      <c r="K108">
        <f>IF(A108="","",C108&gt;=D108)</f>
        <v/>
      </c>
      <c r="L108" s="7">
        <f>IF(A108="","",IF(A108&gt;=Model!$B$11,Model!$B$19*(1+Model!$B$13)^B108,0))</f>
        <v/>
      </c>
      <c r="M108" s="7">
        <f>IF(A108="","",IF(Model!$B$15&gt;0,Model!$B$21*(1+Model!$B$13)^B108,0))</f>
        <v/>
      </c>
    </row>
    <row r="109">
      <c r="A109">
        <f>IF(Model!$B$10+ROW()-2&lt;=Model!$B$4,Model!$B$10+ROW()-2,"")</f>
        <v/>
      </c>
      <c r="B109">
        <f>IF(A109="","",A109-Model!$B$10)</f>
        <v/>
      </c>
      <c r="C109" s="7">
        <f>IF(A109="","",Model!$B$5*(1+Model!$B$18)^B109)</f>
        <v/>
      </c>
      <c r="D109" s="7">
        <f>IF(A109="","",SUMPRODUCT(($A$2:$A$122&gt;=A109)*($A$2:$A$122&lt;&gt;"")*((Model!$B$6-IF($A$2:$A$122&gt;=Model!$B$11,Model!$B$20,0)-IF(($A$2:$A$122&gt;=A109)*($A$2:$A$122&lt;A109+Model!$B$15),Model!$B$22,0))&gt;0)*(Model!$B$6-IF($A$2:$A$122&gt;=Model!$B$11,Model!$B$20,0)-IF(($A$2:$A$122&gt;=A109)*($A$2:$A$122&lt;A109+Model!$B$15),Model!$B$22,0))/(1-Model!$B$9)/(1+Model!$B$18)^($A$2:$A$122-A109)))</f>
        <v/>
      </c>
      <c r="E109" s="7">
        <f>IF(A109="","",IF(A109&gt;=Model!$B$11,Model!$B$20,0))</f>
        <v/>
      </c>
      <c r="F109" s="7">
        <f>IF(A109="","",IF(Model!$B$15&gt;0,Model!$B$22,0))</f>
        <v/>
      </c>
      <c r="G109" s="7">
        <f>IF(A109="","",E109+F109)</f>
        <v/>
      </c>
      <c r="H109" s="7">
        <f>IF(A109="","",MAX(0,Model!$B$6-G109))</f>
        <v/>
      </c>
      <c r="I109" s="7">
        <f>IF(A109="","",H109/(1-Model!$B$9))</f>
        <v/>
      </c>
      <c r="J109" s="7">
        <f>IF(A109="","",C109-D109)</f>
        <v/>
      </c>
      <c r="K109">
        <f>IF(A109="","",C109&gt;=D109)</f>
        <v/>
      </c>
      <c r="L109" s="7">
        <f>IF(A109="","",IF(A109&gt;=Model!$B$11,Model!$B$19*(1+Model!$B$13)^B109,0))</f>
        <v/>
      </c>
      <c r="M109" s="7">
        <f>IF(A109="","",IF(Model!$B$15&gt;0,Model!$B$21*(1+Model!$B$13)^B109,0))</f>
        <v/>
      </c>
    </row>
    <row r="110">
      <c r="A110">
        <f>IF(Model!$B$10+ROW()-2&lt;=Model!$B$4,Model!$B$10+ROW()-2,"")</f>
        <v/>
      </c>
      <c r="B110">
        <f>IF(A110="","",A110-Model!$B$10)</f>
        <v/>
      </c>
      <c r="C110" s="7">
        <f>IF(A110="","",Model!$B$5*(1+Model!$B$18)^B110)</f>
        <v/>
      </c>
      <c r="D110" s="7">
        <f>IF(A110="","",SUMPRODUCT(($A$2:$A$122&gt;=A110)*($A$2:$A$122&lt;&gt;"")*((Model!$B$6-IF($A$2:$A$122&gt;=Model!$B$11,Model!$B$20,0)-IF(($A$2:$A$122&gt;=A110)*($A$2:$A$122&lt;A110+Model!$B$15),Model!$B$22,0))&gt;0)*(Model!$B$6-IF($A$2:$A$122&gt;=Model!$B$11,Model!$B$20,0)-IF(($A$2:$A$122&gt;=A110)*($A$2:$A$122&lt;A110+Model!$B$15),Model!$B$22,0))/(1-Model!$B$9)/(1+Model!$B$18)^($A$2:$A$122-A110)))</f>
        <v/>
      </c>
      <c r="E110" s="7">
        <f>IF(A110="","",IF(A110&gt;=Model!$B$11,Model!$B$20,0))</f>
        <v/>
      </c>
      <c r="F110" s="7">
        <f>IF(A110="","",IF(Model!$B$15&gt;0,Model!$B$22,0))</f>
        <v/>
      </c>
      <c r="G110" s="7">
        <f>IF(A110="","",E110+F110)</f>
        <v/>
      </c>
      <c r="H110" s="7">
        <f>IF(A110="","",MAX(0,Model!$B$6-G110))</f>
        <v/>
      </c>
      <c r="I110" s="7">
        <f>IF(A110="","",H110/(1-Model!$B$9))</f>
        <v/>
      </c>
      <c r="J110" s="7">
        <f>IF(A110="","",C110-D110)</f>
        <v/>
      </c>
      <c r="K110">
        <f>IF(A110="","",C110&gt;=D110)</f>
        <v/>
      </c>
      <c r="L110" s="7">
        <f>IF(A110="","",IF(A110&gt;=Model!$B$11,Model!$B$19*(1+Model!$B$13)^B110,0))</f>
        <v/>
      </c>
      <c r="M110" s="7">
        <f>IF(A110="","",IF(Model!$B$15&gt;0,Model!$B$21*(1+Model!$B$13)^B110,0))</f>
        <v/>
      </c>
    </row>
    <row r="111">
      <c r="A111">
        <f>IF(Model!$B$10+ROW()-2&lt;=Model!$B$4,Model!$B$10+ROW()-2,"")</f>
        <v/>
      </c>
      <c r="B111">
        <f>IF(A111="","",A111-Model!$B$10)</f>
        <v/>
      </c>
      <c r="C111" s="7">
        <f>IF(A111="","",Model!$B$5*(1+Model!$B$18)^B111)</f>
        <v/>
      </c>
      <c r="D111" s="7">
        <f>IF(A111="","",SUMPRODUCT(($A$2:$A$122&gt;=A111)*($A$2:$A$122&lt;&gt;"")*((Model!$B$6-IF($A$2:$A$122&gt;=Model!$B$11,Model!$B$20,0)-IF(($A$2:$A$122&gt;=A111)*($A$2:$A$122&lt;A111+Model!$B$15),Model!$B$22,0))&gt;0)*(Model!$B$6-IF($A$2:$A$122&gt;=Model!$B$11,Model!$B$20,0)-IF(($A$2:$A$122&gt;=A111)*($A$2:$A$122&lt;A111+Model!$B$15),Model!$B$22,0))/(1-Model!$B$9)/(1+Model!$B$18)^($A$2:$A$122-A111)))</f>
        <v/>
      </c>
      <c r="E111" s="7">
        <f>IF(A111="","",IF(A111&gt;=Model!$B$11,Model!$B$20,0))</f>
        <v/>
      </c>
      <c r="F111" s="7">
        <f>IF(A111="","",IF(Model!$B$15&gt;0,Model!$B$22,0))</f>
        <v/>
      </c>
      <c r="G111" s="7">
        <f>IF(A111="","",E111+F111)</f>
        <v/>
      </c>
      <c r="H111" s="7">
        <f>IF(A111="","",MAX(0,Model!$B$6-G111))</f>
        <v/>
      </c>
      <c r="I111" s="7">
        <f>IF(A111="","",H111/(1-Model!$B$9))</f>
        <v/>
      </c>
      <c r="J111" s="7">
        <f>IF(A111="","",C111-D111)</f>
        <v/>
      </c>
      <c r="K111">
        <f>IF(A111="","",C111&gt;=D111)</f>
        <v/>
      </c>
      <c r="L111" s="7">
        <f>IF(A111="","",IF(A111&gt;=Model!$B$11,Model!$B$19*(1+Model!$B$13)^B111,0))</f>
        <v/>
      </c>
      <c r="M111" s="7">
        <f>IF(A111="","",IF(Model!$B$15&gt;0,Model!$B$21*(1+Model!$B$13)^B111,0))</f>
        <v/>
      </c>
    </row>
    <row r="112">
      <c r="A112">
        <f>IF(Model!$B$10+ROW()-2&lt;=Model!$B$4,Model!$B$10+ROW()-2,"")</f>
        <v/>
      </c>
      <c r="B112">
        <f>IF(A112="","",A112-Model!$B$10)</f>
        <v/>
      </c>
      <c r="C112" s="7">
        <f>IF(A112="","",Model!$B$5*(1+Model!$B$18)^B112)</f>
        <v/>
      </c>
      <c r="D112" s="7">
        <f>IF(A112="","",SUMPRODUCT(($A$2:$A$122&gt;=A112)*($A$2:$A$122&lt;&gt;"")*((Model!$B$6-IF($A$2:$A$122&gt;=Model!$B$11,Model!$B$20,0)-IF(($A$2:$A$122&gt;=A112)*($A$2:$A$122&lt;A112+Model!$B$15),Model!$B$22,0))&gt;0)*(Model!$B$6-IF($A$2:$A$122&gt;=Model!$B$11,Model!$B$20,0)-IF(($A$2:$A$122&gt;=A112)*($A$2:$A$122&lt;A112+Model!$B$15),Model!$B$22,0))/(1-Model!$B$9)/(1+Model!$B$18)^($A$2:$A$122-A112)))</f>
        <v/>
      </c>
      <c r="E112" s="7">
        <f>IF(A112="","",IF(A112&gt;=Model!$B$11,Model!$B$20,0))</f>
        <v/>
      </c>
      <c r="F112" s="7">
        <f>IF(A112="","",IF(Model!$B$15&gt;0,Model!$B$22,0))</f>
        <v/>
      </c>
      <c r="G112" s="7">
        <f>IF(A112="","",E112+F112)</f>
        <v/>
      </c>
      <c r="H112" s="7">
        <f>IF(A112="","",MAX(0,Model!$B$6-G112))</f>
        <v/>
      </c>
      <c r="I112" s="7">
        <f>IF(A112="","",H112/(1-Model!$B$9))</f>
        <v/>
      </c>
      <c r="J112" s="7">
        <f>IF(A112="","",C112-D112)</f>
        <v/>
      </c>
      <c r="K112">
        <f>IF(A112="","",C112&gt;=D112)</f>
        <v/>
      </c>
      <c r="L112" s="7">
        <f>IF(A112="","",IF(A112&gt;=Model!$B$11,Model!$B$19*(1+Model!$B$13)^B112,0))</f>
        <v/>
      </c>
      <c r="M112" s="7">
        <f>IF(A112="","",IF(Model!$B$15&gt;0,Model!$B$21*(1+Model!$B$13)^B112,0))</f>
        <v/>
      </c>
    </row>
    <row r="113">
      <c r="A113">
        <f>IF(Model!$B$10+ROW()-2&lt;=Model!$B$4,Model!$B$10+ROW()-2,"")</f>
        <v/>
      </c>
      <c r="B113">
        <f>IF(A113="","",A113-Model!$B$10)</f>
        <v/>
      </c>
      <c r="C113" s="7">
        <f>IF(A113="","",Model!$B$5*(1+Model!$B$18)^B113)</f>
        <v/>
      </c>
      <c r="D113" s="7">
        <f>IF(A113="","",SUMPRODUCT(($A$2:$A$122&gt;=A113)*($A$2:$A$122&lt;&gt;"")*((Model!$B$6-IF($A$2:$A$122&gt;=Model!$B$11,Model!$B$20,0)-IF(($A$2:$A$122&gt;=A113)*($A$2:$A$122&lt;A113+Model!$B$15),Model!$B$22,0))&gt;0)*(Model!$B$6-IF($A$2:$A$122&gt;=Model!$B$11,Model!$B$20,0)-IF(($A$2:$A$122&gt;=A113)*($A$2:$A$122&lt;A113+Model!$B$15),Model!$B$22,0))/(1-Model!$B$9)/(1+Model!$B$18)^($A$2:$A$122-A113)))</f>
        <v/>
      </c>
      <c r="E113" s="7">
        <f>IF(A113="","",IF(A113&gt;=Model!$B$11,Model!$B$20,0))</f>
        <v/>
      </c>
      <c r="F113" s="7">
        <f>IF(A113="","",IF(Model!$B$15&gt;0,Model!$B$22,0))</f>
        <v/>
      </c>
      <c r="G113" s="7">
        <f>IF(A113="","",E113+F113)</f>
        <v/>
      </c>
      <c r="H113" s="7">
        <f>IF(A113="","",MAX(0,Model!$B$6-G113))</f>
        <v/>
      </c>
      <c r="I113" s="7">
        <f>IF(A113="","",H113/(1-Model!$B$9))</f>
        <v/>
      </c>
      <c r="J113" s="7">
        <f>IF(A113="","",C113-D113)</f>
        <v/>
      </c>
      <c r="K113">
        <f>IF(A113="","",C113&gt;=D113)</f>
        <v/>
      </c>
      <c r="L113" s="7">
        <f>IF(A113="","",IF(A113&gt;=Model!$B$11,Model!$B$19*(1+Model!$B$13)^B113,0))</f>
        <v/>
      </c>
      <c r="M113" s="7">
        <f>IF(A113="","",IF(Model!$B$15&gt;0,Model!$B$21*(1+Model!$B$13)^B113,0))</f>
        <v/>
      </c>
    </row>
    <row r="114">
      <c r="A114">
        <f>IF(Model!$B$10+ROW()-2&lt;=Model!$B$4,Model!$B$10+ROW()-2,"")</f>
        <v/>
      </c>
      <c r="B114">
        <f>IF(A114="","",A114-Model!$B$10)</f>
        <v/>
      </c>
      <c r="C114" s="7">
        <f>IF(A114="","",Model!$B$5*(1+Model!$B$18)^B114)</f>
        <v/>
      </c>
      <c r="D114" s="7">
        <f>IF(A114="","",SUMPRODUCT(($A$2:$A$122&gt;=A114)*($A$2:$A$122&lt;&gt;"")*((Model!$B$6-IF($A$2:$A$122&gt;=Model!$B$11,Model!$B$20,0)-IF(($A$2:$A$122&gt;=A114)*($A$2:$A$122&lt;A114+Model!$B$15),Model!$B$22,0))&gt;0)*(Model!$B$6-IF($A$2:$A$122&gt;=Model!$B$11,Model!$B$20,0)-IF(($A$2:$A$122&gt;=A114)*($A$2:$A$122&lt;A114+Model!$B$15),Model!$B$22,0))/(1-Model!$B$9)/(1+Model!$B$18)^($A$2:$A$122-A114)))</f>
        <v/>
      </c>
      <c r="E114" s="7">
        <f>IF(A114="","",IF(A114&gt;=Model!$B$11,Model!$B$20,0))</f>
        <v/>
      </c>
      <c r="F114" s="7">
        <f>IF(A114="","",IF(Model!$B$15&gt;0,Model!$B$22,0))</f>
        <v/>
      </c>
      <c r="G114" s="7">
        <f>IF(A114="","",E114+F114)</f>
        <v/>
      </c>
      <c r="H114" s="7">
        <f>IF(A114="","",MAX(0,Model!$B$6-G114))</f>
        <v/>
      </c>
      <c r="I114" s="7">
        <f>IF(A114="","",H114/(1-Model!$B$9))</f>
        <v/>
      </c>
      <c r="J114" s="7">
        <f>IF(A114="","",C114-D114)</f>
        <v/>
      </c>
      <c r="K114">
        <f>IF(A114="","",C114&gt;=D114)</f>
        <v/>
      </c>
      <c r="L114" s="7">
        <f>IF(A114="","",IF(A114&gt;=Model!$B$11,Model!$B$19*(1+Model!$B$13)^B114,0))</f>
        <v/>
      </c>
      <c r="M114" s="7">
        <f>IF(A114="","",IF(Model!$B$15&gt;0,Model!$B$21*(1+Model!$B$13)^B114,0))</f>
        <v/>
      </c>
    </row>
    <row r="115">
      <c r="A115">
        <f>IF(Model!$B$10+ROW()-2&lt;=Model!$B$4,Model!$B$10+ROW()-2,"")</f>
        <v/>
      </c>
      <c r="B115">
        <f>IF(A115="","",A115-Model!$B$10)</f>
        <v/>
      </c>
      <c r="C115" s="7">
        <f>IF(A115="","",Model!$B$5*(1+Model!$B$18)^B115)</f>
        <v/>
      </c>
      <c r="D115" s="7">
        <f>IF(A115="","",SUMPRODUCT(($A$2:$A$122&gt;=A115)*($A$2:$A$122&lt;&gt;"")*((Model!$B$6-IF($A$2:$A$122&gt;=Model!$B$11,Model!$B$20,0)-IF(($A$2:$A$122&gt;=A115)*($A$2:$A$122&lt;A115+Model!$B$15),Model!$B$22,0))&gt;0)*(Model!$B$6-IF($A$2:$A$122&gt;=Model!$B$11,Model!$B$20,0)-IF(($A$2:$A$122&gt;=A115)*($A$2:$A$122&lt;A115+Model!$B$15),Model!$B$22,0))/(1-Model!$B$9)/(1+Model!$B$18)^($A$2:$A$122-A115)))</f>
        <v/>
      </c>
      <c r="E115" s="7">
        <f>IF(A115="","",IF(A115&gt;=Model!$B$11,Model!$B$20,0))</f>
        <v/>
      </c>
      <c r="F115" s="7">
        <f>IF(A115="","",IF(Model!$B$15&gt;0,Model!$B$22,0))</f>
        <v/>
      </c>
      <c r="G115" s="7">
        <f>IF(A115="","",E115+F115)</f>
        <v/>
      </c>
      <c r="H115" s="7">
        <f>IF(A115="","",MAX(0,Model!$B$6-G115))</f>
        <v/>
      </c>
      <c r="I115" s="7">
        <f>IF(A115="","",H115/(1-Model!$B$9))</f>
        <v/>
      </c>
      <c r="J115" s="7">
        <f>IF(A115="","",C115-D115)</f>
        <v/>
      </c>
      <c r="K115">
        <f>IF(A115="","",C115&gt;=D115)</f>
        <v/>
      </c>
      <c r="L115" s="7">
        <f>IF(A115="","",IF(A115&gt;=Model!$B$11,Model!$B$19*(1+Model!$B$13)^B115,0))</f>
        <v/>
      </c>
      <c r="M115" s="7">
        <f>IF(A115="","",IF(Model!$B$15&gt;0,Model!$B$21*(1+Model!$B$13)^B115,0))</f>
        <v/>
      </c>
    </row>
    <row r="116">
      <c r="A116">
        <f>IF(Model!$B$10+ROW()-2&lt;=Model!$B$4,Model!$B$10+ROW()-2,"")</f>
        <v/>
      </c>
      <c r="B116">
        <f>IF(A116="","",A116-Model!$B$10)</f>
        <v/>
      </c>
      <c r="C116" s="7">
        <f>IF(A116="","",Model!$B$5*(1+Model!$B$18)^B116)</f>
        <v/>
      </c>
      <c r="D116" s="7">
        <f>IF(A116="","",SUMPRODUCT(($A$2:$A$122&gt;=A116)*($A$2:$A$122&lt;&gt;"")*((Model!$B$6-IF($A$2:$A$122&gt;=Model!$B$11,Model!$B$20,0)-IF(($A$2:$A$122&gt;=A116)*($A$2:$A$122&lt;A116+Model!$B$15),Model!$B$22,0))&gt;0)*(Model!$B$6-IF($A$2:$A$122&gt;=Model!$B$11,Model!$B$20,0)-IF(($A$2:$A$122&gt;=A116)*($A$2:$A$122&lt;A116+Model!$B$15),Model!$B$22,0))/(1-Model!$B$9)/(1+Model!$B$18)^($A$2:$A$122-A116)))</f>
        <v/>
      </c>
      <c r="E116" s="7">
        <f>IF(A116="","",IF(A116&gt;=Model!$B$11,Model!$B$20,0))</f>
        <v/>
      </c>
      <c r="F116" s="7">
        <f>IF(A116="","",IF(Model!$B$15&gt;0,Model!$B$22,0))</f>
        <v/>
      </c>
      <c r="G116" s="7">
        <f>IF(A116="","",E116+F116)</f>
        <v/>
      </c>
      <c r="H116" s="7">
        <f>IF(A116="","",MAX(0,Model!$B$6-G116))</f>
        <v/>
      </c>
      <c r="I116" s="7">
        <f>IF(A116="","",H116/(1-Model!$B$9))</f>
        <v/>
      </c>
      <c r="J116" s="7">
        <f>IF(A116="","",C116-D116)</f>
        <v/>
      </c>
      <c r="K116">
        <f>IF(A116="","",C116&gt;=D116)</f>
        <v/>
      </c>
      <c r="L116" s="7">
        <f>IF(A116="","",IF(A116&gt;=Model!$B$11,Model!$B$19*(1+Model!$B$13)^B116,0))</f>
        <v/>
      </c>
      <c r="M116" s="7">
        <f>IF(A116="","",IF(Model!$B$15&gt;0,Model!$B$21*(1+Model!$B$13)^B116,0))</f>
        <v/>
      </c>
    </row>
    <row r="117">
      <c r="A117">
        <f>IF(Model!$B$10+ROW()-2&lt;=Model!$B$4,Model!$B$10+ROW()-2,"")</f>
        <v/>
      </c>
      <c r="B117">
        <f>IF(A117="","",A117-Model!$B$10)</f>
        <v/>
      </c>
      <c r="C117" s="7">
        <f>IF(A117="","",Model!$B$5*(1+Model!$B$18)^B117)</f>
        <v/>
      </c>
      <c r="D117" s="7">
        <f>IF(A117="","",SUMPRODUCT(($A$2:$A$122&gt;=A117)*($A$2:$A$122&lt;&gt;"")*((Model!$B$6-IF($A$2:$A$122&gt;=Model!$B$11,Model!$B$20,0)-IF(($A$2:$A$122&gt;=A117)*($A$2:$A$122&lt;A117+Model!$B$15),Model!$B$22,0))&gt;0)*(Model!$B$6-IF($A$2:$A$122&gt;=Model!$B$11,Model!$B$20,0)-IF(($A$2:$A$122&gt;=A117)*($A$2:$A$122&lt;A117+Model!$B$15),Model!$B$22,0))/(1-Model!$B$9)/(1+Model!$B$18)^($A$2:$A$122-A117)))</f>
        <v/>
      </c>
      <c r="E117" s="7">
        <f>IF(A117="","",IF(A117&gt;=Model!$B$11,Model!$B$20,0))</f>
        <v/>
      </c>
      <c r="F117" s="7">
        <f>IF(A117="","",IF(Model!$B$15&gt;0,Model!$B$22,0))</f>
        <v/>
      </c>
      <c r="G117" s="7">
        <f>IF(A117="","",E117+F117)</f>
        <v/>
      </c>
      <c r="H117" s="7">
        <f>IF(A117="","",MAX(0,Model!$B$6-G117))</f>
        <v/>
      </c>
      <c r="I117" s="7">
        <f>IF(A117="","",H117/(1-Model!$B$9))</f>
        <v/>
      </c>
      <c r="J117" s="7">
        <f>IF(A117="","",C117-D117)</f>
        <v/>
      </c>
      <c r="K117">
        <f>IF(A117="","",C117&gt;=D117)</f>
        <v/>
      </c>
      <c r="L117" s="7">
        <f>IF(A117="","",IF(A117&gt;=Model!$B$11,Model!$B$19*(1+Model!$B$13)^B117,0))</f>
        <v/>
      </c>
      <c r="M117" s="7">
        <f>IF(A117="","",IF(Model!$B$15&gt;0,Model!$B$21*(1+Model!$B$13)^B117,0))</f>
        <v/>
      </c>
    </row>
    <row r="118">
      <c r="A118">
        <f>IF(Model!$B$10+ROW()-2&lt;=Model!$B$4,Model!$B$10+ROW()-2,"")</f>
        <v/>
      </c>
      <c r="B118">
        <f>IF(A118="","",A118-Model!$B$10)</f>
        <v/>
      </c>
      <c r="C118" s="7">
        <f>IF(A118="","",Model!$B$5*(1+Model!$B$18)^B118)</f>
        <v/>
      </c>
      <c r="D118" s="7">
        <f>IF(A118="","",SUMPRODUCT(($A$2:$A$122&gt;=A118)*($A$2:$A$122&lt;&gt;"")*((Model!$B$6-IF($A$2:$A$122&gt;=Model!$B$11,Model!$B$20,0)-IF(($A$2:$A$122&gt;=A118)*($A$2:$A$122&lt;A118+Model!$B$15),Model!$B$22,0))&gt;0)*(Model!$B$6-IF($A$2:$A$122&gt;=Model!$B$11,Model!$B$20,0)-IF(($A$2:$A$122&gt;=A118)*($A$2:$A$122&lt;A118+Model!$B$15),Model!$B$22,0))/(1-Model!$B$9)/(1+Model!$B$18)^($A$2:$A$122-A118)))</f>
        <v/>
      </c>
      <c r="E118" s="7">
        <f>IF(A118="","",IF(A118&gt;=Model!$B$11,Model!$B$20,0))</f>
        <v/>
      </c>
      <c r="F118" s="7">
        <f>IF(A118="","",IF(Model!$B$15&gt;0,Model!$B$22,0))</f>
        <v/>
      </c>
      <c r="G118" s="7">
        <f>IF(A118="","",E118+F118)</f>
        <v/>
      </c>
      <c r="H118" s="7">
        <f>IF(A118="","",MAX(0,Model!$B$6-G118))</f>
        <v/>
      </c>
      <c r="I118" s="7">
        <f>IF(A118="","",H118/(1-Model!$B$9))</f>
        <v/>
      </c>
      <c r="J118" s="7">
        <f>IF(A118="","",C118-D118)</f>
        <v/>
      </c>
      <c r="K118">
        <f>IF(A118="","",C118&gt;=D118)</f>
        <v/>
      </c>
      <c r="L118" s="7">
        <f>IF(A118="","",IF(A118&gt;=Model!$B$11,Model!$B$19*(1+Model!$B$13)^B118,0))</f>
        <v/>
      </c>
      <c r="M118" s="7">
        <f>IF(A118="","",IF(Model!$B$15&gt;0,Model!$B$21*(1+Model!$B$13)^B118,0))</f>
        <v/>
      </c>
    </row>
    <row r="119">
      <c r="A119">
        <f>IF(Model!$B$10+ROW()-2&lt;=Model!$B$4,Model!$B$10+ROW()-2,"")</f>
        <v/>
      </c>
      <c r="B119">
        <f>IF(A119="","",A119-Model!$B$10)</f>
        <v/>
      </c>
      <c r="C119" s="7">
        <f>IF(A119="","",Model!$B$5*(1+Model!$B$18)^B119)</f>
        <v/>
      </c>
      <c r="D119" s="7">
        <f>IF(A119="","",SUMPRODUCT(($A$2:$A$122&gt;=A119)*($A$2:$A$122&lt;&gt;"")*((Model!$B$6-IF($A$2:$A$122&gt;=Model!$B$11,Model!$B$20,0)-IF(($A$2:$A$122&gt;=A119)*($A$2:$A$122&lt;A119+Model!$B$15),Model!$B$22,0))&gt;0)*(Model!$B$6-IF($A$2:$A$122&gt;=Model!$B$11,Model!$B$20,0)-IF(($A$2:$A$122&gt;=A119)*($A$2:$A$122&lt;A119+Model!$B$15),Model!$B$22,0))/(1-Model!$B$9)/(1+Model!$B$18)^($A$2:$A$122-A119)))</f>
        <v/>
      </c>
      <c r="E119" s="7">
        <f>IF(A119="","",IF(A119&gt;=Model!$B$11,Model!$B$20,0))</f>
        <v/>
      </c>
      <c r="F119" s="7">
        <f>IF(A119="","",IF(Model!$B$15&gt;0,Model!$B$22,0))</f>
        <v/>
      </c>
      <c r="G119" s="7">
        <f>IF(A119="","",E119+F119)</f>
        <v/>
      </c>
      <c r="H119" s="7">
        <f>IF(A119="","",MAX(0,Model!$B$6-G119))</f>
        <v/>
      </c>
      <c r="I119" s="7">
        <f>IF(A119="","",H119/(1-Model!$B$9))</f>
        <v/>
      </c>
      <c r="J119" s="7">
        <f>IF(A119="","",C119-D119)</f>
        <v/>
      </c>
      <c r="K119">
        <f>IF(A119="","",C119&gt;=D119)</f>
        <v/>
      </c>
      <c r="L119" s="7">
        <f>IF(A119="","",IF(A119&gt;=Model!$B$11,Model!$B$19*(1+Model!$B$13)^B119,0))</f>
        <v/>
      </c>
      <c r="M119" s="7">
        <f>IF(A119="","",IF(Model!$B$15&gt;0,Model!$B$21*(1+Model!$B$13)^B119,0))</f>
        <v/>
      </c>
    </row>
    <row r="120">
      <c r="A120">
        <f>IF(Model!$B$10+ROW()-2&lt;=Model!$B$4,Model!$B$10+ROW()-2,"")</f>
        <v/>
      </c>
      <c r="B120">
        <f>IF(A120="","",A120-Model!$B$10)</f>
        <v/>
      </c>
      <c r="C120" s="7">
        <f>IF(A120="","",Model!$B$5*(1+Model!$B$18)^B120)</f>
        <v/>
      </c>
      <c r="D120" s="7">
        <f>IF(A120="","",SUMPRODUCT(($A$2:$A$122&gt;=A120)*($A$2:$A$122&lt;&gt;"")*((Model!$B$6-IF($A$2:$A$122&gt;=Model!$B$11,Model!$B$20,0)-IF(($A$2:$A$122&gt;=A120)*($A$2:$A$122&lt;A120+Model!$B$15),Model!$B$22,0))&gt;0)*(Model!$B$6-IF($A$2:$A$122&gt;=Model!$B$11,Model!$B$20,0)-IF(($A$2:$A$122&gt;=A120)*($A$2:$A$122&lt;A120+Model!$B$15),Model!$B$22,0))/(1-Model!$B$9)/(1+Model!$B$18)^($A$2:$A$122-A120)))</f>
        <v/>
      </c>
      <c r="E120" s="7">
        <f>IF(A120="","",IF(A120&gt;=Model!$B$11,Model!$B$20,0))</f>
        <v/>
      </c>
      <c r="F120" s="7">
        <f>IF(A120="","",IF(Model!$B$15&gt;0,Model!$B$22,0))</f>
        <v/>
      </c>
      <c r="G120" s="7">
        <f>IF(A120="","",E120+F120)</f>
        <v/>
      </c>
      <c r="H120" s="7">
        <f>IF(A120="","",MAX(0,Model!$B$6-G120))</f>
        <v/>
      </c>
      <c r="I120" s="7">
        <f>IF(A120="","",H120/(1-Model!$B$9))</f>
        <v/>
      </c>
      <c r="J120" s="7">
        <f>IF(A120="","",C120-D120)</f>
        <v/>
      </c>
      <c r="K120">
        <f>IF(A120="","",C120&gt;=D120)</f>
        <v/>
      </c>
      <c r="L120" s="7">
        <f>IF(A120="","",IF(A120&gt;=Model!$B$11,Model!$B$19*(1+Model!$B$13)^B120,0))</f>
        <v/>
      </c>
      <c r="M120" s="7">
        <f>IF(A120="","",IF(Model!$B$15&gt;0,Model!$B$21*(1+Model!$B$13)^B120,0))</f>
        <v/>
      </c>
    </row>
    <row r="121">
      <c r="A121">
        <f>IF(Model!$B$10+ROW()-2&lt;=Model!$B$4,Model!$B$10+ROW()-2,"")</f>
        <v/>
      </c>
      <c r="B121">
        <f>IF(A121="","",A121-Model!$B$10)</f>
        <v/>
      </c>
      <c r="C121" s="7">
        <f>IF(A121="","",Model!$B$5*(1+Model!$B$18)^B121)</f>
        <v/>
      </c>
      <c r="D121" s="7">
        <f>IF(A121="","",SUMPRODUCT(($A$2:$A$122&gt;=A121)*($A$2:$A$122&lt;&gt;"")*((Model!$B$6-IF($A$2:$A$122&gt;=Model!$B$11,Model!$B$20,0)-IF(($A$2:$A$122&gt;=A121)*($A$2:$A$122&lt;A121+Model!$B$15),Model!$B$22,0))&gt;0)*(Model!$B$6-IF($A$2:$A$122&gt;=Model!$B$11,Model!$B$20,0)-IF(($A$2:$A$122&gt;=A121)*($A$2:$A$122&lt;A121+Model!$B$15),Model!$B$22,0))/(1-Model!$B$9)/(1+Model!$B$18)^($A$2:$A$122-A121)))</f>
        <v/>
      </c>
      <c r="E121" s="7">
        <f>IF(A121="","",IF(A121&gt;=Model!$B$11,Model!$B$20,0))</f>
        <v/>
      </c>
      <c r="F121" s="7">
        <f>IF(A121="","",IF(Model!$B$15&gt;0,Model!$B$22,0))</f>
        <v/>
      </c>
      <c r="G121" s="7">
        <f>IF(A121="","",E121+F121)</f>
        <v/>
      </c>
      <c r="H121" s="7">
        <f>IF(A121="","",MAX(0,Model!$B$6-G121))</f>
        <v/>
      </c>
      <c r="I121" s="7">
        <f>IF(A121="","",H121/(1-Model!$B$9))</f>
        <v/>
      </c>
      <c r="J121" s="7">
        <f>IF(A121="","",C121-D121)</f>
        <v/>
      </c>
      <c r="K121">
        <f>IF(A121="","",C121&gt;=D121)</f>
        <v/>
      </c>
      <c r="L121" s="7">
        <f>IF(A121="","",IF(A121&gt;=Model!$B$11,Model!$B$19*(1+Model!$B$13)^B121,0))</f>
        <v/>
      </c>
      <c r="M121" s="7">
        <f>IF(A121="","",IF(Model!$B$15&gt;0,Model!$B$21*(1+Model!$B$13)^B121,0))</f>
        <v/>
      </c>
    </row>
    <row r="122">
      <c r="A122">
        <f>IF(Model!$B$10+ROW()-2&lt;=Model!$B$4,Model!$B$10+ROW()-2,"")</f>
        <v/>
      </c>
      <c r="B122">
        <f>IF(A122="","",A122-Model!$B$10)</f>
        <v/>
      </c>
      <c r="C122" s="7">
        <f>IF(A122="","",Model!$B$5*(1+Model!$B$18)^B122)</f>
        <v/>
      </c>
      <c r="D122" s="7">
        <f>IF(A122="","",SUMPRODUCT(($A$2:$A$122&gt;=A122)*($A$2:$A$122&lt;&gt;"")*((Model!$B$6-IF($A$2:$A$122&gt;=Model!$B$11,Model!$B$20,0)-IF(($A$2:$A$122&gt;=A122)*($A$2:$A$122&lt;A122+Model!$B$15),Model!$B$22,0))&gt;0)*(Model!$B$6-IF($A$2:$A$122&gt;=Model!$B$11,Model!$B$20,0)-IF(($A$2:$A$122&gt;=A122)*($A$2:$A$122&lt;A122+Model!$B$15),Model!$B$22,0))/(1-Model!$B$9)/(1+Model!$B$18)^($A$2:$A$122-A122)))</f>
        <v/>
      </c>
      <c r="E122" s="7">
        <f>IF(A122="","",IF(A122&gt;=Model!$B$11,Model!$B$20,0))</f>
        <v/>
      </c>
      <c r="F122" s="7">
        <f>IF(A122="","",IF(Model!$B$15&gt;0,Model!$B$22,0))</f>
        <v/>
      </c>
      <c r="G122" s="7">
        <f>IF(A122="","",E122+F122)</f>
        <v/>
      </c>
      <c r="H122" s="7">
        <f>IF(A122="","",MAX(0,Model!$B$6-G122))</f>
        <v/>
      </c>
      <c r="I122" s="7">
        <f>IF(A122="","",H122/(1-Model!$B$9))</f>
        <v/>
      </c>
      <c r="J122" s="7">
        <f>IF(A122="","",C122-D122)</f>
        <v/>
      </c>
      <c r="K122">
        <f>IF(A122="","",C122&gt;=D122)</f>
        <v/>
      </c>
      <c r="L122" s="7">
        <f>IF(A122="","",IF(A122&gt;=Model!$B$11,Model!$B$19*(1+Model!$B$13)^B122,0))</f>
        <v/>
      </c>
      <c r="M122" s="7">
        <f>IF(A122="","",IF(Model!$B$15&gt;0,Model!$B$21*(1+Model!$B$13)^B122,0))</f>
        <v/>
      </c>
    </row>
  </sheetData>
  <autoFilter ref="A1:M122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22" customWidth="1" min="10" max="10"/>
  </cols>
  <sheetData>
    <row r="1">
      <c r="A1" s="9" t="inlineStr">
        <is>
          <t>Udbetalingsplan ved optimal pensionsalder</t>
        </is>
      </c>
    </row>
    <row r="3">
      <c r="A3" t="inlineStr">
        <is>
          <t>Valgt pensionsalder</t>
        </is>
      </c>
      <c r="B3">
        <f>Model!B24</f>
        <v/>
      </c>
    </row>
    <row r="4">
      <c r="A4" t="inlineStr">
        <is>
          <t>Startportefolje i plan</t>
        </is>
      </c>
      <c r="B4" s="7">
        <f>IF(ISNUMBER(B3),INDEX('Aarlig projektion'!D:D,MATCH(B3,'Aarlig projektion'!A:A,0)),"")</f>
        <v/>
      </c>
    </row>
    <row r="5">
      <c r="A5" t="inlineStr">
        <is>
          <t>Bemerkning</t>
        </is>
      </c>
      <c r="B5" t="inlineStr">
        <is>
          <t>Planen starter med den nodvendige portefolje, saa saldoen rammer 0 kr ved levealderen.</t>
        </is>
      </c>
    </row>
    <row r="7">
      <c r="A7" s="8" t="inlineStr">
        <is>
          <t>Alder</t>
        </is>
      </c>
      <c r="B7" s="8" t="inlineStr">
        <is>
          <t>Startsaldo</t>
        </is>
      </c>
      <c r="C7" s="8" t="inlineStr">
        <is>
          <t>Offentlig pension efter skat</t>
        </is>
      </c>
      <c r="D7" s="8" t="inlineStr">
        <is>
          <t>Bijob efter skat</t>
        </is>
      </c>
      <c r="E7" s="8" t="inlineStr">
        <is>
          <t>Samlet indkomst efter skat</t>
        </is>
      </c>
      <c r="F7" s="8" t="inlineStr">
        <is>
          <t>Nettoforbrug fra portefolje</t>
        </is>
      </c>
      <c r="G7" s="8" t="inlineStr">
        <is>
          <t>Brutto udbetaling</t>
        </is>
      </c>
      <c r="H7" s="8" t="inlineStr">
        <is>
          <t>Saldo efter udbetaling</t>
        </is>
      </c>
      <c r="I7" s="8" t="inlineStr">
        <is>
          <t>Afkast efter skat</t>
        </is>
      </c>
      <c r="J7" s="8" t="inlineStr">
        <is>
          <t>Slutsaldo</t>
        </is>
      </c>
    </row>
    <row r="8">
      <c r="A8">
        <f>IF(ISNUMBER($B$3),$B$3,"")</f>
        <v/>
      </c>
      <c r="B8" s="7">
        <f>IF(A8="","",$B$4)</f>
        <v/>
      </c>
      <c r="C8" s="7">
        <f>IF(A8="","",IF(A8&gt;=Model!$B$11,Model!$B$20,0))</f>
        <v/>
      </c>
      <c r="D8" s="7">
        <f>IF(A8="","",IF(A8&lt;$B$3+Model!$B$15,Model!$B$22,0))</f>
        <v/>
      </c>
      <c r="E8" s="7">
        <f>IF(A8="","",C8+D8)</f>
        <v/>
      </c>
      <c r="F8" s="7">
        <f>IF(A8="","",MAX(0,Model!$B$6-E8))</f>
        <v/>
      </c>
      <c r="G8" s="7">
        <f>IF(A8="","",F8/(1-Model!$B$9))</f>
        <v/>
      </c>
      <c r="H8" s="7">
        <f>IF(A8="","",MAX(0,B8-G8))</f>
        <v/>
      </c>
      <c r="I8" s="7">
        <f>IF(A8="","",H8*Model!$B$18)</f>
        <v/>
      </c>
      <c r="J8" s="7">
        <f>IF(A8="","",H8+I8)</f>
        <v/>
      </c>
    </row>
    <row r="9">
      <c r="A9">
        <f>IF(OR(A8="",A8&gt;=Model!$B$4),"",A8+1)</f>
        <v/>
      </c>
      <c r="B9" s="7">
        <f>IF(A9="","",J8)</f>
        <v/>
      </c>
      <c r="C9" s="7">
        <f>IF(A9="","",IF(A9&gt;=Model!$B$11,Model!$B$20,0))</f>
        <v/>
      </c>
      <c r="D9" s="7">
        <f>IF(A9="","",IF(A9&lt;$B$3+Model!$B$15,Model!$B$22,0))</f>
        <v/>
      </c>
      <c r="E9" s="7">
        <f>IF(A9="","",C9+D9)</f>
        <v/>
      </c>
      <c r="F9" s="7">
        <f>IF(A9="","",MAX(0,Model!$B$6-E9))</f>
        <v/>
      </c>
      <c r="G9" s="7">
        <f>IF(A9="","",F9/(1-Model!$B$9))</f>
        <v/>
      </c>
      <c r="H9" s="7">
        <f>IF(A9="","",MAX(0,B9-G9))</f>
        <v/>
      </c>
      <c r="I9" s="7">
        <f>IF(A9="","",H9*Model!$B$18)</f>
        <v/>
      </c>
      <c r="J9" s="7">
        <f>IF(A9="","",H9+I9)</f>
        <v/>
      </c>
    </row>
    <row r="10">
      <c r="A10">
        <f>IF(OR(A9="",A9&gt;=Model!$B$4),"",A9+1)</f>
        <v/>
      </c>
      <c r="B10" s="7">
        <f>IF(A10="","",J9)</f>
        <v/>
      </c>
      <c r="C10" s="7">
        <f>IF(A10="","",IF(A10&gt;=Model!$B$11,Model!$B$20,0))</f>
        <v/>
      </c>
      <c r="D10" s="7">
        <f>IF(A10="","",IF(A10&lt;$B$3+Model!$B$15,Model!$B$22,0))</f>
        <v/>
      </c>
      <c r="E10" s="7">
        <f>IF(A10="","",C10+D10)</f>
        <v/>
      </c>
      <c r="F10" s="7">
        <f>IF(A10="","",MAX(0,Model!$B$6-E10))</f>
        <v/>
      </c>
      <c r="G10" s="7">
        <f>IF(A10="","",F10/(1-Model!$B$9))</f>
        <v/>
      </c>
      <c r="H10" s="7">
        <f>IF(A10="","",MAX(0,B10-G10))</f>
        <v/>
      </c>
      <c r="I10" s="7">
        <f>IF(A10="","",H10*Model!$B$18)</f>
        <v/>
      </c>
      <c r="J10" s="7">
        <f>IF(A10="","",H10+I10)</f>
        <v/>
      </c>
    </row>
    <row r="11">
      <c r="A11">
        <f>IF(OR(A10="",A10&gt;=Model!$B$4),"",A10+1)</f>
        <v/>
      </c>
      <c r="B11" s="7">
        <f>IF(A11="","",J10)</f>
        <v/>
      </c>
      <c r="C11" s="7">
        <f>IF(A11="","",IF(A11&gt;=Model!$B$11,Model!$B$20,0))</f>
        <v/>
      </c>
      <c r="D11" s="7">
        <f>IF(A11="","",IF(A11&lt;$B$3+Model!$B$15,Model!$B$22,0))</f>
        <v/>
      </c>
      <c r="E11" s="7">
        <f>IF(A11="","",C11+D11)</f>
        <v/>
      </c>
      <c r="F11" s="7">
        <f>IF(A11="","",MAX(0,Model!$B$6-E11))</f>
        <v/>
      </c>
      <c r="G11" s="7">
        <f>IF(A11="","",F11/(1-Model!$B$9))</f>
        <v/>
      </c>
      <c r="H11" s="7">
        <f>IF(A11="","",MAX(0,B11-G11))</f>
        <v/>
      </c>
      <c r="I11" s="7">
        <f>IF(A11="","",H11*Model!$B$18)</f>
        <v/>
      </c>
      <c r="J11" s="7">
        <f>IF(A11="","",H11+I11)</f>
        <v/>
      </c>
    </row>
    <row r="12">
      <c r="A12">
        <f>IF(OR(A11="",A11&gt;=Model!$B$4),"",A11+1)</f>
        <v/>
      </c>
      <c r="B12" s="7">
        <f>IF(A12="","",J11)</f>
        <v/>
      </c>
      <c r="C12" s="7">
        <f>IF(A12="","",IF(A12&gt;=Model!$B$11,Model!$B$20,0))</f>
        <v/>
      </c>
      <c r="D12" s="7">
        <f>IF(A12="","",IF(A12&lt;$B$3+Model!$B$15,Model!$B$22,0))</f>
        <v/>
      </c>
      <c r="E12" s="7">
        <f>IF(A12="","",C12+D12)</f>
        <v/>
      </c>
      <c r="F12" s="7">
        <f>IF(A12="","",MAX(0,Model!$B$6-E12))</f>
        <v/>
      </c>
      <c r="G12" s="7">
        <f>IF(A12="","",F12/(1-Model!$B$9))</f>
        <v/>
      </c>
      <c r="H12" s="7">
        <f>IF(A12="","",MAX(0,B12-G12))</f>
        <v/>
      </c>
      <c r="I12" s="7">
        <f>IF(A12="","",H12*Model!$B$18)</f>
        <v/>
      </c>
      <c r="J12" s="7">
        <f>IF(A12="","",H12+I12)</f>
        <v/>
      </c>
    </row>
    <row r="13">
      <c r="A13">
        <f>IF(OR(A12="",A12&gt;=Model!$B$4),"",A12+1)</f>
        <v/>
      </c>
      <c r="B13" s="7">
        <f>IF(A13="","",J12)</f>
        <v/>
      </c>
      <c r="C13" s="7">
        <f>IF(A13="","",IF(A13&gt;=Model!$B$11,Model!$B$20,0))</f>
        <v/>
      </c>
      <c r="D13" s="7">
        <f>IF(A13="","",IF(A13&lt;$B$3+Model!$B$15,Model!$B$22,0))</f>
        <v/>
      </c>
      <c r="E13" s="7">
        <f>IF(A13="","",C13+D13)</f>
        <v/>
      </c>
      <c r="F13" s="7">
        <f>IF(A13="","",MAX(0,Model!$B$6-E13))</f>
        <v/>
      </c>
      <c r="G13" s="7">
        <f>IF(A13="","",F13/(1-Model!$B$9))</f>
        <v/>
      </c>
      <c r="H13" s="7">
        <f>IF(A13="","",MAX(0,B13-G13))</f>
        <v/>
      </c>
      <c r="I13" s="7">
        <f>IF(A13="","",H13*Model!$B$18)</f>
        <v/>
      </c>
      <c r="J13" s="7">
        <f>IF(A13="","",H13+I13)</f>
        <v/>
      </c>
    </row>
    <row r="14">
      <c r="A14">
        <f>IF(OR(A13="",A13&gt;=Model!$B$4),"",A13+1)</f>
        <v/>
      </c>
      <c r="B14" s="7">
        <f>IF(A14="","",J13)</f>
        <v/>
      </c>
      <c r="C14" s="7">
        <f>IF(A14="","",IF(A14&gt;=Model!$B$11,Model!$B$20,0))</f>
        <v/>
      </c>
      <c r="D14" s="7">
        <f>IF(A14="","",IF(A14&lt;$B$3+Model!$B$15,Model!$B$22,0))</f>
        <v/>
      </c>
      <c r="E14" s="7">
        <f>IF(A14="","",C14+D14)</f>
        <v/>
      </c>
      <c r="F14" s="7">
        <f>IF(A14="","",MAX(0,Model!$B$6-E14))</f>
        <v/>
      </c>
      <c r="G14" s="7">
        <f>IF(A14="","",F14/(1-Model!$B$9))</f>
        <v/>
      </c>
      <c r="H14" s="7">
        <f>IF(A14="","",MAX(0,B14-G14))</f>
        <v/>
      </c>
      <c r="I14" s="7">
        <f>IF(A14="","",H14*Model!$B$18)</f>
        <v/>
      </c>
      <c r="J14" s="7">
        <f>IF(A14="","",H14+I14)</f>
        <v/>
      </c>
    </row>
    <row r="15">
      <c r="A15">
        <f>IF(OR(A14="",A14&gt;=Model!$B$4),"",A14+1)</f>
        <v/>
      </c>
      <c r="B15" s="7">
        <f>IF(A15="","",J14)</f>
        <v/>
      </c>
      <c r="C15" s="7">
        <f>IF(A15="","",IF(A15&gt;=Model!$B$11,Model!$B$20,0))</f>
        <v/>
      </c>
      <c r="D15" s="7">
        <f>IF(A15="","",IF(A15&lt;$B$3+Model!$B$15,Model!$B$22,0))</f>
        <v/>
      </c>
      <c r="E15" s="7">
        <f>IF(A15="","",C15+D15)</f>
        <v/>
      </c>
      <c r="F15" s="7">
        <f>IF(A15="","",MAX(0,Model!$B$6-E15))</f>
        <v/>
      </c>
      <c r="G15" s="7">
        <f>IF(A15="","",F15/(1-Model!$B$9))</f>
        <v/>
      </c>
      <c r="H15" s="7">
        <f>IF(A15="","",MAX(0,B15-G15))</f>
        <v/>
      </c>
      <c r="I15" s="7">
        <f>IF(A15="","",H15*Model!$B$18)</f>
        <v/>
      </c>
      <c r="J15" s="7">
        <f>IF(A15="","",H15+I15)</f>
        <v/>
      </c>
    </row>
    <row r="16">
      <c r="A16">
        <f>IF(OR(A15="",A15&gt;=Model!$B$4),"",A15+1)</f>
        <v/>
      </c>
      <c r="B16" s="7">
        <f>IF(A16="","",J15)</f>
        <v/>
      </c>
      <c r="C16" s="7">
        <f>IF(A16="","",IF(A16&gt;=Model!$B$11,Model!$B$20,0))</f>
        <v/>
      </c>
      <c r="D16" s="7">
        <f>IF(A16="","",IF(A16&lt;$B$3+Model!$B$15,Model!$B$22,0))</f>
        <v/>
      </c>
      <c r="E16" s="7">
        <f>IF(A16="","",C16+D16)</f>
        <v/>
      </c>
      <c r="F16" s="7">
        <f>IF(A16="","",MAX(0,Model!$B$6-E16))</f>
        <v/>
      </c>
      <c r="G16" s="7">
        <f>IF(A16="","",F16/(1-Model!$B$9))</f>
        <v/>
      </c>
      <c r="H16" s="7">
        <f>IF(A16="","",MAX(0,B16-G16))</f>
        <v/>
      </c>
      <c r="I16" s="7">
        <f>IF(A16="","",H16*Model!$B$18)</f>
        <v/>
      </c>
      <c r="J16" s="7">
        <f>IF(A16="","",H16+I16)</f>
        <v/>
      </c>
    </row>
    <row r="17">
      <c r="A17">
        <f>IF(OR(A16="",A16&gt;=Model!$B$4),"",A16+1)</f>
        <v/>
      </c>
      <c r="B17" s="7">
        <f>IF(A17="","",J16)</f>
        <v/>
      </c>
      <c r="C17" s="7">
        <f>IF(A17="","",IF(A17&gt;=Model!$B$11,Model!$B$20,0))</f>
        <v/>
      </c>
      <c r="D17" s="7">
        <f>IF(A17="","",IF(A17&lt;$B$3+Model!$B$15,Model!$B$22,0))</f>
        <v/>
      </c>
      <c r="E17" s="7">
        <f>IF(A17="","",C17+D17)</f>
        <v/>
      </c>
      <c r="F17" s="7">
        <f>IF(A17="","",MAX(0,Model!$B$6-E17))</f>
        <v/>
      </c>
      <c r="G17" s="7">
        <f>IF(A17="","",F17/(1-Model!$B$9))</f>
        <v/>
      </c>
      <c r="H17" s="7">
        <f>IF(A17="","",MAX(0,B17-G17))</f>
        <v/>
      </c>
      <c r="I17" s="7">
        <f>IF(A17="","",H17*Model!$B$18)</f>
        <v/>
      </c>
      <c r="J17" s="7">
        <f>IF(A17="","",H17+I17)</f>
        <v/>
      </c>
    </row>
    <row r="18">
      <c r="A18">
        <f>IF(OR(A17="",A17&gt;=Model!$B$4),"",A17+1)</f>
        <v/>
      </c>
      <c r="B18" s="7">
        <f>IF(A18="","",J17)</f>
        <v/>
      </c>
      <c r="C18" s="7">
        <f>IF(A18="","",IF(A18&gt;=Model!$B$11,Model!$B$20,0))</f>
        <v/>
      </c>
      <c r="D18" s="7">
        <f>IF(A18="","",IF(A18&lt;$B$3+Model!$B$15,Model!$B$22,0))</f>
        <v/>
      </c>
      <c r="E18" s="7">
        <f>IF(A18="","",C18+D18)</f>
        <v/>
      </c>
      <c r="F18" s="7">
        <f>IF(A18="","",MAX(0,Model!$B$6-E18))</f>
        <v/>
      </c>
      <c r="G18" s="7">
        <f>IF(A18="","",F18/(1-Model!$B$9))</f>
        <v/>
      </c>
      <c r="H18" s="7">
        <f>IF(A18="","",MAX(0,B18-G18))</f>
        <v/>
      </c>
      <c r="I18" s="7">
        <f>IF(A18="","",H18*Model!$B$18)</f>
        <v/>
      </c>
      <c r="J18" s="7">
        <f>IF(A18="","",H18+I18)</f>
        <v/>
      </c>
    </row>
    <row r="19">
      <c r="A19">
        <f>IF(OR(A18="",A18&gt;=Model!$B$4),"",A18+1)</f>
        <v/>
      </c>
      <c r="B19" s="7">
        <f>IF(A19="","",J18)</f>
        <v/>
      </c>
      <c r="C19" s="7">
        <f>IF(A19="","",IF(A19&gt;=Model!$B$11,Model!$B$20,0))</f>
        <v/>
      </c>
      <c r="D19" s="7">
        <f>IF(A19="","",IF(A19&lt;$B$3+Model!$B$15,Model!$B$22,0))</f>
        <v/>
      </c>
      <c r="E19" s="7">
        <f>IF(A19="","",C19+D19)</f>
        <v/>
      </c>
      <c r="F19" s="7">
        <f>IF(A19="","",MAX(0,Model!$B$6-E19))</f>
        <v/>
      </c>
      <c r="G19" s="7">
        <f>IF(A19="","",F19/(1-Model!$B$9))</f>
        <v/>
      </c>
      <c r="H19" s="7">
        <f>IF(A19="","",MAX(0,B19-G19))</f>
        <v/>
      </c>
      <c r="I19" s="7">
        <f>IF(A19="","",H19*Model!$B$18)</f>
        <v/>
      </c>
      <c r="J19" s="7">
        <f>IF(A19="","",H19+I19)</f>
        <v/>
      </c>
    </row>
    <row r="20">
      <c r="A20">
        <f>IF(OR(A19="",A19&gt;=Model!$B$4),"",A19+1)</f>
        <v/>
      </c>
      <c r="B20" s="7">
        <f>IF(A20="","",J19)</f>
        <v/>
      </c>
      <c r="C20" s="7">
        <f>IF(A20="","",IF(A20&gt;=Model!$B$11,Model!$B$20,0))</f>
        <v/>
      </c>
      <c r="D20" s="7">
        <f>IF(A20="","",IF(A20&lt;$B$3+Model!$B$15,Model!$B$22,0))</f>
        <v/>
      </c>
      <c r="E20" s="7">
        <f>IF(A20="","",C20+D20)</f>
        <v/>
      </c>
      <c r="F20" s="7">
        <f>IF(A20="","",MAX(0,Model!$B$6-E20))</f>
        <v/>
      </c>
      <c r="G20" s="7">
        <f>IF(A20="","",F20/(1-Model!$B$9))</f>
        <v/>
      </c>
      <c r="H20" s="7">
        <f>IF(A20="","",MAX(0,B20-G20))</f>
        <v/>
      </c>
      <c r="I20" s="7">
        <f>IF(A20="","",H20*Model!$B$18)</f>
        <v/>
      </c>
      <c r="J20" s="7">
        <f>IF(A20="","",H20+I20)</f>
        <v/>
      </c>
    </row>
    <row r="21">
      <c r="A21">
        <f>IF(OR(A20="",A20&gt;=Model!$B$4),"",A20+1)</f>
        <v/>
      </c>
      <c r="B21" s="7">
        <f>IF(A21="","",J20)</f>
        <v/>
      </c>
      <c r="C21" s="7">
        <f>IF(A21="","",IF(A21&gt;=Model!$B$11,Model!$B$20,0))</f>
        <v/>
      </c>
      <c r="D21" s="7">
        <f>IF(A21="","",IF(A21&lt;$B$3+Model!$B$15,Model!$B$22,0))</f>
        <v/>
      </c>
      <c r="E21" s="7">
        <f>IF(A21="","",C21+D21)</f>
        <v/>
      </c>
      <c r="F21" s="7">
        <f>IF(A21="","",MAX(0,Model!$B$6-E21))</f>
        <v/>
      </c>
      <c r="G21" s="7">
        <f>IF(A21="","",F21/(1-Model!$B$9))</f>
        <v/>
      </c>
      <c r="H21" s="7">
        <f>IF(A21="","",MAX(0,B21-G21))</f>
        <v/>
      </c>
      <c r="I21" s="7">
        <f>IF(A21="","",H21*Model!$B$18)</f>
        <v/>
      </c>
      <c r="J21" s="7">
        <f>IF(A21="","",H21+I21)</f>
        <v/>
      </c>
    </row>
    <row r="22">
      <c r="A22">
        <f>IF(OR(A21="",A21&gt;=Model!$B$4),"",A21+1)</f>
        <v/>
      </c>
      <c r="B22" s="7">
        <f>IF(A22="","",J21)</f>
        <v/>
      </c>
      <c r="C22" s="7">
        <f>IF(A22="","",IF(A22&gt;=Model!$B$11,Model!$B$20,0))</f>
        <v/>
      </c>
      <c r="D22" s="7">
        <f>IF(A22="","",IF(A22&lt;$B$3+Model!$B$15,Model!$B$22,0))</f>
        <v/>
      </c>
      <c r="E22" s="7">
        <f>IF(A22="","",C22+D22)</f>
        <v/>
      </c>
      <c r="F22" s="7">
        <f>IF(A22="","",MAX(0,Model!$B$6-E22))</f>
        <v/>
      </c>
      <c r="G22" s="7">
        <f>IF(A22="","",F22/(1-Model!$B$9))</f>
        <v/>
      </c>
      <c r="H22" s="7">
        <f>IF(A22="","",MAX(0,B22-G22))</f>
        <v/>
      </c>
      <c r="I22" s="7">
        <f>IF(A22="","",H22*Model!$B$18)</f>
        <v/>
      </c>
      <c r="J22" s="7">
        <f>IF(A22="","",H22+I22)</f>
        <v/>
      </c>
    </row>
    <row r="23">
      <c r="A23">
        <f>IF(OR(A22="",A22&gt;=Model!$B$4),"",A22+1)</f>
        <v/>
      </c>
      <c r="B23" s="7">
        <f>IF(A23="","",J22)</f>
        <v/>
      </c>
      <c r="C23" s="7">
        <f>IF(A23="","",IF(A23&gt;=Model!$B$11,Model!$B$20,0))</f>
        <v/>
      </c>
      <c r="D23" s="7">
        <f>IF(A23="","",IF(A23&lt;$B$3+Model!$B$15,Model!$B$22,0))</f>
        <v/>
      </c>
      <c r="E23" s="7">
        <f>IF(A23="","",C23+D23)</f>
        <v/>
      </c>
      <c r="F23" s="7">
        <f>IF(A23="","",MAX(0,Model!$B$6-E23))</f>
        <v/>
      </c>
      <c r="G23" s="7">
        <f>IF(A23="","",F23/(1-Model!$B$9))</f>
        <v/>
      </c>
      <c r="H23" s="7">
        <f>IF(A23="","",MAX(0,B23-G23))</f>
        <v/>
      </c>
      <c r="I23" s="7">
        <f>IF(A23="","",H23*Model!$B$18)</f>
        <v/>
      </c>
      <c r="J23" s="7">
        <f>IF(A23="","",H23+I23)</f>
        <v/>
      </c>
    </row>
    <row r="24">
      <c r="A24">
        <f>IF(OR(A23="",A23&gt;=Model!$B$4),"",A23+1)</f>
        <v/>
      </c>
      <c r="B24" s="7">
        <f>IF(A24="","",J23)</f>
        <v/>
      </c>
      <c r="C24" s="7">
        <f>IF(A24="","",IF(A24&gt;=Model!$B$11,Model!$B$20,0))</f>
        <v/>
      </c>
      <c r="D24" s="7">
        <f>IF(A24="","",IF(A24&lt;$B$3+Model!$B$15,Model!$B$22,0))</f>
        <v/>
      </c>
      <c r="E24" s="7">
        <f>IF(A24="","",C24+D24)</f>
        <v/>
      </c>
      <c r="F24" s="7">
        <f>IF(A24="","",MAX(0,Model!$B$6-E24))</f>
        <v/>
      </c>
      <c r="G24" s="7">
        <f>IF(A24="","",F24/(1-Model!$B$9))</f>
        <v/>
      </c>
      <c r="H24" s="7">
        <f>IF(A24="","",MAX(0,B24-G24))</f>
        <v/>
      </c>
      <c r="I24" s="7">
        <f>IF(A24="","",H24*Model!$B$18)</f>
        <v/>
      </c>
      <c r="J24" s="7">
        <f>IF(A24="","",H24+I24)</f>
        <v/>
      </c>
    </row>
    <row r="25">
      <c r="A25">
        <f>IF(OR(A24="",A24&gt;=Model!$B$4),"",A24+1)</f>
        <v/>
      </c>
      <c r="B25" s="7">
        <f>IF(A25="","",J24)</f>
        <v/>
      </c>
      <c r="C25" s="7">
        <f>IF(A25="","",IF(A25&gt;=Model!$B$11,Model!$B$20,0))</f>
        <v/>
      </c>
      <c r="D25" s="7">
        <f>IF(A25="","",IF(A25&lt;$B$3+Model!$B$15,Model!$B$22,0))</f>
        <v/>
      </c>
      <c r="E25" s="7">
        <f>IF(A25="","",C25+D25)</f>
        <v/>
      </c>
      <c r="F25" s="7">
        <f>IF(A25="","",MAX(0,Model!$B$6-E25))</f>
        <v/>
      </c>
      <c r="G25" s="7">
        <f>IF(A25="","",F25/(1-Model!$B$9))</f>
        <v/>
      </c>
      <c r="H25" s="7">
        <f>IF(A25="","",MAX(0,B25-G25))</f>
        <v/>
      </c>
      <c r="I25" s="7">
        <f>IF(A25="","",H25*Model!$B$18)</f>
        <v/>
      </c>
      <c r="J25" s="7">
        <f>IF(A25="","",H25+I25)</f>
        <v/>
      </c>
    </row>
    <row r="26">
      <c r="A26">
        <f>IF(OR(A25="",A25&gt;=Model!$B$4),"",A25+1)</f>
        <v/>
      </c>
      <c r="B26" s="7">
        <f>IF(A26="","",J25)</f>
        <v/>
      </c>
      <c r="C26" s="7">
        <f>IF(A26="","",IF(A26&gt;=Model!$B$11,Model!$B$20,0))</f>
        <v/>
      </c>
      <c r="D26" s="7">
        <f>IF(A26="","",IF(A26&lt;$B$3+Model!$B$15,Model!$B$22,0))</f>
        <v/>
      </c>
      <c r="E26" s="7">
        <f>IF(A26="","",C26+D26)</f>
        <v/>
      </c>
      <c r="F26" s="7">
        <f>IF(A26="","",MAX(0,Model!$B$6-E26))</f>
        <v/>
      </c>
      <c r="G26" s="7">
        <f>IF(A26="","",F26/(1-Model!$B$9))</f>
        <v/>
      </c>
      <c r="H26" s="7">
        <f>IF(A26="","",MAX(0,B26-G26))</f>
        <v/>
      </c>
      <c r="I26" s="7">
        <f>IF(A26="","",H26*Model!$B$18)</f>
        <v/>
      </c>
      <c r="J26" s="7">
        <f>IF(A26="","",H26+I26)</f>
        <v/>
      </c>
    </row>
    <row r="27">
      <c r="A27">
        <f>IF(OR(A26="",A26&gt;=Model!$B$4),"",A26+1)</f>
        <v/>
      </c>
      <c r="B27" s="7">
        <f>IF(A27="","",J26)</f>
        <v/>
      </c>
      <c r="C27" s="7">
        <f>IF(A27="","",IF(A27&gt;=Model!$B$11,Model!$B$20,0))</f>
        <v/>
      </c>
      <c r="D27" s="7">
        <f>IF(A27="","",IF(A27&lt;$B$3+Model!$B$15,Model!$B$22,0))</f>
        <v/>
      </c>
      <c r="E27" s="7">
        <f>IF(A27="","",C27+D27)</f>
        <v/>
      </c>
      <c r="F27" s="7">
        <f>IF(A27="","",MAX(0,Model!$B$6-E27))</f>
        <v/>
      </c>
      <c r="G27" s="7">
        <f>IF(A27="","",F27/(1-Model!$B$9))</f>
        <v/>
      </c>
      <c r="H27" s="7">
        <f>IF(A27="","",MAX(0,B27-G27))</f>
        <v/>
      </c>
      <c r="I27" s="7">
        <f>IF(A27="","",H27*Model!$B$18)</f>
        <v/>
      </c>
      <c r="J27" s="7">
        <f>IF(A27="","",H27+I27)</f>
        <v/>
      </c>
    </row>
    <row r="28">
      <c r="A28">
        <f>IF(OR(A27="",A27&gt;=Model!$B$4),"",A27+1)</f>
        <v/>
      </c>
      <c r="B28" s="7">
        <f>IF(A28="","",J27)</f>
        <v/>
      </c>
      <c r="C28" s="7">
        <f>IF(A28="","",IF(A28&gt;=Model!$B$11,Model!$B$20,0))</f>
        <v/>
      </c>
      <c r="D28" s="7">
        <f>IF(A28="","",IF(A28&lt;$B$3+Model!$B$15,Model!$B$22,0))</f>
        <v/>
      </c>
      <c r="E28" s="7">
        <f>IF(A28="","",C28+D28)</f>
        <v/>
      </c>
      <c r="F28" s="7">
        <f>IF(A28="","",MAX(0,Model!$B$6-E28))</f>
        <v/>
      </c>
      <c r="G28" s="7">
        <f>IF(A28="","",F28/(1-Model!$B$9))</f>
        <v/>
      </c>
      <c r="H28" s="7">
        <f>IF(A28="","",MAX(0,B28-G28))</f>
        <v/>
      </c>
      <c r="I28" s="7">
        <f>IF(A28="","",H28*Model!$B$18)</f>
        <v/>
      </c>
      <c r="J28" s="7">
        <f>IF(A28="","",H28+I28)</f>
        <v/>
      </c>
    </row>
    <row r="29">
      <c r="A29">
        <f>IF(OR(A28="",A28&gt;=Model!$B$4),"",A28+1)</f>
        <v/>
      </c>
      <c r="B29" s="7">
        <f>IF(A29="","",J28)</f>
        <v/>
      </c>
      <c r="C29" s="7">
        <f>IF(A29="","",IF(A29&gt;=Model!$B$11,Model!$B$20,0))</f>
        <v/>
      </c>
      <c r="D29" s="7">
        <f>IF(A29="","",IF(A29&lt;$B$3+Model!$B$15,Model!$B$22,0))</f>
        <v/>
      </c>
      <c r="E29" s="7">
        <f>IF(A29="","",C29+D29)</f>
        <v/>
      </c>
      <c r="F29" s="7">
        <f>IF(A29="","",MAX(0,Model!$B$6-E29))</f>
        <v/>
      </c>
      <c r="G29" s="7">
        <f>IF(A29="","",F29/(1-Model!$B$9))</f>
        <v/>
      </c>
      <c r="H29" s="7">
        <f>IF(A29="","",MAX(0,B29-G29))</f>
        <v/>
      </c>
      <c r="I29" s="7">
        <f>IF(A29="","",H29*Model!$B$18)</f>
        <v/>
      </c>
      <c r="J29" s="7">
        <f>IF(A29="","",H29+I29)</f>
        <v/>
      </c>
    </row>
    <row r="30">
      <c r="A30">
        <f>IF(OR(A29="",A29&gt;=Model!$B$4),"",A29+1)</f>
        <v/>
      </c>
      <c r="B30" s="7">
        <f>IF(A30="","",J29)</f>
        <v/>
      </c>
      <c r="C30" s="7">
        <f>IF(A30="","",IF(A30&gt;=Model!$B$11,Model!$B$20,0))</f>
        <v/>
      </c>
      <c r="D30" s="7">
        <f>IF(A30="","",IF(A30&lt;$B$3+Model!$B$15,Model!$B$22,0))</f>
        <v/>
      </c>
      <c r="E30" s="7">
        <f>IF(A30="","",C30+D30)</f>
        <v/>
      </c>
      <c r="F30" s="7">
        <f>IF(A30="","",MAX(0,Model!$B$6-E30))</f>
        <v/>
      </c>
      <c r="G30" s="7">
        <f>IF(A30="","",F30/(1-Model!$B$9))</f>
        <v/>
      </c>
      <c r="H30" s="7">
        <f>IF(A30="","",MAX(0,B30-G30))</f>
        <v/>
      </c>
      <c r="I30" s="7">
        <f>IF(A30="","",H30*Model!$B$18)</f>
        <v/>
      </c>
      <c r="J30" s="7">
        <f>IF(A30="","",H30+I30)</f>
        <v/>
      </c>
    </row>
    <row r="31">
      <c r="A31">
        <f>IF(OR(A30="",A30&gt;=Model!$B$4),"",A30+1)</f>
        <v/>
      </c>
      <c r="B31" s="7">
        <f>IF(A31="","",J30)</f>
        <v/>
      </c>
      <c r="C31" s="7">
        <f>IF(A31="","",IF(A31&gt;=Model!$B$11,Model!$B$20,0))</f>
        <v/>
      </c>
      <c r="D31" s="7">
        <f>IF(A31="","",IF(A31&lt;$B$3+Model!$B$15,Model!$B$22,0))</f>
        <v/>
      </c>
      <c r="E31" s="7">
        <f>IF(A31="","",C31+D31)</f>
        <v/>
      </c>
      <c r="F31" s="7">
        <f>IF(A31="","",MAX(0,Model!$B$6-E31))</f>
        <v/>
      </c>
      <c r="G31" s="7">
        <f>IF(A31="","",F31/(1-Model!$B$9))</f>
        <v/>
      </c>
      <c r="H31" s="7">
        <f>IF(A31="","",MAX(0,B31-G31))</f>
        <v/>
      </c>
      <c r="I31" s="7">
        <f>IF(A31="","",H31*Model!$B$18)</f>
        <v/>
      </c>
      <c r="J31" s="7">
        <f>IF(A31="","",H31+I31)</f>
        <v/>
      </c>
    </row>
    <row r="32">
      <c r="A32">
        <f>IF(OR(A31="",A31&gt;=Model!$B$4),"",A31+1)</f>
        <v/>
      </c>
      <c r="B32" s="7">
        <f>IF(A32="","",J31)</f>
        <v/>
      </c>
      <c r="C32" s="7">
        <f>IF(A32="","",IF(A32&gt;=Model!$B$11,Model!$B$20,0))</f>
        <v/>
      </c>
      <c r="D32" s="7">
        <f>IF(A32="","",IF(A32&lt;$B$3+Model!$B$15,Model!$B$22,0))</f>
        <v/>
      </c>
      <c r="E32" s="7">
        <f>IF(A32="","",C32+D32)</f>
        <v/>
      </c>
      <c r="F32" s="7">
        <f>IF(A32="","",MAX(0,Model!$B$6-E32))</f>
        <v/>
      </c>
      <c r="G32" s="7">
        <f>IF(A32="","",F32/(1-Model!$B$9))</f>
        <v/>
      </c>
      <c r="H32" s="7">
        <f>IF(A32="","",MAX(0,B32-G32))</f>
        <v/>
      </c>
      <c r="I32" s="7">
        <f>IF(A32="","",H32*Model!$B$18)</f>
        <v/>
      </c>
      <c r="J32" s="7">
        <f>IF(A32="","",H32+I32)</f>
        <v/>
      </c>
    </row>
    <row r="33">
      <c r="A33">
        <f>IF(OR(A32="",A32&gt;=Model!$B$4),"",A32+1)</f>
        <v/>
      </c>
      <c r="B33" s="7">
        <f>IF(A33="","",J32)</f>
        <v/>
      </c>
      <c r="C33" s="7">
        <f>IF(A33="","",IF(A33&gt;=Model!$B$11,Model!$B$20,0))</f>
        <v/>
      </c>
      <c r="D33" s="7">
        <f>IF(A33="","",IF(A33&lt;$B$3+Model!$B$15,Model!$B$22,0))</f>
        <v/>
      </c>
      <c r="E33" s="7">
        <f>IF(A33="","",C33+D33)</f>
        <v/>
      </c>
      <c r="F33" s="7">
        <f>IF(A33="","",MAX(0,Model!$B$6-E33))</f>
        <v/>
      </c>
      <c r="G33" s="7">
        <f>IF(A33="","",F33/(1-Model!$B$9))</f>
        <v/>
      </c>
      <c r="H33" s="7">
        <f>IF(A33="","",MAX(0,B33-G33))</f>
        <v/>
      </c>
      <c r="I33" s="7">
        <f>IF(A33="","",H33*Model!$B$18)</f>
        <v/>
      </c>
      <c r="J33" s="7">
        <f>IF(A33="","",H33+I33)</f>
        <v/>
      </c>
    </row>
    <row r="34">
      <c r="A34">
        <f>IF(OR(A33="",A33&gt;=Model!$B$4),"",A33+1)</f>
        <v/>
      </c>
      <c r="B34" s="7">
        <f>IF(A34="","",J33)</f>
        <v/>
      </c>
      <c r="C34" s="7">
        <f>IF(A34="","",IF(A34&gt;=Model!$B$11,Model!$B$20,0))</f>
        <v/>
      </c>
      <c r="D34" s="7">
        <f>IF(A34="","",IF(A34&lt;$B$3+Model!$B$15,Model!$B$22,0))</f>
        <v/>
      </c>
      <c r="E34" s="7">
        <f>IF(A34="","",C34+D34)</f>
        <v/>
      </c>
      <c r="F34" s="7">
        <f>IF(A34="","",MAX(0,Model!$B$6-E34))</f>
        <v/>
      </c>
      <c r="G34" s="7">
        <f>IF(A34="","",F34/(1-Model!$B$9))</f>
        <v/>
      </c>
      <c r="H34" s="7">
        <f>IF(A34="","",MAX(0,B34-G34))</f>
        <v/>
      </c>
      <c r="I34" s="7">
        <f>IF(A34="","",H34*Model!$B$18)</f>
        <v/>
      </c>
      <c r="J34" s="7">
        <f>IF(A34="","",H34+I34)</f>
        <v/>
      </c>
    </row>
    <row r="35">
      <c r="A35">
        <f>IF(OR(A34="",A34&gt;=Model!$B$4),"",A34+1)</f>
        <v/>
      </c>
      <c r="B35" s="7">
        <f>IF(A35="","",J34)</f>
        <v/>
      </c>
      <c r="C35" s="7">
        <f>IF(A35="","",IF(A35&gt;=Model!$B$11,Model!$B$20,0))</f>
        <v/>
      </c>
      <c r="D35" s="7">
        <f>IF(A35="","",IF(A35&lt;$B$3+Model!$B$15,Model!$B$22,0))</f>
        <v/>
      </c>
      <c r="E35" s="7">
        <f>IF(A35="","",C35+D35)</f>
        <v/>
      </c>
      <c r="F35" s="7">
        <f>IF(A35="","",MAX(0,Model!$B$6-E35))</f>
        <v/>
      </c>
      <c r="G35" s="7">
        <f>IF(A35="","",F35/(1-Model!$B$9))</f>
        <v/>
      </c>
      <c r="H35" s="7">
        <f>IF(A35="","",MAX(0,B35-G35))</f>
        <v/>
      </c>
      <c r="I35" s="7">
        <f>IF(A35="","",H35*Model!$B$18)</f>
        <v/>
      </c>
      <c r="J35" s="7">
        <f>IF(A35="","",H35+I35)</f>
        <v/>
      </c>
    </row>
    <row r="36">
      <c r="A36">
        <f>IF(OR(A35="",A35&gt;=Model!$B$4),"",A35+1)</f>
        <v/>
      </c>
      <c r="B36" s="7">
        <f>IF(A36="","",J35)</f>
        <v/>
      </c>
      <c r="C36" s="7">
        <f>IF(A36="","",IF(A36&gt;=Model!$B$11,Model!$B$20,0))</f>
        <v/>
      </c>
      <c r="D36" s="7">
        <f>IF(A36="","",IF(A36&lt;$B$3+Model!$B$15,Model!$B$22,0))</f>
        <v/>
      </c>
      <c r="E36" s="7">
        <f>IF(A36="","",C36+D36)</f>
        <v/>
      </c>
      <c r="F36" s="7">
        <f>IF(A36="","",MAX(0,Model!$B$6-E36))</f>
        <v/>
      </c>
      <c r="G36" s="7">
        <f>IF(A36="","",F36/(1-Model!$B$9))</f>
        <v/>
      </c>
      <c r="H36" s="7">
        <f>IF(A36="","",MAX(0,B36-G36))</f>
        <v/>
      </c>
      <c r="I36" s="7">
        <f>IF(A36="","",H36*Model!$B$18)</f>
        <v/>
      </c>
      <c r="J36" s="7">
        <f>IF(A36="","",H36+I36)</f>
        <v/>
      </c>
    </row>
    <row r="37">
      <c r="A37">
        <f>IF(OR(A36="",A36&gt;=Model!$B$4),"",A36+1)</f>
        <v/>
      </c>
      <c r="B37" s="7">
        <f>IF(A37="","",J36)</f>
        <v/>
      </c>
      <c r="C37" s="7">
        <f>IF(A37="","",IF(A37&gt;=Model!$B$11,Model!$B$20,0))</f>
        <v/>
      </c>
      <c r="D37" s="7">
        <f>IF(A37="","",IF(A37&lt;$B$3+Model!$B$15,Model!$B$22,0))</f>
        <v/>
      </c>
      <c r="E37" s="7">
        <f>IF(A37="","",C37+D37)</f>
        <v/>
      </c>
      <c r="F37" s="7">
        <f>IF(A37="","",MAX(0,Model!$B$6-E37))</f>
        <v/>
      </c>
      <c r="G37" s="7">
        <f>IF(A37="","",F37/(1-Model!$B$9))</f>
        <v/>
      </c>
      <c r="H37" s="7">
        <f>IF(A37="","",MAX(0,B37-G37))</f>
        <v/>
      </c>
      <c r="I37" s="7">
        <f>IF(A37="","",H37*Model!$B$18)</f>
        <v/>
      </c>
      <c r="J37" s="7">
        <f>IF(A37="","",H37+I37)</f>
        <v/>
      </c>
    </row>
    <row r="38">
      <c r="A38">
        <f>IF(OR(A37="",A37&gt;=Model!$B$4),"",A37+1)</f>
        <v/>
      </c>
      <c r="B38" s="7">
        <f>IF(A38="","",J37)</f>
        <v/>
      </c>
      <c r="C38" s="7">
        <f>IF(A38="","",IF(A38&gt;=Model!$B$11,Model!$B$20,0))</f>
        <v/>
      </c>
      <c r="D38" s="7">
        <f>IF(A38="","",IF(A38&lt;$B$3+Model!$B$15,Model!$B$22,0))</f>
        <v/>
      </c>
      <c r="E38" s="7">
        <f>IF(A38="","",C38+D38)</f>
        <v/>
      </c>
      <c r="F38" s="7">
        <f>IF(A38="","",MAX(0,Model!$B$6-E38))</f>
        <v/>
      </c>
      <c r="G38" s="7">
        <f>IF(A38="","",F38/(1-Model!$B$9))</f>
        <v/>
      </c>
      <c r="H38" s="7">
        <f>IF(A38="","",MAX(0,B38-G38))</f>
        <v/>
      </c>
      <c r="I38" s="7">
        <f>IF(A38="","",H38*Model!$B$18)</f>
        <v/>
      </c>
      <c r="J38" s="7">
        <f>IF(A38="","",H38+I38)</f>
        <v/>
      </c>
    </row>
    <row r="39">
      <c r="A39">
        <f>IF(OR(A38="",A38&gt;=Model!$B$4),"",A38+1)</f>
        <v/>
      </c>
      <c r="B39" s="7">
        <f>IF(A39="","",J38)</f>
        <v/>
      </c>
      <c r="C39" s="7">
        <f>IF(A39="","",IF(A39&gt;=Model!$B$11,Model!$B$20,0))</f>
        <v/>
      </c>
      <c r="D39" s="7">
        <f>IF(A39="","",IF(A39&lt;$B$3+Model!$B$15,Model!$B$22,0))</f>
        <v/>
      </c>
      <c r="E39" s="7">
        <f>IF(A39="","",C39+D39)</f>
        <v/>
      </c>
      <c r="F39" s="7">
        <f>IF(A39="","",MAX(0,Model!$B$6-E39))</f>
        <v/>
      </c>
      <c r="G39" s="7">
        <f>IF(A39="","",F39/(1-Model!$B$9))</f>
        <v/>
      </c>
      <c r="H39" s="7">
        <f>IF(A39="","",MAX(0,B39-G39))</f>
        <v/>
      </c>
      <c r="I39" s="7">
        <f>IF(A39="","",H39*Model!$B$18)</f>
        <v/>
      </c>
      <c r="J39" s="7">
        <f>IF(A39="","",H39+I39)</f>
        <v/>
      </c>
    </row>
    <row r="40">
      <c r="A40">
        <f>IF(OR(A39="",A39&gt;=Model!$B$4),"",A39+1)</f>
        <v/>
      </c>
      <c r="B40" s="7">
        <f>IF(A40="","",J39)</f>
        <v/>
      </c>
      <c r="C40" s="7">
        <f>IF(A40="","",IF(A40&gt;=Model!$B$11,Model!$B$20,0))</f>
        <v/>
      </c>
      <c r="D40" s="7">
        <f>IF(A40="","",IF(A40&lt;$B$3+Model!$B$15,Model!$B$22,0))</f>
        <v/>
      </c>
      <c r="E40" s="7">
        <f>IF(A40="","",C40+D40)</f>
        <v/>
      </c>
      <c r="F40" s="7">
        <f>IF(A40="","",MAX(0,Model!$B$6-E40))</f>
        <v/>
      </c>
      <c r="G40" s="7">
        <f>IF(A40="","",F40/(1-Model!$B$9))</f>
        <v/>
      </c>
      <c r="H40" s="7">
        <f>IF(A40="","",MAX(0,B40-G40))</f>
        <v/>
      </c>
      <c r="I40" s="7">
        <f>IF(A40="","",H40*Model!$B$18)</f>
        <v/>
      </c>
      <c r="J40" s="7">
        <f>IF(A40="","",H40+I40)</f>
        <v/>
      </c>
    </row>
    <row r="41">
      <c r="A41">
        <f>IF(OR(A40="",A40&gt;=Model!$B$4),"",A40+1)</f>
        <v/>
      </c>
      <c r="B41" s="7">
        <f>IF(A41="","",J40)</f>
        <v/>
      </c>
      <c r="C41" s="7">
        <f>IF(A41="","",IF(A41&gt;=Model!$B$11,Model!$B$20,0))</f>
        <v/>
      </c>
      <c r="D41" s="7">
        <f>IF(A41="","",IF(A41&lt;$B$3+Model!$B$15,Model!$B$22,0))</f>
        <v/>
      </c>
      <c r="E41" s="7">
        <f>IF(A41="","",C41+D41)</f>
        <v/>
      </c>
      <c r="F41" s="7">
        <f>IF(A41="","",MAX(0,Model!$B$6-E41))</f>
        <v/>
      </c>
      <c r="G41" s="7">
        <f>IF(A41="","",F41/(1-Model!$B$9))</f>
        <v/>
      </c>
      <c r="H41" s="7">
        <f>IF(A41="","",MAX(0,B41-G41))</f>
        <v/>
      </c>
      <c r="I41" s="7">
        <f>IF(A41="","",H41*Model!$B$18)</f>
        <v/>
      </c>
      <c r="J41" s="7">
        <f>IF(A41="","",H41+I41)</f>
        <v/>
      </c>
    </row>
    <row r="42">
      <c r="A42">
        <f>IF(OR(A41="",A41&gt;=Model!$B$4),"",A41+1)</f>
        <v/>
      </c>
      <c r="B42" s="7">
        <f>IF(A42="","",J41)</f>
        <v/>
      </c>
      <c r="C42" s="7">
        <f>IF(A42="","",IF(A42&gt;=Model!$B$11,Model!$B$20,0))</f>
        <v/>
      </c>
      <c r="D42" s="7">
        <f>IF(A42="","",IF(A42&lt;$B$3+Model!$B$15,Model!$B$22,0))</f>
        <v/>
      </c>
      <c r="E42" s="7">
        <f>IF(A42="","",C42+D42)</f>
        <v/>
      </c>
      <c r="F42" s="7">
        <f>IF(A42="","",MAX(0,Model!$B$6-E42))</f>
        <v/>
      </c>
      <c r="G42" s="7">
        <f>IF(A42="","",F42/(1-Model!$B$9))</f>
        <v/>
      </c>
      <c r="H42" s="7">
        <f>IF(A42="","",MAX(0,B42-G42))</f>
        <v/>
      </c>
      <c r="I42" s="7">
        <f>IF(A42="","",H42*Model!$B$18)</f>
        <v/>
      </c>
      <c r="J42" s="7">
        <f>IF(A42="","",H42+I42)</f>
        <v/>
      </c>
    </row>
    <row r="43">
      <c r="A43">
        <f>IF(OR(A42="",A42&gt;=Model!$B$4),"",A42+1)</f>
        <v/>
      </c>
      <c r="B43" s="7">
        <f>IF(A43="","",J42)</f>
        <v/>
      </c>
      <c r="C43" s="7">
        <f>IF(A43="","",IF(A43&gt;=Model!$B$11,Model!$B$20,0))</f>
        <v/>
      </c>
      <c r="D43" s="7">
        <f>IF(A43="","",IF(A43&lt;$B$3+Model!$B$15,Model!$B$22,0))</f>
        <v/>
      </c>
      <c r="E43" s="7">
        <f>IF(A43="","",C43+D43)</f>
        <v/>
      </c>
      <c r="F43" s="7">
        <f>IF(A43="","",MAX(0,Model!$B$6-E43))</f>
        <v/>
      </c>
      <c r="G43" s="7">
        <f>IF(A43="","",F43/(1-Model!$B$9))</f>
        <v/>
      </c>
      <c r="H43" s="7">
        <f>IF(A43="","",MAX(0,B43-G43))</f>
        <v/>
      </c>
      <c r="I43" s="7">
        <f>IF(A43="","",H43*Model!$B$18)</f>
        <v/>
      </c>
      <c r="J43" s="7">
        <f>IF(A43="","",H43+I43)</f>
        <v/>
      </c>
    </row>
    <row r="44">
      <c r="A44">
        <f>IF(OR(A43="",A43&gt;=Model!$B$4),"",A43+1)</f>
        <v/>
      </c>
      <c r="B44" s="7">
        <f>IF(A44="","",J43)</f>
        <v/>
      </c>
      <c r="C44" s="7">
        <f>IF(A44="","",IF(A44&gt;=Model!$B$11,Model!$B$20,0))</f>
        <v/>
      </c>
      <c r="D44" s="7">
        <f>IF(A44="","",IF(A44&lt;$B$3+Model!$B$15,Model!$B$22,0))</f>
        <v/>
      </c>
      <c r="E44" s="7">
        <f>IF(A44="","",C44+D44)</f>
        <v/>
      </c>
      <c r="F44" s="7">
        <f>IF(A44="","",MAX(0,Model!$B$6-E44))</f>
        <v/>
      </c>
      <c r="G44" s="7">
        <f>IF(A44="","",F44/(1-Model!$B$9))</f>
        <v/>
      </c>
      <c r="H44" s="7">
        <f>IF(A44="","",MAX(0,B44-G44))</f>
        <v/>
      </c>
      <c r="I44" s="7">
        <f>IF(A44="","",H44*Model!$B$18)</f>
        <v/>
      </c>
      <c r="J44" s="7">
        <f>IF(A44="","",H44+I44)</f>
        <v/>
      </c>
    </row>
    <row r="45">
      <c r="A45">
        <f>IF(OR(A44="",A44&gt;=Model!$B$4),"",A44+1)</f>
        <v/>
      </c>
      <c r="B45" s="7">
        <f>IF(A45="","",J44)</f>
        <v/>
      </c>
      <c r="C45" s="7">
        <f>IF(A45="","",IF(A45&gt;=Model!$B$11,Model!$B$20,0))</f>
        <v/>
      </c>
      <c r="D45" s="7">
        <f>IF(A45="","",IF(A45&lt;$B$3+Model!$B$15,Model!$B$22,0))</f>
        <v/>
      </c>
      <c r="E45" s="7">
        <f>IF(A45="","",C45+D45)</f>
        <v/>
      </c>
      <c r="F45" s="7">
        <f>IF(A45="","",MAX(0,Model!$B$6-E45))</f>
        <v/>
      </c>
      <c r="G45" s="7">
        <f>IF(A45="","",F45/(1-Model!$B$9))</f>
        <v/>
      </c>
      <c r="H45" s="7">
        <f>IF(A45="","",MAX(0,B45-G45))</f>
        <v/>
      </c>
      <c r="I45" s="7">
        <f>IF(A45="","",H45*Model!$B$18)</f>
        <v/>
      </c>
      <c r="J45" s="7">
        <f>IF(A45="","",H45+I45)</f>
        <v/>
      </c>
    </row>
    <row r="46">
      <c r="A46">
        <f>IF(OR(A45="",A45&gt;=Model!$B$4),"",A45+1)</f>
        <v/>
      </c>
      <c r="B46" s="7">
        <f>IF(A46="","",J45)</f>
        <v/>
      </c>
      <c r="C46" s="7">
        <f>IF(A46="","",IF(A46&gt;=Model!$B$11,Model!$B$20,0))</f>
        <v/>
      </c>
      <c r="D46" s="7">
        <f>IF(A46="","",IF(A46&lt;$B$3+Model!$B$15,Model!$B$22,0))</f>
        <v/>
      </c>
      <c r="E46" s="7">
        <f>IF(A46="","",C46+D46)</f>
        <v/>
      </c>
      <c r="F46" s="7">
        <f>IF(A46="","",MAX(0,Model!$B$6-E46))</f>
        <v/>
      </c>
      <c r="G46" s="7">
        <f>IF(A46="","",F46/(1-Model!$B$9))</f>
        <v/>
      </c>
      <c r="H46" s="7">
        <f>IF(A46="","",MAX(0,B46-G46))</f>
        <v/>
      </c>
      <c r="I46" s="7">
        <f>IF(A46="","",H46*Model!$B$18)</f>
        <v/>
      </c>
      <c r="J46" s="7">
        <f>IF(A46="","",H46+I46)</f>
        <v/>
      </c>
    </row>
    <row r="47">
      <c r="A47">
        <f>IF(OR(A46="",A46&gt;=Model!$B$4),"",A46+1)</f>
        <v/>
      </c>
      <c r="B47" s="7">
        <f>IF(A47="","",J46)</f>
        <v/>
      </c>
      <c r="C47" s="7">
        <f>IF(A47="","",IF(A47&gt;=Model!$B$11,Model!$B$20,0))</f>
        <v/>
      </c>
      <c r="D47" s="7">
        <f>IF(A47="","",IF(A47&lt;$B$3+Model!$B$15,Model!$B$22,0))</f>
        <v/>
      </c>
      <c r="E47" s="7">
        <f>IF(A47="","",C47+D47)</f>
        <v/>
      </c>
      <c r="F47" s="7">
        <f>IF(A47="","",MAX(0,Model!$B$6-E47))</f>
        <v/>
      </c>
      <c r="G47" s="7">
        <f>IF(A47="","",F47/(1-Model!$B$9))</f>
        <v/>
      </c>
      <c r="H47" s="7">
        <f>IF(A47="","",MAX(0,B47-G47))</f>
        <v/>
      </c>
      <c r="I47" s="7">
        <f>IF(A47="","",H47*Model!$B$18)</f>
        <v/>
      </c>
      <c r="J47" s="7">
        <f>IF(A47="","",H47+I47)</f>
        <v/>
      </c>
    </row>
    <row r="48">
      <c r="A48">
        <f>IF(OR(A47="",A47&gt;=Model!$B$4),"",A47+1)</f>
        <v/>
      </c>
      <c r="B48" s="7">
        <f>IF(A48="","",J47)</f>
        <v/>
      </c>
      <c r="C48" s="7">
        <f>IF(A48="","",IF(A48&gt;=Model!$B$11,Model!$B$20,0))</f>
        <v/>
      </c>
      <c r="D48" s="7">
        <f>IF(A48="","",IF(A48&lt;$B$3+Model!$B$15,Model!$B$22,0))</f>
        <v/>
      </c>
      <c r="E48" s="7">
        <f>IF(A48="","",C48+D48)</f>
        <v/>
      </c>
      <c r="F48" s="7">
        <f>IF(A48="","",MAX(0,Model!$B$6-E48))</f>
        <v/>
      </c>
      <c r="G48" s="7">
        <f>IF(A48="","",F48/(1-Model!$B$9))</f>
        <v/>
      </c>
      <c r="H48" s="7">
        <f>IF(A48="","",MAX(0,B48-G48))</f>
        <v/>
      </c>
      <c r="I48" s="7">
        <f>IF(A48="","",H48*Model!$B$18)</f>
        <v/>
      </c>
      <c r="J48" s="7">
        <f>IF(A48="","",H48+I48)</f>
        <v/>
      </c>
    </row>
    <row r="49">
      <c r="A49">
        <f>IF(OR(A48="",A48&gt;=Model!$B$4),"",A48+1)</f>
        <v/>
      </c>
      <c r="B49" s="7">
        <f>IF(A49="","",J48)</f>
        <v/>
      </c>
      <c r="C49" s="7">
        <f>IF(A49="","",IF(A49&gt;=Model!$B$11,Model!$B$20,0))</f>
        <v/>
      </c>
      <c r="D49" s="7">
        <f>IF(A49="","",IF(A49&lt;$B$3+Model!$B$15,Model!$B$22,0))</f>
        <v/>
      </c>
      <c r="E49" s="7">
        <f>IF(A49="","",C49+D49)</f>
        <v/>
      </c>
      <c r="F49" s="7">
        <f>IF(A49="","",MAX(0,Model!$B$6-E49))</f>
        <v/>
      </c>
      <c r="G49" s="7">
        <f>IF(A49="","",F49/(1-Model!$B$9))</f>
        <v/>
      </c>
      <c r="H49" s="7">
        <f>IF(A49="","",MAX(0,B49-G49))</f>
        <v/>
      </c>
      <c r="I49" s="7">
        <f>IF(A49="","",H49*Model!$B$18)</f>
        <v/>
      </c>
      <c r="J49" s="7">
        <f>IF(A49="","",H49+I49)</f>
        <v/>
      </c>
    </row>
    <row r="50">
      <c r="A50">
        <f>IF(OR(A49="",A49&gt;=Model!$B$4),"",A49+1)</f>
        <v/>
      </c>
      <c r="B50" s="7">
        <f>IF(A50="","",J49)</f>
        <v/>
      </c>
      <c r="C50" s="7">
        <f>IF(A50="","",IF(A50&gt;=Model!$B$11,Model!$B$20,0))</f>
        <v/>
      </c>
      <c r="D50" s="7">
        <f>IF(A50="","",IF(A50&lt;$B$3+Model!$B$15,Model!$B$22,0))</f>
        <v/>
      </c>
      <c r="E50" s="7">
        <f>IF(A50="","",C50+D50)</f>
        <v/>
      </c>
      <c r="F50" s="7">
        <f>IF(A50="","",MAX(0,Model!$B$6-E50))</f>
        <v/>
      </c>
      <c r="G50" s="7">
        <f>IF(A50="","",F50/(1-Model!$B$9))</f>
        <v/>
      </c>
      <c r="H50" s="7">
        <f>IF(A50="","",MAX(0,B50-G50))</f>
        <v/>
      </c>
      <c r="I50" s="7">
        <f>IF(A50="","",H50*Model!$B$18)</f>
        <v/>
      </c>
      <c r="J50" s="7">
        <f>IF(A50="","",H50+I50)</f>
        <v/>
      </c>
    </row>
    <row r="51">
      <c r="A51">
        <f>IF(OR(A50="",A50&gt;=Model!$B$4),"",A50+1)</f>
        <v/>
      </c>
      <c r="B51" s="7">
        <f>IF(A51="","",J50)</f>
        <v/>
      </c>
      <c r="C51" s="7">
        <f>IF(A51="","",IF(A51&gt;=Model!$B$11,Model!$B$20,0))</f>
        <v/>
      </c>
      <c r="D51" s="7">
        <f>IF(A51="","",IF(A51&lt;$B$3+Model!$B$15,Model!$B$22,0))</f>
        <v/>
      </c>
      <c r="E51" s="7">
        <f>IF(A51="","",C51+D51)</f>
        <v/>
      </c>
      <c r="F51" s="7">
        <f>IF(A51="","",MAX(0,Model!$B$6-E51))</f>
        <v/>
      </c>
      <c r="G51" s="7">
        <f>IF(A51="","",F51/(1-Model!$B$9))</f>
        <v/>
      </c>
      <c r="H51" s="7">
        <f>IF(A51="","",MAX(0,B51-G51))</f>
        <v/>
      </c>
      <c r="I51" s="7">
        <f>IF(A51="","",H51*Model!$B$18)</f>
        <v/>
      </c>
      <c r="J51" s="7">
        <f>IF(A51="","",H51+I51)</f>
        <v/>
      </c>
    </row>
    <row r="52">
      <c r="A52">
        <f>IF(OR(A51="",A51&gt;=Model!$B$4),"",A51+1)</f>
        <v/>
      </c>
      <c r="B52" s="7">
        <f>IF(A52="","",J51)</f>
        <v/>
      </c>
      <c r="C52" s="7">
        <f>IF(A52="","",IF(A52&gt;=Model!$B$11,Model!$B$20,0))</f>
        <v/>
      </c>
      <c r="D52" s="7">
        <f>IF(A52="","",IF(A52&lt;$B$3+Model!$B$15,Model!$B$22,0))</f>
        <v/>
      </c>
      <c r="E52" s="7">
        <f>IF(A52="","",C52+D52)</f>
        <v/>
      </c>
      <c r="F52" s="7">
        <f>IF(A52="","",MAX(0,Model!$B$6-E52))</f>
        <v/>
      </c>
      <c r="G52" s="7">
        <f>IF(A52="","",F52/(1-Model!$B$9))</f>
        <v/>
      </c>
      <c r="H52" s="7">
        <f>IF(A52="","",MAX(0,B52-G52))</f>
        <v/>
      </c>
      <c r="I52" s="7">
        <f>IF(A52="","",H52*Model!$B$18)</f>
        <v/>
      </c>
      <c r="J52" s="7">
        <f>IF(A52="","",H52+I52)</f>
        <v/>
      </c>
    </row>
    <row r="53">
      <c r="A53">
        <f>IF(OR(A52="",A52&gt;=Model!$B$4),"",A52+1)</f>
        <v/>
      </c>
      <c r="B53" s="7">
        <f>IF(A53="","",J52)</f>
        <v/>
      </c>
      <c r="C53" s="7">
        <f>IF(A53="","",IF(A53&gt;=Model!$B$11,Model!$B$20,0))</f>
        <v/>
      </c>
      <c r="D53" s="7">
        <f>IF(A53="","",IF(A53&lt;$B$3+Model!$B$15,Model!$B$22,0))</f>
        <v/>
      </c>
      <c r="E53" s="7">
        <f>IF(A53="","",C53+D53)</f>
        <v/>
      </c>
      <c r="F53" s="7">
        <f>IF(A53="","",MAX(0,Model!$B$6-E53))</f>
        <v/>
      </c>
      <c r="G53" s="7">
        <f>IF(A53="","",F53/(1-Model!$B$9))</f>
        <v/>
      </c>
      <c r="H53" s="7">
        <f>IF(A53="","",MAX(0,B53-G53))</f>
        <v/>
      </c>
      <c r="I53" s="7">
        <f>IF(A53="","",H53*Model!$B$18)</f>
        <v/>
      </c>
      <c r="J53" s="7">
        <f>IF(A53="","",H53+I53)</f>
        <v/>
      </c>
    </row>
    <row r="54">
      <c r="A54">
        <f>IF(OR(A53="",A53&gt;=Model!$B$4),"",A53+1)</f>
        <v/>
      </c>
      <c r="B54" s="7">
        <f>IF(A54="","",J53)</f>
        <v/>
      </c>
      <c r="C54" s="7">
        <f>IF(A54="","",IF(A54&gt;=Model!$B$11,Model!$B$20,0))</f>
        <v/>
      </c>
      <c r="D54" s="7">
        <f>IF(A54="","",IF(A54&lt;$B$3+Model!$B$15,Model!$B$22,0))</f>
        <v/>
      </c>
      <c r="E54" s="7">
        <f>IF(A54="","",C54+D54)</f>
        <v/>
      </c>
      <c r="F54" s="7">
        <f>IF(A54="","",MAX(0,Model!$B$6-E54))</f>
        <v/>
      </c>
      <c r="G54" s="7">
        <f>IF(A54="","",F54/(1-Model!$B$9))</f>
        <v/>
      </c>
      <c r="H54" s="7">
        <f>IF(A54="","",MAX(0,B54-G54))</f>
        <v/>
      </c>
      <c r="I54" s="7">
        <f>IF(A54="","",H54*Model!$B$18)</f>
        <v/>
      </c>
      <c r="J54" s="7">
        <f>IF(A54="","",H54+I54)</f>
        <v/>
      </c>
    </row>
    <row r="55">
      <c r="A55">
        <f>IF(OR(A54="",A54&gt;=Model!$B$4),"",A54+1)</f>
        <v/>
      </c>
      <c r="B55" s="7">
        <f>IF(A55="","",J54)</f>
        <v/>
      </c>
      <c r="C55" s="7">
        <f>IF(A55="","",IF(A55&gt;=Model!$B$11,Model!$B$20,0))</f>
        <v/>
      </c>
      <c r="D55" s="7">
        <f>IF(A55="","",IF(A55&lt;$B$3+Model!$B$15,Model!$B$22,0))</f>
        <v/>
      </c>
      <c r="E55" s="7">
        <f>IF(A55="","",C55+D55)</f>
        <v/>
      </c>
      <c r="F55" s="7">
        <f>IF(A55="","",MAX(0,Model!$B$6-E55))</f>
        <v/>
      </c>
      <c r="G55" s="7">
        <f>IF(A55="","",F55/(1-Model!$B$9))</f>
        <v/>
      </c>
      <c r="H55" s="7">
        <f>IF(A55="","",MAX(0,B55-G55))</f>
        <v/>
      </c>
      <c r="I55" s="7">
        <f>IF(A55="","",H55*Model!$B$18)</f>
        <v/>
      </c>
      <c r="J55" s="7">
        <f>IF(A55="","",H55+I55)</f>
        <v/>
      </c>
    </row>
    <row r="56">
      <c r="A56">
        <f>IF(OR(A55="",A55&gt;=Model!$B$4),"",A55+1)</f>
        <v/>
      </c>
      <c r="B56" s="7">
        <f>IF(A56="","",J55)</f>
        <v/>
      </c>
      <c r="C56" s="7">
        <f>IF(A56="","",IF(A56&gt;=Model!$B$11,Model!$B$20,0))</f>
        <v/>
      </c>
      <c r="D56" s="7">
        <f>IF(A56="","",IF(A56&lt;$B$3+Model!$B$15,Model!$B$22,0))</f>
        <v/>
      </c>
      <c r="E56" s="7">
        <f>IF(A56="","",C56+D56)</f>
        <v/>
      </c>
      <c r="F56" s="7">
        <f>IF(A56="","",MAX(0,Model!$B$6-E56))</f>
        <v/>
      </c>
      <c r="G56" s="7">
        <f>IF(A56="","",F56/(1-Model!$B$9))</f>
        <v/>
      </c>
      <c r="H56" s="7">
        <f>IF(A56="","",MAX(0,B56-G56))</f>
        <v/>
      </c>
      <c r="I56" s="7">
        <f>IF(A56="","",H56*Model!$B$18)</f>
        <v/>
      </c>
      <c r="J56" s="7">
        <f>IF(A56="","",H56+I56)</f>
        <v/>
      </c>
    </row>
    <row r="57">
      <c r="A57">
        <f>IF(OR(A56="",A56&gt;=Model!$B$4),"",A56+1)</f>
        <v/>
      </c>
      <c r="B57" s="7">
        <f>IF(A57="","",J56)</f>
        <v/>
      </c>
      <c r="C57" s="7">
        <f>IF(A57="","",IF(A57&gt;=Model!$B$11,Model!$B$20,0))</f>
        <v/>
      </c>
      <c r="D57" s="7">
        <f>IF(A57="","",IF(A57&lt;$B$3+Model!$B$15,Model!$B$22,0))</f>
        <v/>
      </c>
      <c r="E57" s="7">
        <f>IF(A57="","",C57+D57)</f>
        <v/>
      </c>
      <c r="F57" s="7">
        <f>IF(A57="","",MAX(0,Model!$B$6-E57))</f>
        <v/>
      </c>
      <c r="G57" s="7">
        <f>IF(A57="","",F57/(1-Model!$B$9))</f>
        <v/>
      </c>
      <c r="H57" s="7">
        <f>IF(A57="","",MAX(0,B57-G57))</f>
        <v/>
      </c>
      <c r="I57" s="7">
        <f>IF(A57="","",H57*Model!$B$18)</f>
        <v/>
      </c>
      <c r="J57" s="7">
        <f>IF(A57="","",H57+I57)</f>
        <v/>
      </c>
    </row>
    <row r="58">
      <c r="A58">
        <f>IF(OR(A57="",A57&gt;=Model!$B$4),"",A57+1)</f>
        <v/>
      </c>
      <c r="B58" s="7">
        <f>IF(A58="","",J57)</f>
        <v/>
      </c>
      <c r="C58" s="7">
        <f>IF(A58="","",IF(A58&gt;=Model!$B$11,Model!$B$20,0))</f>
        <v/>
      </c>
      <c r="D58" s="7">
        <f>IF(A58="","",IF(A58&lt;$B$3+Model!$B$15,Model!$B$22,0))</f>
        <v/>
      </c>
      <c r="E58" s="7">
        <f>IF(A58="","",C58+D58)</f>
        <v/>
      </c>
      <c r="F58" s="7">
        <f>IF(A58="","",MAX(0,Model!$B$6-E58))</f>
        <v/>
      </c>
      <c r="G58" s="7">
        <f>IF(A58="","",F58/(1-Model!$B$9))</f>
        <v/>
      </c>
      <c r="H58" s="7">
        <f>IF(A58="","",MAX(0,B58-G58))</f>
        <v/>
      </c>
      <c r="I58" s="7">
        <f>IF(A58="","",H58*Model!$B$18)</f>
        <v/>
      </c>
      <c r="J58" s="7">
        <f>IF(A58="","",H58+I58)</f>
        <v/>
      </c>
    </row>
    <row r="59">
      <c r="A59">
        <f>IF(OR(A58="",A58&gt;=Model!$B$4),"",A58+1)</f>
        <v/>
      </c>
      <c r="B59" s="7">
        <f>IF(A59="","",J58)</f>
        <v/>
      </c>
      <c r="C59" s="7">
        <f>IF(A59="","",IF(A59&gt;=Model!$B$11,Model!$B$20,0))</f>
        <v/>
      </c>
      <c r="D59" s="7">
        <f>IF(A59="","",IF(A59&lt;$B$3+Model!$B$15,Model!$B$22,0))</f>
        <v/>
      </c>
      <c r="E59" s="7">
        <f>IF(A59="","",C59+D59)</f>
        <v/>
      </c>
      <c r="F59" s="7">
        <f>IF(A59="","",MAX(0,Model!$B$6-E59))</f>
        <v/>
      </c>
      <c r="G59" s="7">
        <f>IF(A59="","",F59/(1-Model!$B$9))</f>
        <v/>
      </c>
      <c r="H59" s="7">
        <f>IF(A59="","",MAX(0,B59-G59))</f>
        <v/>
      </c>
      <c r="I59" s="7">
        <f>IF(A59="","",H59*Model!$B$18)</f>
        <v/>
      </c>
      <c r="J59" s="7">
        <f>IF(A59="","",H59+I59)</f>
        <v/>
      </c>
    </row>
    <row r="60">
      <c r="A60">
        <f>IF(OR(A59="",A59&gt;=Model!$B$4),"",A59+1)</f>
        <v/>
      </c>
      <c r="B60" s="7">
        <f>IF(A60="","",J59)</f>
        <v/>
      </c>
      <c r="C60" s="7">
        <f>IF(A60="","",IF(A60&gt;=Model!$B$11,Model!$B$20,0))</f>
        <v/>
      </c>
      <c r="D60" s="7">
        <f>IF(A60="","",IF(A60&lt;$B$3+Model!$B$15,Model!$B$22,0))</f>
        <v/>
      </c>
      <c r="E60" s="7">
        <f>IF(A60="","",C60+D60)</f>
        <v/>
      </c>
      <c r="F60" s="7">
        <f>IF(A60="","",MAX(0,Model!$B$6-E60))</f>
        <v/>
      </c>
      <c r="G60" s="7">
        <f>IF(A60="","",F60/(1-Model!$B$9))</f>
        <v/>
      </c>
      <c r="H60" s="7">
        <f>IF(A60="","",MAX(0,B60-G60))</f>
        <v/>
      </c>
      <c r="I60" s="7">
        <f>IF(A60="","",H60*Model!$B$18)</f>
        <v/>
      </c>
      <c r="J60" s="7">
        <f>IF(A60="","",H60+I60)</f>
        <v/>
      </c>
    </row>
    <row r="61">
      <c r="A61">
        <f>IF(OR(A60="",A60&gt;=Model!$B$4),"",A60+1)</f>
        <v/>
      </c>
      <c r="B61" s="7">
        <f>IF(A61="","",J60)</f>
        <v/>
      </c>
      <c r="C61" s="7">
        <f>IF(A61="","",IF(A61&gt;=Model!$B$11,Model!$B$20,0))</f>
        <v/>
      </c>
      <c r="D61" s="7">
        <f>IF(A61="","",IF(A61&lt;$B$3+Model!$B$15,Model!$B$22,0))</f>
        <v/>
      </c>
      <c r="E61" s="7">
        <f>IF(A61="","",C61+D61)</f>
        <v/>
      </c>
      <c r="F61" s="7">
        <f>IF(A61="","",MAX(0,Model!$B$6-E61))</f>
        <v/>
      </c>
      <c r="G61" s="7">
        <f>IF(A61="","",F61/(1-Model!$B$9))</f>
        <v/>
      </c>
      <c r="H61" s="7">
        <f>IF(A61="","",MAX(0,B61-G61))</f>
        <v/>
      </c>
      <c r="I61" s="7">
        <f>IF(A61="","",H61*Model!$B$18)</f>
        <v/>
      </c>
      <c r="J61" s="7">
        <f>IF(A61="","",H61+I61)</f>
        <v/>
      </c>
    </row>
    <row r="62">
      <c r="A62">
        <f>IF(OR(A61="",A61&gt;=Model!$B$4),"",A61+1)</f>
        <v/>
      </c>
      <c r="B62" s="7">
        <f>IF(A62="","",J61)</f>
        <v/>
      </c>
      <c r="C62" s="7">
        <f>IF(A62="","",IF(A62&gt;=Model!$B$11,Model!$B$20,0))</f>
        <v/>
      </c>
      <c r="D62" s="7">
        <f>IF(A62="","",IF(A62&lt;$B$3+Model!$B$15,Model!$B$22,0))</f>
        <v/>
      </c>
      <c r="E62" s="7">
        <f>IF(A62="","",C62+D62)</f>
        <v/>
      </c>
      <c r="F62" s="7">
        <f>IF(A62="","",MAX(0,Model!$B$6-E62))</f>
        <v/>
      </c>
      <c r="G62" s="7">
        <f>IF(A62="","",F62/(1-Model!$B$9))</f>
        <v/>
      </c>
      <c r="H62" s="7">
        <f>IF(A62="","",MAX(0,B62-G62))</f>
        <v/>
      </c>
      <c r="I62" s="7">
        <f>IF(A62="","",H62*Model!$B$18)</f>
        <v/>
      </c>
      <c r="J62" s="7">
        <f>IF(A62="","",H62+I62)</f>
        <v/>
      </c>
    </row>
    <row r="63">
      <c r="A63">
        <f>IF(OR(A62="",A62&gt;=Model!$B$4),"",A62+1)</f>
        <v/>
      </c>
      <c r="B63" s="7">
        <f>IF(A63="","",J62)</f>
        <v/>
      </c>
      <c r="C63" s="7">
        <f>IF(A63="","",IF(A63&gt;=Model!$B$11,Model!$B$20,0))</f>
        <v/>
      </c>
      <c r="D63" s="7">
        <f>IF(A63="","",IF(A63&lt;$B$3+Model!$B$15,Model!$B$22,0))</f>
        <v/>
      </c>
      <c r="E63" s="7">
        <f>IF(A63="","",C63+D63)</f>
        <v/>
      </c>
      <c r="F63" s="7">
        <f>IF(A63="","",MAX(0,Model!$B$6-E63))</f>
        <v/>
      </c>
      <c r="G63" s="7">
        <f>IF(A63="","",F63/(1-Model!$B$9))</f>
        <v/>
      </c>
      <c r="H63" s="7">
        <f>IF(A63="","",MAX(0,B63-G63))</f>
        <v/>
      </c>
      <c r="I63" s="7">
        <f>IF(A63="","",H63*Model!$B$18)</f>
        <v/>
      </c>
      <c r="J63" s="7">
        <f>IF(A63="","",H63+I63)</f>
        <v/>
      </c>
    </row>
    <row r="64">
      <c r="A64">
        <f>IF(OR(A63="",A63&gt;=Model!$B$4),"",A63+1)</f>
        <v/>
      </c>
      <c r="B64" s="7">
        <f>IF(A64="","",J63)</f>
        <v/>
      </c>
      <c r="C64" s="7">
        <f>IF(A64="","",IF(A64&gt;=Model!$B$11,Model!$B$20,0))</f>
        <v/>
      </c>
      <c r="D64" s="7">
        <f>IF(A64="","",IF(A64&lt;$B$3+Model!$B$15,Model!$B$22,0))</f>
        <v/>
      </c>
      <c r="E64" s="7">
        <f>IF(A64="","",C64+D64)</f>
        <v/>
      </c>
      <c r="F64" s="7">
        <f>IF(A64="","",MAX(0,Model!$B$6-E64))</f>
        <v/>
      </c>
      <c r="G64" s="7">
        <f>IF(A64="","",F64/(1-Model!$B$9))</f>
        <v/>
      </c>
      <c r="H64" s="7">
        <f>IF(A64="","",MAX(0,B64-G64))</f>
        <v/>
      </c>
      <c r="I64" s="7">
        <f>IF(A64="","",H64*Model!$B$18)</f>
        <v/>
      </c>
      <c r="J64" s="7">
        <f>IF(A64="","",H64+I64)</f>
        <v/>
      </c>
    </row>
    <row r="65">
      <c r="A65">
        <f>IF(OR(A64="",A64&gt;=Model!$B$4),"",A64+1)</f>
        <v/>
      </c>
      <c r="B65" s="7">
        <f>IF(A65="","",J64)</f>
        <v/>
      </c>
      <c r="C65" s="7">
        <f>IF(A65="","",IF(A65&gt;=Model!$B$11,Model!$B$20,0))</f>
        <v/>
      </c>
      <c r="D65" s="7">
        <f>IF(A65="","",IF(A65&lt;$B$3+Model!$B$15,Model!$B$22,0))</f>
        <v/>
      </c>
      <c r="E65" s="7">
        <f>IF(A65="","",C65+D65)</f>
        <v/>
      </c>
      <c r="F65" s="7">
        <f>IF(A65="","",MAX(0,Model!$B$6-E65))</f>
        <v/>
      </c>
      <c r="G65" s="7">
        <f>IF(A65="","",F65/(1-Model!$B$9))</f>
        <v/>
      </c>
      <c r="H65" s="7">
        <f>IF(A65="","",MAX(0,B65-G65))</f>
        <v/>
      </c>
      <c r="I65" s="7">
        <f>IF(A65="","",H65*Model!$B$18)</f>
        <v/>
      </c>
      <c r="J65" s="7">
        <f>IF(A65="","",H65+I65)</f>
        <v/>
      </c>
    </row>
    <row r="66">
      <c r="A66">
        <f>IF(OR(A65="",A65&gt;=Model!$B$4),"",A65+1)</f>
        <v/>
      </c>
      <c r="B66" s="7">
        <f>IF(A66="","",J65)</f>
        <v/>
      </c>
      <c r="C66" s="7">
        <f>IF(A66="","",IF(A66&gt;=Model!$B$11,Model!$B$20,0))</f>
        <v/>
      </c>
      <c r="D66" s="7">
        <f>IF(A66="","",IF(A66&lt;$B$3+Model!$B$15,Model!$B$22,0))</f>
        <v/>
      </c>
      <c r="E66" s="7">
        <f>IF(A66="","",C66+D66)</f>
        <v/>
      </c>
      <c r="F66" s="7">
        <f>IF(A66="","",MAX(0,Model!$B$6-E66))</f>
        <v/>
      </c>
      <c r="G66" s="7">
        <f>IF(A66="","",F66/(1-Model!$B$9))</f>
        <v/>
      </c>
      <c r="H66" s="7">
        <f>IF(A66="","",MAX(0,B66-G66))</f>
        <v/>
      </c>
      <c r="I66" s="7">
        <f>IF(A66="","",H66*Model!$B$18)</f>
        <v/>
      </c>
      <c r="J66" s="7">
        <f>IF(A66="","",H66+I66)</f>
        <v/>
      </c>
    </row>
    <row r="67">
      <c r="A67">
        <f>IF(OR(A66="",A66&gt;=Model!$B$4),"",A66+1)</f>
        <v/>
      </c>
      <c r="B67" s="7">
        <f>IF(A67="","",J66)</f>
        <v/>
      </c>
      <c r="C67" s="7">
        <f>IF(A67="","",IF(A67&gt;=Model!$B$11,Model!$B$20,0))</f>
        <v/>
      </c>
      <c r="D67" s="7">
        <f>IF(A67="","",IF(A67&lt;$B$3+Model!$B$15,Model!$B$22,0))</f>
        <v/>
      </c>
      <c r="E67" s="7">
        <f>IF(A67="","",C67+D67)</f>
        <v/>
      </c>
      <c r="F67" s="7">
        <f>IF(A67="","",MAX(0,Model!$B$6-E67))</f>
        <v/>
      </c>
      <c r="G67" s="7">
        <f>IF(A67="","",F67/(1-Model!$B$9))</f>
        <v/>
      </c>
      <c r="H67" s="7">
        <f>IF(A67="","",MAX(0,B67-G67))</f>
        <v/>
      </c>
      <c r="I67" s="7">
        <f>IF(A67="","",H67*Model!$B$18)</f>
        <v/>
      </c>
      <c r="J67" s="7">
        <f>IF(A67="","",H67+I67)</f>
        <v/>
      </c>
    </row>
    <row r="68">
      <c r="A68">
        <f>IF(OR(A67="",A67&gt;=Model!$B$4),"",A67+1)</f>
        <v/>
      </c>
      <c r="B68" s="7">
        <f>IF(A68="","",J67)</f>
        <v/>
      </c>
      <c r="C68" s="7">
        <f>IF(A68="","",IF(A68&gt;=Model!$B$11,Model!$B$20,0))</f>
        <v/>
      </c>
      <c r="D68" s="7">
        <f>IF(A68="","",IF(A68&lt;$B$3+Model!$B$15,Model!$B$22,0))</f>
        <v/>
      </c>
      <c r="E68" s="7">
        <f>IF(A68="","",C68+D68)</f>
        <v/>
      </c>
      <c r="F68" s="7">
        <f>IF(A68="","",MAX(0,Model!$B$6-E68))</f>
        <v/>
      </c>
      <c r="G68" s="7">
        <f>IF(A68="","",F68/(1-Model!$B$9))</f>
        <v/>
      </c>
      <c r="H68" s="7">
        <f>IF(A68="","",MAX(0,B68-G68))</f>
        <v/>
      </c>
      <c r="I68" s="7">
        <f>IF(A68="","",H68*Model!$B$18)</f>
        <v/>
      </c>
      <c r="J68" s="7">
        <f>IF(A68="","",H68+I68)</f>
        <v/>
      </c>
    </row>
    <row r="69">
      <c r="A69">
        <f>IF(OR(A68="",A68&gt;=Model!$B$4),"",A68+1)</f>
        <v/>
      </c>
      <c r="B69" s="7">
        <f>IF(A69="","",J68)</f>
        <v/>
      </c>
      <c r="C69" s="7">
        <f>IF(A69="","",IF(A69&gt;=Model!$B$11,Model!$B$20,0))</f>
        <v/>
      </c>
      <c r="D69" s="7">
        <f>IF(A69="","",IF(A69&lt;$B$3+Model!$B$15,Model!$B$22,0))</f>
        <v/>
      </c>
      <c r="E69" s="7">
        <f>IF(A69="","",C69+D69)</f>
        <v/>
      </c>
      <c r="F69" s="7">
        <f>IF(A69="","",MAX(0,Model!$B$6-E69))</f>
        <v/>
      </c>
      <c r="G69" s="7">
        <f>IF(A69="","",F69/(1-Model!$B$9))</f>
        <v/>
      </c>
      <c r="H69" s="7">
        <f>IF(A69="","",MAX(0,B69-G69))</f>
        <v/>
      </c>
      <c r="I69" s="7">
        <f>IF(A69="","",H69*Model!$B$18)</f>
        <v/>
      </c>
      <c r="J69" s="7">
        <f>IF(A69="","",H69+I69)</f>
        <v/>
      </c>
    </row>
    <row r="70">
      <c r="A70">
        <f>IF(OR(A69="",A69&gt;=Model!$B$4),"",A69+1)</f>
        <v/>
      </c>
      <c r="B70" s="7">
        <f>IF(A70="","",J69)</f>
        <v/>
      </c>
      <c r="C70" s="7">
        <f>IF(A70="","",IF(A70&gt;=Model!$B$11,Model!$B$20,0))</f>
        <v/>
      </c>
      <c r="D70" s="7">
        <f>IF(A70="","",IF(A70&lt;$B$3+Model!$B$15,Model!$B$22,0))</f>
        <v/>
      </c>
      <c r="E70" s="7">
        <f>IF(A70="","",C70+D70)</f>
        <v/>
      </c>
      <c r="F70" s="7">
        <f>IF(A70="","",MAX(0,Model!$B$6-E70))</f>
        <v/>
      </c>
      <c r="G70" s="7">
        <f>IF(A70="","",F70/(1-Model!$B$9))</f>
        <v/>
      </c>
      <c r="H70" s="7">
        <f>IF(A70="","",MAX(0,B70-G70))</f>
        <v/>
      </c>
      <c r="I70" s="7">
        <f>IF(A70="","",H70*Model!$B$18)</f>
        <v/>
      </c>
      <c r="J70" s="7">
        <f>IF(A70="","",H70+I70)</f>
        <v/>
      </c>
    </row>
    <row r="71">
      <c r="A71">
        <f>IF(OR(A70="",A70&gt;=Model!$B$4),"",A70+1)</f>
        <v/>
      </c>
      <c r="B71" s="7">
        <f>IF(A71="","",J70)</f>
        <v/>
      </c>
      <c r="C71" s="7">
        <f>IF(A71="","",IF(A71&gt;=Model!$B$11,Model!$B$20,0))</f>
        <v/>
      </c>
      <c r="D71" s="7">
        <f>IF(A71="","",IF(A71&lt;$B$3+Model!$B$15,Model!$B$22,0))</f>
        <v/>
      </c>
      <c r="E71" s="7">
        <f>IF(A71="","",C71+D71)</f>
        <v/>
      </c>
      <c r="F71" s="7">
        <f>IF(A71="","",MAX(0,Model!$B$6-E71))</f>
        <v/>
      </c>
      <c r="G71" s="7">
        <f>IF(A71="","",F71/(1-Model!$B$9))</f>
        <v/>
      </c>
      <c r="H71" s="7">
        <f>IF(A71="","",MAX(0,B71-G71))</f>
        <v/>
      </c>
      <c r="I71" s="7">
        <f>IF(A71="","",H71*Model!$B$18)</f>
        <v/>
      </c>
      <c r="J71" s="7">
        <f>IF(A71="","",H71+I71)</f>
        <v/>
      </c>
    </row>
    <row r="72">
      <c r="A72">
        <f>IF(OR(A71="",A71&gt;=Model!$B$4),"",A71+1)</f>
        <v/>
      </c>
      <c r="B72" s="7">
        <f>IF(A72="","",J71)</f>
        <v/>
      </c>
      <c r="C72" s="7">
        <f>IF(A72="","",IF(A72&gt;=Model!$B$11,Model!$B$20,0))</f>
        <v/>
      </c>
      <c r="D72" s="7">
        <f>IF(A72="","",IF(A72&lt;$B$3+Model!$B$15,Model!$B$22,0))</f>
        <v/>
      </c>
      <c r="E72" s="7">
        <f>IF(A72="","",C72+D72)</f>
        <v/>
      </c>
      <c r="F72" s="7">
        <f>IF(A72="","",MAX(0,Model!$B$6-E72))</f>
        <v/>
      </c>
      <c r="G72" s="7">
        <f>IF(A72="","",F72/(1-Model!$B$9))</f>
        <v/>
      </c>
      <c r="H72" s="7">
        <f>IF(A72="","",MAX(0,B72-G72))</f>
        <v/>
      </c>
      <c r="I72" s="7">
        <f>IF(A72="","",H72*Model!$B$18)</f>
        <v/>
      </c>
      <c r="J72" s="7">
        <f>IF(A72="","",H72+I72)</f>
        <v/>
      </c>
    </row>
    <row r="73">
      <c r="A73">
        <f>IF(OR(A72="",A72&gt;=Model!$B$4),"",A72+1)</f>
        <v/>
      </c>
      <c r="B73" s="7">
        <f>IF(A73="","",J72)</f>
        <v/>
      </c>
      <c r="C73" s="7">
        <f>IF(A73="","",IF(A73&gt;=Model!$B$11,Model!$B$20,0))</f>
        <v/>
      </c>
      <c r="D73" s="7">
        <f>IF(A73="","",IF(A73&lt;$B$3+Model!$B$15,Model!$B$22,0))</f>
        <v/>
      </c>
      <c r="E73" s="7">
        <f>IF(A73="","",C73+D73)</f>
        <v/>
      </c>
      <c r="F73" s="7">
        <f>IF(A73="","",MAX(0,Model!$B$6-E73))</f>
        <v/>
      </c>
      <c r="G73" s="7">
        <f>IF(A73="","",F73/(1-Model!$B$9))</f>
        <v/>
      </c>
      <c r="H73" s="7">
        <f>IF(A73="","",MAX(0,B73-G73))</f>
        <v/>
      </c>
      <c r="I73" s="7">
        <f>IF(A73="","",H73*Model!$B$18)</f>
        <v/>
      </c>
      <c r="J73" s="7">
        <f>IF(A73="","",H73+I73)</f>
        <v/>
      </c>
    </row>
    <row r="74">
      <c r="A74">
        <f>IF(OR(A73="",A73&gt;=Model!$B$4),"",A73+1)</f>
        <v/>
      </c>
      <c r="B74" s="7">
        <f>IF(A74="","",J73)</f>
        <v/>
      </c>
      <c r="C74" s="7">
        <f>IF(A74="","",IF(A74&gt;=Model!$B$11,Model!$B$20,0))</f>
        <v/>
      </c>
      <c r="D74" s="7">
        <f>IF(A74="","",IF(A74&lt;$B$3+Model!$B$15,Model!$B$22,0))</f>
        <v/>
      </c>
      <c r="E74" s="7">
        <f>IF(A74="","",C74+D74)</f>
        <v/>
      </c>
      <c r="F74" s="7">
        <f>IF(A74="","",MAX(0,Model!$B$6-E74))</f>
        <v/>
      </c>
      <c r="G74" s="7">
        <f>IF(A74="","",F74/(1-Model!$B$9))</f>
        <v/>
      </c>
      <c r="H74" s="7">
        <f>IF(A74="","",MAX(0,B74-G74))</f>
        <v/>
      </c>
      <c r="I74" s="7">
        <f>IF(A74="","",H74*Model!$B$18)</f>
        <v/>
      </c>
      <c r="J74" s="7">
        <f>IF(A74="","",H74+I74)</f>
        <v/>
      </c>
    </row>
    <row r="75">
      <c r="A75">
        <f>IF(OR(A74="",A74&gt;=Model!$B$4),"",A74+1)</f>
        <v/>
      </c>
      <c r="B75" s="7">
        <f>IF(A75="","",J74)</f>
        <v/>
      </c>
      <c r="C75" s="7">
        <f>IF(A75="","",IF(A75&gt;=Model!$B$11,Model!$B$20,0))</f>
        <v/>
      </c>
      <c r="D75" s="7">
        <f>IF(A75="","",IF(A75&lt;$B$3+Model!$B$15,Model!$B$22,0))</f>
        <v/>
      </c>
      <c r="E75" s="7">
        <f>IF(A75="","",C75+D75)</f>
        <v/>
      </c>
      <c r="F75" s="7">
        <f>IF(A75="","",MAX(0,Model!$B$6-E75))</f>
        <v/>
      </c>
      <c r="G75" s="7">
        <f>IF(A75="","",F75/(1-Model!$B$9))</f>
        <v/>
      </c>
      <c r="H75" s="7">
        <f>IF(A75="","",MAX(0,B75-G75))</f>
        <v/>
      </c>
      <c r="I75" s="7">
        <f>IF(A75="","",H75*Model!$B$18)</f>
        <v/>
      </c>
      <c r="J75" s="7">
        <f>IF(A75="","",H75+I75)</f>
        <v/>
      </c>
    </row>
    <row r="76">
      <c r="A76">
        <f>IF(OR(A75="",A75&gt;=Model!$B$4),"",A75+1)</f>
        <v/>
      </c>
      <c r="B76" s="7">
        <f>IF(A76="","",J75)</f>
        <v/>
      </c>
      <c r="C76" s="7">
        <f>IF(A76="","",IF(A76&gt;=Model!$B$11,Model!$B$20,0))</f>
        <v/>
      </c>
      <c r="D76" s="7">
        <f>IF(A76="","",IF(A76&lt;$B$3+Model!$B$15,Model!$B$22,0))</f>
        <v/>
      </c>
      <c r="E76" s="7">
        <f>IF(A76="","",C76+D76)</f>
        <v/>
      </c>
      <c r="F76" s="7">
        <f>IF(A76="","",MAX(0,Model!$B$6-E76))</f>
        <v/>
      </c>
      <c r="G76" s="7">
        <f>IF(A76="","",F76/(1-Model!$B$9))</f>
        <v/>
      </c>
      <c r="H76" s="7">
        <f>IF(A76="","",MAX(0,B76-G76))</f>
        <v/>
      </c>
      <c r="I76" s="7">
        <f>IF(A76="","",H76*Model!$B$18)</f>
        <v/>
      </c>
      <c r="J76" s="7">
        <f>IF(A76="","",H76+I76)</f>
        <v/>
      </c>
    </row>
    <row r="77">
      <c r="A77">
        <f>IF(OR(A76="",A76&gt;=Model!$B$4),"",A76+1)</f>
        <v/>
      </c>
      <c r="B77" s="7">
        <f>IF(A77="","",J76)</f>
        <v/>
      </c>
      <c r="C77" s="7">
        <f>IF(A77="","",IF(A77&gt;=Model!$B$11,Model!$B$20,0))</f>
        <v/>
      </c>
      <c r="D77" s="7">
        <f>IF(A77="","",IF(A77&lt;$B$3+Model!$B$15,Model!$B$22,0))</f>
        <v/>
      </c>
      <c r="E77" s="7">
        <f>IF(A77="","",C77+D77)</f>
        <v/>
      </c>
      <c r="F77" s="7">
        <f>IF(A77="","",MAX(0,Model!$B$6-E77))</f>
        <v/>
      </c>
      <c r="G77" s="7">
        <f>IF(A77="","",F77/(1-Model!$B$9))</f>
        <v/>
      </c>
      <c r="H77" s="7">
        <f>IF(A77="","",MAX(0,B77-G77))</f>
        <v/>
      </c>
      <c r="I77" s="7">
        <f>IF(A77="","",H77*Model!$B$18)</f>
        <v/>
      </c>
      <c r="J77" s="7">
        <f>IF(A77="","",H77+I77)</f>
        <v/>
      </c>
    </row>
    <row r="78">
      <c r="A78">
        <f>IF(OR(A77="",A77&gt;=Model!$B$4),"",A77+1)</f>
        <v/>
      </c>
      <c r="B78" s="7">
        <f>IF(A78="","",J77)</f>
        <v/>
      </c>
      <c r="C78" s="7">
        <f>IF(A78="","",IF(A78&gt;=Model!$B$11,Model!$B$20,0))</f>
        <v/>
      </c>
      <c r="D78" s="7">
        <f>IF(A78="","",IF(A78&lt;$B$3+Model!$B$15,Model!$B$22,0))</f>
        <v/>
      </c>
      <c r="E78" s="7">
        <f>IF(A78="","",C78+D78)</f>
        <v/>
      </c>
      <c r="F78" s="7">
        <f>IF(A78="","",MAX(0,Model!$B$6-E78))</f>
        <v/>
      </c>
      <c r="G78" s="7">
        <f>IF(A78="","",F78/(1-Model!$B$9))</f>
        <v/>
      </c>
      <c r="H78" s="7">
        <f>IF(A78="","",MAX(0,B78-G78))</f>
        <v/>
      </c>
      <c r="I78" s="7">
        <f>IF(A78="","",H78*Model!$B$18)</f>
        <v/>
      </c>
      <c r="J78" s="7">
        <f>IF(A78="","",H78+I78)</f>
        <v/>
      </c>
    </row>
    <row r="79">
      <c r="A79">
        <f>IF(OR(A78="",A78&gt;=Model!$B$4),"",A78+1)</f>
        <v/>
      </c>
      <c r="B79" s="7">
        <f>IF(A79="","",J78)</f>
        <v/>
      </c>
      <c r="C79" s="7">
        <f>IF(A79="","",IF(A79&gt;=Model!$B$11,Model!$B$20,0))</f>
        <v/>
      </c>
      <c r="D79" s="7">
        <f>IF(A79="","",IF(A79&lt;$B$3+Model!$B$15,Model!$B$22,0))</f>
        <v/>
      </c>
      <c r="E79" s="7">
        <f>IF(A79="","",C79+D79)</f>
        <v/>
      </c>
      <c r="F79" s="7">
        <f>IF(A79="","",MAX(0,Model!$B$6-E79))</f>
        <v/>
      </c>
      <c r="G79" s="7">
        <f>IF(A79="","",F79/(1-Model!$B$9))</f>
        <v/>
      </c>
      <c r="H79" s="7">
        <f>IF(A79="","",MAX(0,B79-G79))</f>
        <v/>
      </c>
      <c r="I79" s="7">
        <f>IF(A79="","",H79*Model!$B$18)</f>
        <v/>
      </c>
      <c r="J79" s="7">
        <f>IF(A79="","",H79+I79)</f>
        <v/>
      </c>
    </row>
    <row r="80">
      <c r="A80">
        <f>IF(OR(A79="",A79&gt;=Model!$B$4),"",A79+1)</f>
        <v/>
      </c>
      <c r="B80" s="7">
        <f>IF(A80="","",J79)</f>
        <v/>
      </c>
      <c r="C80" s="7">
        <f>IF(A80="","",IF(A80&gt;=Model!$B$11,Model!$B$20,0))</f>
        <v/>
      </c>
      <c r="D80" s="7">
        <f>IF(A80="","",IF(A80&lt;$B$3+Model!$B$15,Model!$B$22,0))</f>
        <v/>
      </c>
      <c r="E80" s="7">
        <f>IF(A80="","",C80+D80)</f>
        <v/>
      </c>
      <c r="F80" s="7">
        <f>IF(A80="","",MAX(0,Model!$B$6-E80))</f>
        <v/>
      </c>
      <c r="G80" s="7">
        <f>IF(A80="","",F80/(1-Model!$B$9))</f>
        <v/>
      </c>
      <c r="H80" s="7">
        <f>IF(A80="","",MAX(0,B80-G80))</f>
        <v/>
      </c>
      <c r="I80" s="7">
        <f>IF(A80="","",H80*Model!$B$18)</f>
        <v/>
      </c>
      <c r="J80" s="7">
        <f>IF(A80="","",H80+I80)</f>
        <v/>
      </c>
    </row>
    <row r="81">
      <c r="A81">
        <f>IF(OR(A80="",A80&gt;=Model!$B$4),"",A80+1)</f>
        <v/>
      </c>
      <c r="B81" s="7">
        <f>IF(A81="","",J80)</f>
        <v/>
      </c>
      <c r="C81" s="7">
        <f>IF(A81="","",IF(A81&gt;=Model!$B$11,Model!$B$20,0))</f>
        <v/>
      </c>
      <c r="D81" s="7">
        <f>IF(A81="","",IF(A81&lt;$B$3+Model!$B$15,Model!$B$22,0))</f>
        <v/>
      </c>
      <c r="E81" s="7">
        <f>IF(A81="","",C81+D81)</f>
        <v/>
      </c>
      <c r="F81" s="7">
        <f>IF(A81="","",MAX(0,Model!$B$6-E81))</f>
        <v/>
      </c>
      <c r="G81" s="7">
        <f>IF(A81="","",F81/(1-Model!$B$9))</f>
        <v/>
      </c>
      <c r="H81" s="7">
        <f>IF(A81="","",MAX(0,B81-G81))</f>
        <v/>
      </c>
      <c r="I81" s="7">
        <f>IF(A81="","",H81*Model!$B$18)</f>
        <v/>
      </c>
      <c r="J81" s="7">
        <f>IF(A81="","",H81+I81)</f>
        <v/>
      </c>
    </row>
    <row r="82">
      <c r="A82">
        <f>IF(OR(A81="",A81&gt;=Model!$B$4),"",A81+1)</f>
        <v/>
      </c>
      <c r="B82" s="7">
        <f>IF(A82="","",J81)</f>
        <v/>
      </c>
      <c r="C82" s="7">
        <f>IF(A82="","",IF(A82&gt;=Model!$B$11,Model!$B$20,0))</f>
        <v/>
      </c>
      <c r="D82" s="7">
        <f>IF(A82="","",IF(A82&lt;$B$3+Model!$B$15,Model!$B$22,0))</f>
        <v/>
      </c>
      <c r="E82" s="7">
        <f>IF(A82="","",C82+D82)</f>
        <v/>
      </c>
      <c r="F82" s="7">
        <f>IF(A82="","",MAX(0,Model!$B$6-E82))</f>
        <v/>
      </c>
      <c r="G82" s="7">
        <f>IF(A82="","",F82/(1-Model!$B$9))</f>
        <v/>
      </c>
      <c r="H82" s="7">
        <f>IF(A82="","",MAX(0,B82-G82))</f>
        <v/>
      </c>
      <c r="I82" s="7">
        <f>IF(A82="","",H82*Model!$B$18)</f>
        <v/>
      </c>
      <c r="J82" s="7">
        <f>IF(A82="","",H82+I82)</f>
        <v/>
      </c>
    </row>
    <row r="83">
      <c r="A83">
        <f>IF(OR(A82="",A82&gt;=Model!$B$4),"",A82+1)</f>
        <v/>
      </c>
      <c r="B83" s="7">
        <f>IF(A83="","",J82)</f>
        <v/>
      </c>
      <c r="C83" s="7">
        <f>IF(A83="","",IF(A83&gt;=Model!$B$11,Model!$B$20,0))</f>
        <v/>
      </c>
      <c r="D83" s="7">
        <f>IF(A83="","",IF(A83&lt;$B$3+Model!$B$15,Model!$B$22,0))</f>
        <v/>
      </c>
      <c r="E83" s="7">
        <f>IF(A83="","",C83+D83)</f>
        <v/>
      </c>
      <c r="F83" s="7">
        <f>IF(A83="","",MAX(0,Model!$B$6-E83))</f>
        <v/>
      </c>
      <c r="G83" s="7">
        <f>IF(A83="","",F83/(1-Model!$B$9))</f>
        <v/>
      </c>
      <c r="H83" s="7">
        <f>IF(A83="","",MAX(0,B83-G83))</f>
        <v/>
      </c>
      <c r="I83" s="7">
        <f>IF(A83="","",H83*Model!$B$18)</f>
        <v/>
      </c>
      <c r="J83" s="7">
        <f>IF(A83="","",H83+I83)</f>
        <v/>
      </c>
    </row>
    <row r="84">
      <c r="A84">
        <f>IF(OR(A83="",A83&gt;=Model!$B$4),"",A83+1)</f>
        <v/>
      </c>
      <c r="B84" s="7">
        <f>IF(A84="","",J83)</f>
        <v/>
      </c>
      <c r="C84" s="7">
        <f>IF(A84="","",IF(A84&gt;=Model!$B$11,Model!$B$20,0))</f>
        <v/>
      </c>
      <c r="D84" s="7">
        <f>IF(A84="","",IF(A84&lt;$B$3+Model!$B$15,Model!$B$22,0))</f>
        <v/>
      </c>
      <c r="E84" s="7">
        <f>IF(A84="","",C84+D84)</f>
        <v/>
      </c>
      <c r="F84" s="7">
        <f>IF(A84="","",MAX(0,Model!$B$6-E84))</f>
        <v/>
      </c>
      <c r="G84" s="7">
        <f>IF(A84="","",F84/(1-Model!$B$9))</f>
        <v/>
      </c>
      <c r="H84" s="7">
        <f>IF(A84="","",MAX(0,B84-G84))</f>
        <v/>
      </c>
      <c r="I84" s="7">
        <f>IF(A84="","",H84*Model!$B$18)</f>
        <v/>
      </c>
      <c r="J84" s="7">
        <f>IF(A84="","",H84+I84)</f>
        <v/>
      </c>
    </row>
    <row r="85">
      <c r="A85">
        <f>IF(OR(A84="",A84&gt;=Model!$B$4),"",A84+1)</f>
        <v/>
      </c>
      <c r="B85" s="7">
        <f>IF(A85="","",J84)</f>
        <v/>
      </c>
      <c r="C85" s="7">
        <f>IF(A85="","",IF(A85&gt;=Model!$B$11,Model!$B$20,0))</f>
        <v/>
      </c>
      <c r="D85" s="7">
        <f>IF(A85="","",IF(A85&lt;$B$3+Model!$B$15,Model!$B$22,0))</f>
        <v/>
      </c>
      <c r="E85" s="7">
        <f>IF(A85="","",C85+D85)</f>
        <v/>
      </c>
      <c r="F85" s="7">
        <f>IF(A85="","",MAX(0,Model!$B$6-E85))</f>
        <v/>
      </c>
      <c r="G85" s="7">
        <f>IF(A85="","",F85/(1-Model!$B$9))</f>
        <v/>
      </c>
      <c r="H85" s="7">
        <f>IF(A85="","",MAX(0,B85-G85))</f>
        <v/>
      </c>
      <c r="I85" s="7">
        <f>IF(A85="","",H85*Model!$B$18)</f>
        <v/>
      </c>
      <c r="J85" s="7">
        <f>IF(A85="","",H85+I85)</f>
        <v/>
      </c>
    </row>
    <row r="86">
      <c r="A86">
        <f>IF(OR(A85="",A85&gt;=Model!$B$4),"",A85+1)</f>
        <v/>
      </c>
      <c r="B86" s="7">
        <f>IF(A86="","",J85)</f>
        <v/>
      </c>
      <c r="C86" s="7">
        <f>IF(A86="","",IF(A86&gt;=Model!$B$11,Model!$B$20,0))</f>
        <v/>
      </c>
      <c r="D86" s="7">
        <f>IF(A86="","",IF(A86&lt;$B$3+Model!$B$15,Model!$B$22,0))</f>
        <v/>
      </c>
      <c r="E86" s="7">
        <f>IF(A86="","",C86+D86)</f>
        <v/>
      </c>
      <c r="F86" s="7">
        <f>IF(A86="","",MAX(0,Model!$B$6-E86))</f>
        <v/>
      </c>
      <c r="G86" s="7">
        <f>IF(A86="","",F86/(1-Model!$B$9))</f>
        <v/>
      </c>
      <c r="H86" s="7">
        <f>IF(A86="","",MAX(0,B86-G86))</f>
        <v/>
      </c>
      <c r="I86" s="7">
        <f>IF(A86="","",H86*Model!$B$18)</f>
        <v/>
      </c>
      <c r="J86" s="7">
        <f>IF(A86="","",H86+I86)</f>
        <v/>
      </c>
    </row>
    <row r="87">
      <c r="A87">
        <f>IF(OR(A86="",A86&gt;=Model!$B$4),"",A86+1)</f>
        <v/>
      </c>
      <c r="B87" s="7">
        <f>IF(A87="","",J86)</f>
        <v/>
      </c>
      <c r="C87" s="7">
        <f>IF(A87="","",IF(A87&gt;=Model!$B$11,Model!$B$20,0))</f>
        <v/>
      </c>
      <c r="D87" s="7">
        <f>IF(A87="","",IF(A87&lt;$B$3+Model!$B$15,Model!$B$22,0))</f>
        <v/>
      </c>
      <c r="E87" s="7">
        <f>IF(A87="","",C87+D87)</f>
        <v/>
      </c>
      <c r="F87" s="7">
        <f>IF(A87="","",MAX(0,Model!$B$6-E87))</f>
        <v/>
      </c>
      <c r="G87" s="7">
        <f>IF(A87="","",F87/(1-Model!$B$9))</f>
        <v/>
      </c>
      <c r="H87" s="7">
        <f>IF(A87="","",MAX(0,B87-G87))</f>
        <v/>
      </c>
      <c r="I87" s="7">
        <f>IF(A87="","",H87*Model!$B$18)</f>
        <v/>
      </c>
      <c r="J87" s="7">
        <f>IF(A87="","",H87+I87)</f>
        <v/>
      </c>
    </row>
    <row r="88">
      <c r="A88">
        <f>IF(OR(A87="",A87&gt;=Model!$B$4),"",A87+1)</f>
        <v/>
      </c>
      <c r="B88" s="7">
        <f>IF(A88="","",J87)</f>
        <v/>
      </c>
      <c r="C88" s="7">
        <f>IF(A88="","",IF(A88&gt;=Model!$B$11,Model!$B$20,0))</f>
        <v/>
      </c>
      <c r="D88" s="7">
        <f>IF(A88="","",IF(A88&lt;$B$3+Model!$B$15,Model!$B$22,0))</f>
        <v/>
      </c>
      <c r="E88" s="7">
        <f>IF(A88="","",C88+D88)</f>
        <v/>
      </c>
      <c r="F88" s="7">
        <f>IF(A88="","",MAX(0,Model!$B$6-E88))</f>
        <v/>
      </c>
      <c r="G88" s="7">
        <f>IF(A88="","",F88/(1-Model!$B$9))</f>
        <v/>
      </c>
      <c r="H88" s="7">
        <f>IF(A88="","",MAX(0,B88-G88))</f>
        <v/>
      </c>
      <c r="I88" s="7">
        <f>IF(A88="","",H88*Model!$B$18)</f>
        <v/>
      </c>
      <c r="J88" s="7">
        <f>IF(A88="","",H88+I88)</f>
        <v/>
      </c>
    </row>
    <row r="89">
      <c r="A89">
        <f>IF(OR(A88="",A88&gt;=Model!$B$4),"",A88+1)</f>
        <v/>
      </c>
      <c r="B89" s="7">
        <f>IF(A89="","",J88)</f>
        <v/>
      </c>
      <c r="C89" s="7">
        <f>IF(A89="","",IF(A89&gt;=Model!$B$11,Model!$B$20,0))</f>
        <v/>
      </c>
      <c r="D89" s="7">
        <f>IF(A89="","",IF(A89&lt;$B$3+Model!$B$15,Model!$B$22,0))</f>
        <v/>
      </c>
      <c r="E89" s="7">
        <f>IF(A89="","",C89+D89)</f>
        <v/>
      </c>
      <c r="F89" s="7">
        <f>IF(A89="","",MAX(0,Model!$B$6-E89))</f>
        <v/>
      </c>
      <c r="G89" s="7">
        <f>IF(A89="","",F89/(1-Model!$B$9))</f>
        <v/>
      </c>
      <c r="H89" s="7">
        <f>IF(A89="","",MAX(0,B89-G89))</f>
        <v/>
      </c>
      <c r="I89" s="7">
        <f>IF(A89="","",H89*Model!$B$18)</f>
        <v/>
      </c>
      <c r="J89" s="7">
        <f>IF(A89="","",H89+I89)</f>
        <v/>
      </c>
    </row>
    <row r="90">
      <c r="A90">
        <f>IF(OR(A89="",A89&gt;=Model!$B$4),"",A89+1)</f>
        <v/>
      </c>
      <c r="B90" s="7">
        <f>IF(A90="","",J89)</f>
        <v/>
      </c>
      <c r="C90" s="7">
        <f>IF(A90="","",IF(A90&gt;=Model!$B$11,Model!$B$20,0))</f>
        <v/>
      </c>
      <c r="D90" s="7">
        <f>IF(A90="","",IF(A90&lt;$B$3+Model!$B$15,Model!$B$22,0))</f>
        <v/>
      </c>
      <c r="E90" s="7">
        <f>IF(A90="","",C90+D90)</f>
        <v/>
      </c>
      <c r="F90" s="7">
        <f>IF(A90="","",MAX(0,Model!$B$6-E90))</f>
        <v/>
      </c>
      <c r="G90" s="7">
        <f>IF(A90="","",F90/(1-Model!$B$9))</f>
        <v/>
      </c>
      <c r="H90" s="7">
        <f>IF(A90="","",MAX(0,B90-G90))</f>
        <v/>
      </c>
      <c r="I90" s="7">
        <f>IF(A90="","",H90*Model!$B$18)</f>
        <v/>
      </c>
      <c r="J90" s="7">
        <f>IF(A90="","",H90+I90)</f>
        <v/>
      </c>
    </row>
    <row r="91">
      <c r="A91">
        <f>IF(OR(A90="",A90&gt;=Model!$B$4),"",A90+1)</f>
        <v/>
      </c>
      <c r="B91" s="7">
        <f>IF(A91="","",J90)</f>
        <v/>
      </c>
      <c r="C91" s="7">
        <f>IF(A91="","",IF(A91&gt;=Model!$B$11,Model!$B$20,0))</f>
        <v/>
      </c>
      <c r="D91" s="7">
        <f>IF(A91="","",IF(A91&lt;$B$3+Model!$B$15,Model!$B$22,0))</f>
        <v/>
      </c>
      <c r="E91" s="7">
        <f>IF(A91="","",C91+D91)</f>
        <v/>
      </c>
      <c r="F91" s="7">
        <f>IF(A91="","",MAX(0,Model!$B$6-E91))</f>
        <v/>
      </c>
      <c r="G91" s="7">
        <f>IF(A91="","",F91/(1-Model!$B$9))</f>
        <v/>
      </c>
      <c r="H91" s="7">
        <f>IF(A91="","",MAX(0,B91-G91))</f>
        <v/>
      </c>
      <c r="I91" s="7">
        <f>IF(A91="","",H91*Model!$B$18)</f>
        <v/>
      </c>
      <c r="J91" s="7">
        <f>IF(A91="","",H91+I91)</f>
        <v/>
      </c>
    </row>
    <row r="92">
      <c r="A92">
        <f>IF(OR(A91="",A91&gt;=Model!$B$4),"",A91+1)</f>
        <v/>
      </c>
      <c r="B92" s="7">
        <f>IF(A92="","",J91)</f>
        <v/>
      </c>
      <c r="C92" s="7">
        <f>IF(A92="","",IF(A92&gt;=Model!$B$11,Model!$B$20,0))</f>
        <v/>
      </c>
      <c r="D92" s="7">
        <f>IF(A92="","",IF(A92&lt;$B$3+Model!$B$15,Model!$B$22,0))</f>
        <v/>
      </c>
      <c r="E92" s="7">
        <f>IF(A92="","",C92+D92)</f>
        <v/>
      </c>
      <c r="F92" s="7">
        <f>IF(A92="","",MAX(0,Model!$B$6-E92))</f>
        <v/>
      </c>
      <c r="G92" s="7">
        <f>IF(A92="","",F92/(1-Model!$B$9))</f>
        <v/>
      </c>
      <c r="H92" s="7">
        <f>IF(A92="","",MAX(0,B92-G92))</f>
        <v/>
      </c>
      <c r="I92" s="7">
        <f>IF(A92="","",H92*Model!$B$18)</f>
        <v/>
      </c>
      <c r="J92" s="7">
        <f>IF(A92="","",H92+I92)</f>
        <v/>
      </c>
    </row>
    <row r="93">
      <c r="A93">
        <f>IF(OR(A92="",A92&gt;=Model!$B$4),"",A92+1)</f>
        <v/>
      </c>
      <c r="B93" s="7">
        <f>IF(A93="","",J92)</f>
        <v/>
      </c>
      <c r="C93" s="7">
        <f>IF(A93="","",IF(A93&gt;=Model!$B$11,Model!$B$20,0))</f>
        <v/>
      </c>
      <c r="D93" s="7">
        <f>IF(A93="","",IF(A93&lt;$B$3+Model!$B$15,Model!$B$22,0))</f>
        <v/>
      </c>
      <c r="E93" s="7">
        <f>IF(A93="","",C93+D93)</f>
        <v/>
      </c>
      <c r="F93" s="7">
        <f>IF(A93="","",MAX(0,Model!$B$6-E93))</f>
        <v/>
      </c>
      <c r="G93" s="7">
        <f>IF(A93="","",F93/(1-Model!$B$9))</f>
        <v/>
      </c>
      <c r="H93" s="7">
        <f>IF(A93="","",MAX(0,B93-G93))</f>
        <v/>
      </c>
      <c r="I93" s="7">
        <f>IF(A93="","",H93*Model!$B$18)</f>
        <v/>
      </c>
      <c r="J93" s="7">
        <f>IF(A93="","",H93+I93)</f>
        <v/>
      </c>
    </row>
    <row r="94">
      <c r="A94">
        <f>IF(OR(A93="",A93&gt;=Model!$B$4),"",A93+1)</f>
        <v/>
      </c>
      <c r="B94" s="7">
        <f>IF(A94="","",J93)</f>
        <v/>
      </c>
      <c r="C94" s="7">
        <f>IF(A94="","",IF(A94&gt;=Model!$B$11,Model!$B$20,0))</f>
        <v/>
      </c>
      <c r="D94" s="7">
        <f>IF(A94="","",IF(A94&lt;$B$3+Model!$B$15,Model!$B$22,0))</f>
        <v/>
      </c>
      <c r="E94" s="7">
        <f>IF(A94="","",C94+D94)</f>
        <v/>
      </c>
      <c r="F94" s="7">
        <f>IF(A94="","",MAX(0,Model!$B$6-E94))</f>
        <v/>
      </c>
      <c r="G94" s="7">
        <f>IF(A94="","",F94/(1-Model!$B$9))</f>
        <v/>
      </c>
      <c r="H94" s="7">
        <f>IF(A94="","",MAX(0,B94-G94))</f>
        <v/>
      </c>
      <c r="I94" s="7">
        <f>IF(A94="","",H94*Model!$B$18)</f>
        <v/>
      </c>
      <c r="J94" s="7">
        <f>IF(A94="","",H94+I94)</f>
        <v/>
      </c>
    </row>
    <row r="95">
      <c r="A95">
        <f>IF(OR(A94="",A94&gt;=Model!$B$4),"",A94+1)</f>
        <v/>
      </c>
      <c r="B95" s="7">
        <f>IF(A95="","",J94)</f>
        <v/>
      </c>
      <c r="C95" s="7">
        <f>IF(A95="","",IF(A95&gt;=Model!$B$11,Model!$B$20,0))</f>
        <v/>
      </c>
      <c r="D95" s="7">
        <f>IF(A95="","",IF(A95&lt;$B$3+Model!$B$15,Model!$B$22,0))</f>
        <v/>
      </c>
      <c r="E95" s="7">
        <f>IF(A95="","",C95+D95)</f>
        <v/>
      </c>
      <c r="F95" s="7">
        <f>IF(A95="","",MAX(0,Model!$B$6-E95))</f>
        <v/>
      </c>
      <c r="G95" s="7">
        <f>IF(A95="","",F95/(1-Model!$B$9))</f>
        <v/>
      </c>
      <c r="H95" s="7">
        <f>IF(A95="","",MAX(0,B95-G95))</f>
        <v/>
      </c>
      <c r="I95" s="7">
        <f>IF(A95="","",H95*Model!$B$18)</f>
        <v/>
      </c>
      <c r="J95" s="7">
        <f>IF(A95="","",H95+I95)</f>
        <v/>
      </c>
    </row>
    <row r="96">
      <c r="A96">
        <f>IF(OR(A95="",A95&gt;=Model!$B$4),"",A95+1)</f>
        <v/>
      </c>
      <c r="B96" s="7">
        <f>IF(A96="","",J95)</f>
        <v/>
      </c>
      <c r="C96" s="7">
        <f>IF(A96="","",IF(A96&gt;=Model!$B$11,Model!$B$20,0))</f>
        <v/>
      </c>
      <c r="D96" s="7">
        <f>IF(A96="","",IF(A96&lt;$B$3+Model!$B$15,Model!$B$22,0))</f>
        <v/>
      </c>
      <c r="E96" s="7">
        <f>IF(A96="","",C96+D96)</f>
        <v/>
      </c>
      <c r="F96" s="7">
        <f>IF(A96="","",MAX(0,Model!$B$6-E96))</f>
        <v/>
      </c>
      <c r="G96" s="7">
        <f>IF(A96="","",F96/(1-Model!$B$9))</f>
        <v/>
      </c>
      <c r="H96" s="7">
        <f>IF(A96="","",MAX(0,B96-G96))</f>
        <v/>
      </c>
      <c r="I96" s="7">
        <f>IF(A96="","",H96*Model!$B$18)</f>
        <v/>
      </c>
      <c r="J96" s="7">
        <f>IF(A96="","",H96+I96)</f>
        <v/>
      </c>
    </row>
    <row r="97">
      <c r="A97">
        <f>IF(OR(A96="",A96&gt;=Model!$B$4),"",A96+1)</f>
        <v/>
      </c>
      <c r="B97" s="7">
        <f>IF(A97="","",J96)</f>
        <v/>
      </c>
      <c r="C97" s="7">
        <f>IF(A97="","",IF(A97&gt;=Model!$B$11,Model!$B$20,0))</f>
        <v/>
      </c>
      <c r="D97" s="7">
        <f>IF(A97="","",IF(A97&lt;$B$3+Model!$B$15,Model!$B$22,0))</f>
        <v/>
      </c>
      <c r="E97" s="7">
        <f>IF(A97="","",C97+D97)</f>
        <v/>
      </c>
      <c r="F97" s="7">
        <f>IF(A97="","",MAX(0,Model!$B$6-E97))</f>
        <v/>
      </c>
      <c r="G97" s="7">
        <f>IF(A97="","",F97/(1-Model!$B$9))</f>
        <v/>
      </c>
      <c r="H97" s="7">
        <f>IF(A97="","",MAX(0,B97-G97))</f>
        <v/>
      </c>
      <c r="I97" s="7">
        <f>IF(A97="","",H97*Model!$B$18)</f>
        <v/>
      </c>
      <c r="J97" s="7">
        <f>IF(A97="","",H97+I97)</f>
        <v/>
      </c>
    </row>
    <row r="98">
      <c r="A98">
        <f>IF(OR(A97="",A97&gt;=Model!$B$4),"",A97+1)</f>
        <v/>
      </c>
      <c r="B98" s="7">
        <f>IF(A98="","",J97)</f>
        <v/>
      </c>
      <c r="C98" s="7">
        <f>IF(A98="","",IF(A98&gt;=Model!$B$11,Model!$B$20,0))</f>
        <v/>
      </c>
      <c r="D98" s="7">
        <f>IF(A98="","",IF(A98&lt;$B$3+Model!$B$15,Model!$B$22,0))</f>
        <v/>
      </c>
      <c r="E98" s="7">
        <f>IF(A98="","",C98+D98)</f>
        <v/>
      </c>
      <c r="F98" s="7">
        <f>IF(A98="","",MAX(0,Model!$B$6-E98))</f>
        <v/>
      </c>
      <c r="G98" s="7">
        <f>IF(A98="","",F98/(1-Model!$B$9))</f>
        <v/>
      </c>
      <c r="H98" s="7">
        <f>IF(A98="","",MAX(0,B98-G98))</f>
        <v/>
      </c>
      <c r="I98" s="7">
        <f>IF(A98="","",H98*Model!$B$18)</f>
        <v/>
      </c>
      <c r="J98" s="7">
        <f>IF(A98="","",H98+I98)</f>
        <v/>
      </c>
    </row>
    <row r="99">
      <c r="A99">
        <f>IF(OR(A98="",A98&gt;=Model!$B$4),"",A98+1)</f>
        <v/>
      </c>
      <c r="B99" s="7">
        <f>IF(A99="","",J98)</f>
        <v/>
      </c>
      <c r="C99" s="7">
        <f>IF(A99="","",IF(A99&gt;=Model!$B$11,Model!$B$20,0))</f>
        <v/>
      </c>
      <c r="D99" s="7">
        <f>IF(A99="","",IF(A99&lt;$B$3+Model!$B$15,Model!$B$22,0))</f>
        <v/>
      </c>
      <c r="E99" s="7">
        <f>IF(A99="","",C99+D99)</f>
        <v/>
      </c>
      <c r="F99" s="7">
        <f>IF(A99="","",MAX(0,Model!$B$6-E99))</f>
        <v/>
      </c>
      <c r="G99" s="7">
        <f>IF(A99="","",F99/(1-Model!$B$9))</f>
        <v/>
      </c>
      <c r="H99" s="7">
        <f>IF(A99="","",MAX(0,B99-G99))</f>
        <v/>
      </c>
      <c r="I99" s="7">
        <f>IF(A99="","",H99*Model!$B$18)</f>
        <v/>
      </c>
      <c r="J99" s="7">
        <f>IF(A99="","",H99+I99)</f>
        <v/>
      </c>
    </row>
    <row r="100">
      <c r="A100">
        <f>IF(OR(A99="",A99&gt;=Model!$B$4),"",A99+1)</f>
        <v/>
      </c>
      <c r="B100" s="7">
        <f>IF(A100="","",J99)</f>
        <v/>
      </c>
      <c r="C100" s="7">
        <f>IF(A100="","",IF(A100&gt;=Model!$B$11,Model!$B$20,0))</f>
        <v/>
      </c>
      <c r="D100" s="7">
        <f>IF(A100="","",IF(A100&lt;$B$3+Model!$B$15,Model!$B$22,0))</f>
        <v/>
      </c>
      <c r="E100" s="7">
        <f>IF(A100="","",C100+D100)</f>
        <v/>
      </c>
      <c r="F100" s="7">
        <f>IF(A100="","",MAX(0,Model!$B$6-E100))</f>
        <v/>
      </c>
      <c r="G100" s="7">
        <f>IF(A100="","",F100/(1-Model!$B$9))</f>
        <v/>
      </c>
      <c r="H100" s="7">
        <f>IF(A100="","",MAX(0,B100-G100))</f>
        <v/>
      </c>
      <c r="I100" s="7">
        <f>IF(A100="","",H100*Model!$B$18)</f>
        <v/>
      </c>
      <c r="J100" s="7">
        <f>IF(A100="","",H100+I100)</f>
        <v/>
      </c>
    </row>
    <row r="101">
      <c r="A101">
        <f>IF(OR(A100="",A100&gt;=Model!$B$4),"",A100+1)</f>
        <v/>
      </c>
      <c r="B101" s="7">
        <f>IF(A101="","",J100)</f>
        <v/>
      </c>
      <c r="C101" s="7">
        <f>IF(A101="","",IF(A101&gt;=Model!$B$11,Model!$B$20,0))</f>
        <v/>
      </c>
      <c r="D101" s="7">
        <f>IF(A101="","",IF(A101&lt;$B$3+Model!$B$15,Model!$B$22,0))</f>
        <v/>
      </c>
      <c r="E101" s="7">
        <f>IF(A101="","",C101+D101)</f>
        <v/>
      </c>
      <c r="F101" s="7">
        <f>IF(A101="","",MAX(0,Model!$B$6-E101))</f>
        <v/>
      </c>
      <c r="G101" s="7">
        <f>IF(A101="","",F101/(1-Model!$B$9))</f>
        <v/>
      </c>
      <c r="H101" s="7">
        <f>IF(A101="","",MAX(0,B101-G101))</f>
        <v/>
      </c>
      <c r="I101" s="7">
        <f>IF(A101="","",H101*Model!$B$18)</f>
        <v/>
      </c>
      <c r="J101" s="7">
        <f>IF(A101="","",H101+I101)</f>
        <v/>
      </c>
    </row>
    <row r="102">
      <c r="A102">
        <f>IF(OR(A101="",A101&gt;=Model!$B$4),"",A101+1)</f>
        <v/>
      </c>
      <c r="B102" s="7">
        <f>IF(A102="","",J101)</f>
        <v/>
      </c>
      <c r="C102" s="7">
        <f>IF(A102="","",IF(A102&gt;=Model!$B$11,Model!$B$20,0))</f>
        <v/>
      </c>
      <c r="D102" s="7">
        <f>IF(A102="","",IF(A102&lt;$B$3+Model!$B$15,Model!$B$22,0))</f>
        <v/>
      </c>
      <c r="E102" s="7">
        <f>IF(A102="","",C102+D102)</f>
        <v/>
      </c>
      <c r="F102" s="7">
        <f>IF(A102="","",MAX(0,Model!$B$6-E102))</f>
        <v/>
      </c>
      <c r="G102" s="7">
        <f>IF(A102="","",F102/(1-Model!$B$9))</f>
        <v/>
      </c>
      <c r="H102" s="7">
        <f>IF(A102="","",MAX(0,B102-G102))</f>
        <v/>
      </c>
      <c r="I102" s="7">
        <f>IF(A102="","",H102*Model!$B$18)</f>
        <v/>
      </c>
      <c r="J102" s="7">
        <f>IF(A102="","",H102+I102)</f>
        <v/>
      </c>
    </row>
    <row r="103">
      <c r="A103">
        <f>IF(OR(A102="",A102&gt;=Model!$B$4),"",A102+1)</f>
        <v/>
      </c>
      <c r="B103" s="7">
        <f>IF(A103="","",J102)</f>
        <v/>
      </c>
      <c r="C103" s="7">
        <f>IF(A103="","",IF(A103&gt;=Model!$B$11,Model!$B$20,0))</f>
        <v/>
      </c>
      <c r="D103" s="7">
        <f>IF(A103="","",IF(A103&lt;$B$3+Model!$B$15,Model!$B$22,0))</f>
        <v/>
      </c>
      <c r="E103" s="7">
        <f>IF(A103="","",C103+D103)</f>
        <v/>
      </c>
      <c r="F103" s="7">
        <f>IF(A103="","",MAX(0,Model!$B$6-E103))</f>
        <v/>
      </c>
      <c r="G103" s="7">
        <f>IF(A103="","",F103/(1-Model!$B$9))</f>
        <v/>
      </c>
      <c r="H103" s="7">
        <f>IF(A103="","",MAX(0,B103-G103))</f>
        <v/>
      </c>
      <c r="I103" s="7">
        <f>IF(A103="","",H103*Model!$B$18)</f>
        <v/>
      </c>
      <c r="J103" s="7">
        <f>IF(A103="","",H103+I103)</f>
        <v/>
      </c>
    </row>
    <row r="104">
      <c r="A104">
        <f>IF(OR(A103="",A103&gt;=Model!$B$4),"",A103+1)</f>
        <v/>
      </c>
      <c r="B104" s="7">
        <f>IF(A104="","",J103)</f>
        <v/>
      </c>
      <c r="C104" s="7">
        <f>IF(A104="","",IF(A104&gt;=Model!$B$11,Model!$B$20,0))</f>
        <v/>
      </c>
      <c r="D104" s="7">
        <f>IF(A104="","",IF(A104&lt;$B$3+Model!$B$15,Model!$B$22,0))</f>
        <v/>
      </c>
      <c r="E104" s="7">
        <f>IF(A104="","",C104+D104)</f>
        <v/>
      </c>
      <c r="F104" s="7">
        <f>IF(A104="","",MAX(0,Model!$B$6-E104))</f>
        <v/>
      </c>
      <c r="G104" s="7">
        <f>IF(A104="","",F104/(1-Model!$B$9))</f>
        <v/>
      </c>
      <c r="H104" s="7">
        <f>IF(A104="","",MAX(0,B104-G104))</f>
        <v/>
      </c>
      <c r="I104" s="7">
        <f>IF(A104="","",H104*Model!$B$18)</f>
        <v/>
      </c>
      <c r="J104" s="7">
        <f>IF(A104="","",H104+I104)</f>
        <v/>
      </c>
    </row>
    <row r="105">
      <c r="A105">
        <f>IF(OR(A104="",A104&gt;=Model!$B$4),"",A104+1)</f>
        <v/>
      </c>
      <c r="B105" s="7">
        <f>IF(A105="","",J104)</f>
        <v/>
      </c>
      <c r="C105" s="7">
        <f>IF(A105="","",IF(A105&gt;=Model!$B$11,Model!$B$20,0))</f>
        <v/>
      </c>
      <c r="D105" s="7">
        <f>IF(A105="","",IF(A105&lt;$B$3+Model!$B$15,Model!$B$22,0))</f>
        <v/>
      </c>
      <c r="E105" s="7">
        <f>IF(A105="","",C105+D105)</f>
        <v/>
      </c>
      <c r="F105" s="7">
        <f>IF(A105="","",MAX(0,Model!$B$6-E105))</f>
        <v/>
      </c>
      <c r="G105" s="7">
        <f>IF(A105="","",F105/(1-Model!$B$9))</f>
        <v/>
      </c>
      <c r="H105" s="7">
        <f>IF(A105="","",MAX(0,B105-G105))</f>
        <v/>
      </c>
      <c r="I105" s="7">
        <f>IF(A105="","",H105*Model!$B$18)</f>
        <v/>
      </c>
      <c r="J105" s="7">
        <f>IF(A105="","",H105+I105)</f>
        <v/>
      </c>
    </row>
    <row r="106">
      <c r="A106">
        <f>IF(OR(A105="",A105&gt;=Model!$B$4),"",A105+1)</f>
        <v/>
      </c>
      <c r="B106" s="7">
        <f>IF(A106="","",J105)</f>
        <v/>
      </c>
      <c r="C106" s="7">
        <f>IF(A106="","",IF(A106&gt;=Model!$B$11,Model!$B$20,0))</f>
        <v/>
      </c>
      <c r="D106" s="7">
        <f>IF(A106="","",IF(A106&lt;$B$3+Model!$B$15,Model!$B$22,0))</f>
        <v/>
      </c>
      <c r="E106" s="7">
        <f>IF(A106="","",C106+D106)</f>
        <v/>
      </c>
      <c r="F106" s="7">
        <f>IF(A106="","",MAX(0,Model!$B$6-E106))</f>
        <v/>
      </c>
      <c r="G106" s="7">
        <f>IF(A106="","",F106/(1-Model!$B$9))</f>
        <v/>
      </c>
      <c r="H106" s="7">
        <f>IF(A106="","",MAX(0,B106-G106))</f>
        <v/>
      </c>
      <c r="I106" s="7">
        <f>IF(A106="","",H106*Model!$B$18)</f>
        <v/>
      </c>
      <c r="J106" s="7">
        <f>IF(A106="","",H106+I106)</f>
        <v/>
      </c>
    </row>
    <row r="107">
      <c r="A107">
        <f>IF(OR(A106="",A106&gt;=Model!$B$4),"",A106+1)</f>
        <v/>
      </c>
      <c r="B107" s="7">
        <f>IF(A107="","",J106)</f>
        <v/>
      </c>
      <c r="C107" s="7">
        <f>IF(A107="","",IF(A107&gt;=Model!$B$11,Model!$B$20,0))</f>
        <v/>
      </c>
      <c r="D107" s="7">
        <f>IF(A107="","",IF(A107&lt;$B$3+Model!$B$15,Model!$B$22,0))</f>
        <v/>
      </c>
      <c r="E107" s="7">
        <f>IF(A107="","",C107+D107)</f>
        <v/>
      </c>
      <c r="F107" s="7">
        <f>IF(A107="","",MAX(0,Model!$B$6-E107))</f>
        <v/>
      </c>
      <c r="G107" s="7">
        <f>IF(A107="","",F107/(1-Model!$B$9))</f>
        <v/>
      </c>
      <c r="H107" s="7">
        <f>IF(A107="","",MAX(0,B107-G107))</f>
        <v/>
      </c>
      <c r="I107" s="7">
        <f>IF(A107="","",H107*Model!$B$18)</f>
        <v/>
      </c>
      <c r="J107" s="7">
        <f>IF(A107="","",H107+I107)</f>
        <v/>
      </c>
    </row>
    <row r="108">
      <c r="A108">
        <f>IF(OR(A107="",A107&gt;=Model!$B$4),"",A107+1)</f>
        <v/>
      </c>
      <c r="B108" s="7">
        <f>IF(A108="","",J107)</f>
        <v/>
      </c>
      <c r="C108" s="7">
        <f>IF(A108="","",IF(A108&gt;=Model!$B$11,Model!$B$20,0))</f>
        <v/>
      </c>
      <c r="D108" s="7">
        <f>IF(A108="","",IF(A108&lt;$B$3+Model!$B$15,Model!$B$22,0))</f>
        <v/>
      </c>
      <c r="E108" s="7">
        <f>IF(A108="","",C108+D108)</f>
        <v/>
      </c>
      <c r="F108" s="7">
        <f>IF(A108="","",MAX(0,Model!$B$6-E108))</f>
        <v/>
      </c>
      <c r="G108" s="7">
        <f>IF(A108="","",F108/(1-Model!$B$9))</f>
        <v/>
      </c>
      <c r="H108" s="7">
        <f>IF(A108="","",MAX(0,B108-G108))</f>
        <v/>
      </c>
      <c r="I108" s="7">
        <f>IF(A108="","",H108*Model!$B$18)</f>
        <v/>
      </c>
      <c r="J108" s="7">
        <f>IF(A108="","",H108+I108)</f>
        <v/>
      </c>
    </row>
    <row r="109">
      <c r="A109">
        <f>IF(OR(A108="",A108&gt;=Model!$B$4),"",A108+1)</f>
        <v/>
      </c>
      <c r="B109" s="7">
        <f>IF(A109="","",J108)</f>
        <v/>
      </c>
      <c r="C109" s="7">
        <f>IF(A109="","",IF(A109&gt;=Model!$B$11,Model!$B$20,0))</f>
        <v/>
      </c>
      <c r="D109" s="7">
        <f>IF(A109="","",IF(A109&lt;$B$3+Model!$B$15,Model!$B$22,0))</f>
        <v/>
      </c>
      <c r="E109" s="7">
        <f>IF(A109="","",C109+D109)</f>
        <v/>
      </c>
      <c r="F109" s="7">
        <f>IF(A109="","",MAX(0,Model!$B$6-E109))</f>
        <v/>
      </c>
      <c r="G109" s="7">
        <f>IF(A109="","",F109/(1-Model!$B$9))</f>
        <v/>
      </c>
      <c r="H109" s="7">
        <f>IF(A109="","",MAX(0,B109-G109))</f>
        <v/>
      </c>
      <c r="I109" s="7">
        <f>IF(A109="","",H109*Model!$B$18)</f>
        <v/>
      </c>
      <c r="J109" s="7">
        <f>IF(A109="","",H109+I109)</f>
        <v/>
      </c>
    </row>
    <row r="110">
      <c r="A110">
        <f>IF(OR(A109="",A109&gt;=Model!$B$4),"",A109+1)</f>
        <v/>
      </c>
      <c r="B110" s="7">
        <f>IF(A110="","",J109)</f>
        <v/>
      </c>
      <c r="C110" s="7">
        <f>IF(A110="","",IF(A110&gt;=Model!$B$11,Model!$B$20,0))</f>
        <v/>
      </c>
      <c r="D110" s="7">
        <f>IF(A110="","",IF(A110&lt;$B$3+Model!$B$15,Model!$B$22,0))</f>
        <v/>
      </c>
      <c r="E110" s="7">
        <f>IF(A110="","",C110+D110)</f>
        <v/>
      </c>
      <c r="F110" s="7">
        <f>IF(A110="","",MAX(0,Model!$B$6-E110))</f>
        <v/>
      </c>
      <c r="G110" s="7">
        <f>IF(A110="","",F110/(1-Model!$B$9))</f>
        <v/>
      </c>
      <c r="H110" s="7">
        <f>IF(A110="","",MAX(0,B110-G110))</f>
        <v/>
      </c>
      <c r="I110" s="7">
        <f>IF(A110="","",H110*Model!$B$18)</f>
        <v/>
      </c>
      <c r="J110" s="7">
        <f>IF(A110="","",H110+I110)</f>
        <v/>
      </c>
    </row>
    <row r="111">
      <c r="A111">
        <f>IF(OR(A110="",A110&gt;=Model!$B$4),"",A110+1)</f>
        <v/>
      </c>
      <c r="B111" s="7">
        <f>IF(A111="","",J110)</f>
        <v/>
      </c>
      <c r="C111" s="7">
        <f>IF(A111="","",IF(A111&gt;=Model!$B$11,Model!$B$20,0))</f>
        <v/>
      </c>
      <c r="D111" s="7">
        <f>IF(A111="","",IF(A111&lt;$B$3+Model!$B$15,Model!$B$22,0))</f>
        <v/>
      </c>
      <c r="E111" s="7">
        <f>IF(A111="","",C111+D111)</f>
        <v/>
      </c>
      <c r="F111" s="7">
        <f>IF(A111="","",MAX(0,Model!$B$6-E111))</f>
        <v/>
      </c>
      <c r="G111" s="7">
        <f>IF(A111="","",F111/(1-Model!$B$9))</f>
        <v/>
      </c>
      <c r="H111" s="7">
        <f>IF(A111="","",MAX(0,B111-G111))</f>
        <v/>
      </c>
      <c r="I111" s="7">
        <f>IF(A111="","",H111*Model!$B$18)</f>
        <v/>
      </c>
      <c r="J111" s="7">
        <f>IF(A111="","",H111+I111)</f>
        <v/>
      </c>
    </row>
    <row r="112">
      <c r="A112">
        <f>IF(OR(A111="",A111&gt;=Model!$B$4),"",A111+1)</f>
        <v/>
      </c>
      <c r="B112" s="7">
        <f>IF(A112="","",J111)</f>
        <v/>
      </c>
      <c r="C112" s="7">
        <f>IF(A112="","",IF(A112&gt;=Model!$B$11,Model!$B$20,0))</f>
        <v/>
      </c>
      <c r="D112" s="7">
        <f>IF(A112="","",IF(A112&lt;$B$3+Model!$B$15,Model!$B$22,0))</f>
        <v/>
      </c>
      <c r="E112" s="7">
        <f>IF(A112="","",C112+D112)</f>
        <v/>
      </c>
      <c r="F112" s="7">
        <f>IF(A112="","",MAX(0,Model!$B$6-E112))</f>
        <v/>
      </c>
      <c r="G112" s="7">
        <f>IF(A112="","",F112/(1-Model!$B$9))</f>
        <v/>
      </c>
      <c r="H112" s="7">
        <f>IF(A112="","",MAX(0,B112-G112))</f>
        <v/>
      </c>
      <c r="I112" s="7">
        <f>IF(A112="","",H112*Model!$B$18)</f>
        <v/>
      </c>
      <c r="J112" s="7">
        <f>IF(A112="","",H112+I112)</f>
        <v/>
      </c>
    </row>
    <row r="113">
      <c r="A113">
        <f>IF(OR(A112="",A112&gt;=Model!$B$4),"",A112+1)</f>
        <v/>
      </c>
      <c r="B113" s="7">
        <f>IF(A113="","",J112)</f>
        <v/>
      </c>
      <c r="C113" s="7">
        <f>IF(A113="","",IF(A113&gt;=Model!$B$11,Model!$B$20,0))</f>
        <v/>
      </c>
      <c r="D113" s="7">
        <f>IF(A113="","",IF(A113&lt;$B$3+Model!$B$15,Model!$B$22,0))</f>
        <v/>
      </c>
      <c r="E113" s="7">
        <f>IF(A113="","",C113+D113)</f>
        <v/>
      </c>
      <c r="F113" s="7">
        <f>IF(A113="","",MAX(0,Model!$B$6-E113))</f>
        <v/>
      </c>
      <c r="G113" s="7">
        <f>IF(A113="","",F113/(1-Model!$B$9))</f>
        <v/>
      </c>
      <c r="H113" s="7">
        <f>IF(A113="","",MAX(0,B113-G113))</f>
        <v/>
      </c>
      <c r="I113" s="7">
        <f>IF(A113="","",H113*Model!$B$18)</f>
        <v/>
      </c>
      <c r="J113" s="7">
        <f>IF(A113="","",H113+I113)</f>
        <v/>
      </c>
    </row>
    <row r="114">
      <c r="A114">
        <f>IF(OR(A113="",A113&gt;=Model!$B$4),"",A113+1)</f>
        <v/>
      </c>
      <c r="B114" s="7">
        <f>IF(A114="","",J113)</f>
        <v/>
      </c>
      <c r="C114" s="7">
        <f>IF(A114="","",IF(A114&gt;=Model!$B$11,Model!$B$20,0))</f>
        <v/>
      </c>
      <c r="D114" s="7">
        <f>IF(A114="","",IF(A114&lt;$B$3+Model!$B$15,Model!$B$22,0))</f>
        <v/>
      </c>
      <c r="E114" s="7">
        <f>IF(A114="","",C114+D114)</f>
        <v/>
      </c>
      <c r="F114" s="7">
        <f>IF(A114="","",MAX(0,Model!$B$6-E114))</f>
        <v/>
      </c>
      <c r="G114" s="7">
        <f>IF(A114="","",F114/(1-Model!$B$9))</f>
        <v/>
      </c>
      <c r="H114" s="7">
        <f>IF(A114="","",MAX(0,B114-G114))</f>
        <v/>
      </c>
      <c r="I114" s="7">
        <f>IF(A114="","",H114*Model!$B$18)</f>
        <v/>
      </c>
      <c r="J114" s="7">
        <f>IF(A114="","",H114+I114)</f>
        <v/>
      </c>
    </row>
    <row r="115">
      <c r="A115">
        <f>IF(OR(A114="",A114&gt;=Model!$B$4),"",A114+1)</f>
        <v/>
      </c>
      <c r="B115" s="7">
        <f>IF(A115="","",J114)</f>
        <v/>
      </c>
      <c r="C115" s="7">
        <f>IF(A115="","",IF(A115&gt;=Model!$B$11,Model!$B$20,0))</f>
        <v/>
      </c>
      <c r="D115" s="7">
        <f>IF(A115="","",IF(A115&lt;$B$3+Model!$B$15,Model!$B$22,0))</f>
        <v/>
      </c>
      <c r="E115" s="7">
        <f>IF(A115="","",C115+D115)</f>
        <v/>
      </c>
      <c r="F115" s="7">
        <f>IF(A115="","",MAX(0,Model!$B$6-E115))</f>
        <v/>
      </c>
      <c r="G115" s="7">
        <f>IF(A115="","",F115/(1-Model!$B$9))</f>
        <v/>
      </c>
      <c r="H115" s="7">
        <f>IF(A115="","",MAX(0,B115-G115))</f>
        <v/>
      </c>
      <c r="I115" s="7">
        <f>IF(A115="","",H115*Model!$B$18)</f>
        <v/>
      </c>
      <c r="J115" s="7">
        <f>IF(A115="","",H115+I115)</f>
        <v/>
      </c>
    </row>
    <row r="116">
      <c r="A116">
        <f>IF(OR(A115="",A115&gt;=Model!$B$4),"",A115+1)</f>
        <v/>
      </c>
      <c r="B116" s="7">
        <f>IF(A116="","",J115)</f>
        <v/>
      </c>
      <c r="C116" s="7">
        <f>IF(A116="","",IF(A116&gt;=Model!$B$11,Model!$B$20,0))</f>
        <v/>
      </c>
      <c r="D116" s="7">
        <f>IF(A116="","",IF(A116&lt;$B$3+Model!$B$15,Model!$B$22,0))</f>
        <v/>
      </c>
      <c r="E116" s="7">
        <f>IF(A116="","",C116+D116)</f>
        <v/>
      </c>
      <c r="F116" s="7">
        <f>IF(A116="","",MAX(0,Model!$B$6-E116))</f>
        <v/>
      </c>
      <c r="G116" s="7">
        <f>IF(A116="","",F116/(1-Model!$B$9))</f>
        <v/>
      </c>
      <c r="H116" s="7">
        <f>IF(A116="","",MAX(0,B116-G116))</f>
        <v/>
      </c>
      <c r="I116" s="7">
        <f>IF(A116="","",H116*Model!$B$18)</f>
        <v/>
      </c>
      <c r="J116" s="7">
        <f>IF(A116="","",H116+I116)</f>
        <v/>
      </c>
    </row>
    <row r="117">
      <c r="A117">
        <f>IF(OR(A116="",A116&gt;=Model!$B$4),"",A116+1)</f>
        <v/>
      </c>
      <c r="B117" s="7">
        <f>IF(A117="","",J116)</f>
        <v/>
      </c>
      <c r="C117" s="7">
        <f>IF(A117="","",IF(A117&gt;=Model!$B$11,Model!$B$20,0))</f>
        <v/>
      </c>
      <c r="D117" s="7">
        <f>IF(A117="","",IF(A117&lt;$B$3+Model!$B$15,Model!$B$22,0))</f>
        <v/>
      </c>
      <c r="E117" s="7">
        <f>IF(A117="","",C117+D117)</f>
        <v/>
      </c>
      <c r="F117" s="7">
        <f>IF(A117="","",MAX(0,Model!$B$6-E117))</f>
        <v/>
      </c>
      <c r="G117" s="7">
        <f>IF(A117="","",F117/(1-Model!$B$9))</f>
        <v/>
      </c>
      <c r="H117" s="7">
        <f>IF(A117="","",MAX(0,B117-G117))</f>
        <v/>
      </c>
      <c r="I117" s="7">
        <f>IF(A117="","",H117*Model!$B$18)</f>
        <v/>
      </c>
      <c r="J117" s="7">
        <f>IF(A117="","",H117+I117)</f>
        <v/>
      </c>
    </row>
    <row r="118">
      <c r="A118">
        <f>IF(OR(A117="",A117&gt;=Model!$B$4),"",A117+1)</f>
        <v/>
      </c>
      <c r="B118" s="7">
        <f>IF(A118="","",J117)</f>
        <v/>
      </c>
      <c r="C118" s="7">
        <f>IF(A118="","",IF(A118&gt;=Model!$B$11,Model!$B$20,0))</f>
        <v/>
      </c>
      <c r="D118" s="7">
        <f>IF(A118="","",IF(A118&lt;$B$3+Model!$B$15,Model!$B$22,0))</f>
        <v/>
      </c>
      <c r="E118" s="7">
        <f>IF(A118="","",C118+D118)</f>
        <v/>
      </c>
      <c r="F118" s="7">
        <f>IF(A118="","",MAX(0,Model!$B$6-E118))</f>
        <v/>
      </c>
      <c r="G118" s="7">
        <f>IF(A118="","",F118/(1-Model!$B$9))</f>
        <v/>
      </c>
      <c r="H118" s="7">
        <f>IF(A118="","",MAX(0,B118-G118))</f>
        <v/>
      </c>
      <c r="I118" s="7">
        <f>IF(A118="","",H118*Model!$B$18)</f>
        <v/>
      </c>
      <c r="J118" s="7">
        <f>IF(A118="","",H118+I118)</f>
        <v/>
      </c>
    </row>
    <row r="119">
      <c r="A119">
        <f>IF(OR(A118="",A118&gt;=Model!$B$4),"",A118+1)</f>
        <v/>
      </c>
      <c r="B119" s="7">
        <f>IF(A119="","",J118)</f>
        <v/>
      </c>
      <c r="C119" s="7">
        <f>IF(A119="","",IF(A119&gt;=Model!$B$11,Model!$B$20,0))</f>
        <v/>
      </c>
      <c r="D119" s="7">
        <f>IF(A119="","",IF(A119&lt;$B$3+Model!$B$15,Model!$B$22,0))</f>
        <v/>
      </c>
      <c r="E119" s="7">
        <f>IF(A119="","",C119+D119)</f>
        <v/>
      </c>
      <c r="F119" s="7">
        <f>IF(A119="","",MAX(0,Model!$B$6-E119))</f>
        <v/>
      </c>
      <c r="G119" s="7">
        <f>IF(A119="","",F119/(1-Model!$B$9))</f>
        <v/>
      </c>
      <c r="H119" s="7">
        <f>IF(A119="","",MAX(0,B119-G119))</f>
        <v/>
      </c>
      <c r="I119" s="7">
        <f>IF(A119="","",H119*Model!$B$18)</f>
        <v/>
      </c>
      <c r="J119" s="7">
        <f>IF(A119="","",H119+I119)</f>
        <v/>
      </c>
    </row>
    <row r="120">
      <c r="A120">
        <f>IF(OR(A119="",A119&gt;=Model!$B$4),"",A119+1)</f>
        <v/>
      </c>
      <c r="B120" s="7">
        <f>IF(A120="","",J119)</f>
        <v/>
      </c>
      <c r="C120" s="7">
        <f>IF(A120="","",IF(A120&gt;=Model!$B$11,Model!$B$20,0))</f>
        <v/>
      </c>
      <c r="D120" s="7">
        <f>IF(A120="","",IF(A120&lt;$B$3+Model!$B$15,Model!$B$22,0))</f>
        <v/>
      </c>
      <c r="E120" s="7">
        <f>IF(A120="","",C120+D120)</f>
        <v/>
      </c>
      <c r="F120" s="7">
        <f>IF(A120="","",MAX(0,Model!$B$6-E120))</f>
        <v/>
      </c>
      <c r="G120" s="7">
        <f>IF(A120="","",F120/(1-Model!$B$9))</f>
        <v/>
      </c>
      <c r="H120" s="7">
        <f>IF(A120="","",MAX(0,B120-G120))</f>
        <v/>
      </c>
      <c r="I120" s="7">
        <f>IF(A120="","",H120*Model!$B$18)</f>
        <v/>
      </c>
      <c r="J120" s="7">
        <f>IF(A120="","",H120+I120)</f>
        <v/>
      </c>
    </row>
    <row r="121">
      <c r="A121">
        <f>IF(OR(A120="",A120&gt;=Model!$B$4),"",A120+1)</f>
        <v/>
      </c>
      <c r="B121" s="7">
        <f>IF(A121="","",J120)</f>
        <v/>
      </c>
      <c r="C121" s="7">
        <f>IF(A121="","",IF(A121&gt;=Model!$B$11,Model!$B$20,0))</f>
        <v/>
      </c>
      <c r="D121" s="7">
        <f>IF(A121="","",IF(A121&lt;$B$3+Model!$B$15,Model!$B$22,0))</f>
        <v/>
      </c>
      <c r="E121" s="7">
        <f>IF(A121="","",C121+D121)</f>
        <v/>
      </c>
      <c r="F121" s="7">
        <f>IF(A121="","",MAX(0,Model!$B$6-E121))</f>
        <v/>
      </c>
      <c r="G121" s="7">
        <f>IF(A121="","",F121/(1-Model!$B$9))</f>
        <v/>
      </c>
      <c r="H121" s="7">
        <f>IF(A121="","",MAX(0,B121-G121))</f>
        <v/>
      </c>
      <c r="I121" s="7">
        <f>IF(A121="","",H121*Model!$B$18)</f>
        <v/>
      </c>
      <c r="J121" s="7">
        <f>IF(A121="","",H121+I121)</f>
        <v/>
      </c>
    </row>
    <row r="122">
      <c r="A122">
        <f>IF(OR(A121="",A121&gt;=Model!$B$4),"",A121+1)</f>
        <v/>
      </c>
      <c r="B122" s="7">
        <f>IF(A122="","",J121)</f>
        <v/>
      </c>
      <c r="C122" s="7">
        <f>IF(A122="","",IF(A122&gt;=Model!$B$11,Model!$B$20,0))</f>
        <v/>
      </c>
      <c r="D122" s="7">
        <f>IF(A122="","",IF(A122&lt;$B$3+Model!$B$15,Model!$B$22,0))</f>
        <v/>
      </c>
      <c r="E122" s="7">
        <f>IF(A122="","",C122+D122)</f>
        <v/>
      </c>
      <c r="F122" s="7">
        <f>IF(A122="","",MAX(0,Model!$B$6-E122))</f>
        <v/>
      </c>
      <c r="G122" s="7">
        <f>IF(A122="","",F122/(1-Model!$B$9))</f>
        <v/>
      </c>
      <c r="H122" s="7">
        <f>IF(A122="","",MAX(0,B122-G122))</f>
        <v/>
      </c>
      <c r="I122" s="7">
        <f>IF(A122="","",H122*Model!$B$18)</f>
        <v/>
      </c>
      <c r="J122" s="7">
        <f>IF(A122="","",H122+I122)</f>
        <v/>
      </c>
    </row>
    <row r="123">
      <c r="A123">
        <f>IF(OR(A122="",A122&gt;=Model!$B$4),"",A122+1)</f>
        <v/>
      </c>
      <c r="B123" s="7">
        <f>IF(A123="","",J122)</f>
        <v/>
      </c>
      <c r="C123" s="7">
        <f>IF(A123="","",IF(A123&gt;=Model!$B$11,Model!$B$20,0))</f>
        <v/>
      </c>
      <c r="D123" s="7">
        <f>IF(A123="","",IF(A123&lt;$B$3+Model!$B$15,Model!$B$22,0))</f>
        <v/>
      </c>
      <c r="E123" s="7">
        <f>IF(A123="","",C123+D123)</f>
        <v/>
      </c>
      <c r="F123" s="7">
        <f>IF(A123="","",MAX(0,Model!$B$6-E123))</f>
        <v/>
      </c>
      <c r="G123" s="7">
        <f>IF(A123="","",F123/(1-Model!$B$9))</f>
        <v/>
      </c>
      <c r="H123" s="7">
        <f>IF(A123="","",MAX(0,B123-G123))</f>
        <v/>
      </c>
      <c r="I123" s="7">
        <f>IF(A123="","",H123*Model!$B$18)</f>
        <v/>
      </c>
      <c r="J123" s="7">
        <f>IF(A123="","",H123+I123)</f>
        <v/>
      </c>
    </row>
    <row r="124">
      <c r="A124">
        <f>IF(OR(A123="",A123&gt;=Model!$B$4),"",A123+1)</f>
        <v/>
      </c>
      <c r="B124" s="7">
        <f>IF(A124="","",J123)</f>
        <v/>
      </c>
      <c r="C124" s="7">
        <f>IF(A124="","",IF(A124&gt;=Model!$B$11,Model!$B$20,0))</f>
        <v/>
      </c>
      <c r="D124" s="7">
        <f>IF(A124="","",IF(A124&lt;$B$3+Model!$B$15,Model!$B$22,0))</f>
        <v/>
      </c>
      <c r="E124" s="7">
        <f>IF(A124="","",C124+D124)</f>
        <v/>
      </c>
      <c r="F124" s="7">
        <f>IF(A124="","",MAX(0,Model!$B$6-E124))</f>
        <v/>
      </c>
      <c r="G124" s="7">
        <f>IF(A124="","",F124/(1-Model!$B$9))</f>
        <v/>
      </c>
      <c r="H124" s="7">
        <f>IF(A124="","",MAX(0,B124-G124))</f>
        <v/>
      </c>
      <c r="I124" s="7">
        <f>IF(A124="","",H124*Model!$B$18)</f>
        <v/>
      </c>
      <c r="J124" s="7">
        <f>IF(A124="","",H124+I124)</f>
        <v/>
      </c>
    </row>
    <row r="125">
      <c r="A125">
        <f>IF(OR(A124="",A124&gt;=Model!$B$4),"",A124+1)</f>
        <v/>
      </c>
      <c r="B125" s="7">
        <f>IF(A125="","",J124)</f>
        <v/>
      </c>
      <c r="C125" s="7">
        <f>IF(A125="","",IF(A125&gt;=Model!$B$11,Model!$B$20,0))</f>
        <v/>
      </c>
      <c r="D125" s="7">
        <f>IF(A125="","",IF(A125&lt;$B$3+Model!$B$15,Model!$B$22,0))</f>
        <v/>
      </c>
      <c r="E125" s="7">
        <f>IF(A125="","",C125+D125)</f>
        <v/>
      </c>
      <c r="F125" s="7">
        <f>IF(A125="","",MAX(0,Model!$B$6-E125))</f>
        <v/>
      </c>
      <c r="G125" s="7">
        <f>IF(A125="","",F125/(1-Model!$B$9))</f>
        <v/>
      </c>
      <c r="H125" s="7">
        <f>IF(A125="","",MAX(0,B125-G125))</f>
        <v/>
      </c>
      <c r="I125" s="7">
        <f>IF(A125="","",H125*Model!$B$18)</f>
        <v/>
      </c>
      <c r="J125" s="7">
        <f>IF(A125="","",H125+I125)</f>
        <v/>
      </c>
    </row>
    <row r="126">
      <c r="A126">
        <f>IF(OR(A125="",A125&gt;=Model!$B$4),"",A125+1)</f>
        <v/>
      </c>
      <c r="B126" s="7">
        <f>IF(A126="","",J125)</f>
        <v/>
      </c>
      <c r="C126" s="7">
        <f>IF(A126="","",IF(A126&gt;=Model!$B$11,Model!$B$20,0))</f>
        <v/>
      </c>
      <c r="D126" s="7">
        <f>IF(A126="","",IF(A126&lt;$B$3+Model!$B$15,Model!$B$22,0))</f>
        <v/>
      </c>
      <c r="E126" s="7">
        <f>IF(A126="","",C126+D126)</f>
        <v/>
      </c>
      <c r="F126" s="7">
        <f>IF(A126="","",MAX(0,Model!$B$6-E126))</f>
        <v/>
      </c>
      <c r="G126" s="7">
        <f>IF(A126="","",F126/(1-Model!$B$9))</f>
        <v/>
      </c>
      <c r="H126" s="7">
        <f>IF(A126="","",MAX(0,B126-G126))</f>
        <v/>
      </c>
      <c r="I126" s="7">
        <f>IF(A126="","",H126*Model!$B$18)</f>
        <v/>
      </c>
      <c r="J126" s="7">
        <f>IF(A126="","",H126+I126)</f>
        <v/>
      </c>
    </row>
    <row r="127">
      <c r="A127">
        <f>IF(OR(A126="",A126&gt;=Model!$B$4),"",A126+1)</f>
        <v/>
      </c>
      <c r="B127" s="7">
        <f>IF(A127="","",J126)</f>
        <v/>
      </c>
      <c r="C127" s="7">
        <f>IF(A127="","",IF(A127&gt;=Model!$B$11,Model!$B$20,0))</f>
        <v/>
      </c>
      <c r="D127" s="7">
        <f>IF(A127="","",IF(A127&lt;$B$3+Model!$B$15,Model!$B$22,0))</f>
        <v/>
      </c>
      <c r="E127" s="7">
        <f>IF(A127="","",C127+D127)</f>
        <v/>
      </c>
      <c r="F127" s="7">
        <f>IF(A127="","",MAX(0,Model!$B$6-E127))</f>
        <v/>
      </c>
      <c r="G127" s="7">
        <f>IF(A127="","",F127/(1-Model!$B$9))</f>
        <v/>
      </c>
      <c r="H127" s="7">
        <f>IF(A127="","",MAX(0,B127-G127))</f>
        <v/>
      </c>
      <c r="I127" s="7">
        <f>IF(A127="","",H127*Model!$B$18)</f>
        <v/>
      </c>
      <c r="J127" s="7">
        <f>IF(A127="","",H127+I127)</f>
        <v/>
      </c>
    </row>
    <row r="128">
      <c r="A128">
        <f>IF(OR(A127="",A127&gt;=Model!$B$4),"",A127+1)</f>
        <v/>
      </c>
      <c r="B128" s="7">
        <f>IF(A128="","",J127)</f>
        <v/>
      </c>
      <c r="C128" s="7">
        <f>IF(A128="","",IF(A128&gt;=Model!$B$11,Model!$B$20,0))</f>
        <v/>
      </c>
      <c r="D128" s="7">
        <f>IF(A128="","",IF(A128&lt;$B$3+Model!$B$15,Model!$B$22,0))</f>
        <v/>
      </c>
      <c r="E128" s="7">
        <f>IF(A128="","",C128+D128)</f>
        <v/>
      </c>
      <c r="F128" s="7">
        <f>IF(A128="","",MAX(0,Model!$B$6-E128))</f>
        <v/>
      </c>
      <c r="G128" s="7">
        <f>IF(A128="","",F128/(1-Model!$B$9))</f>
        <v/>
      </c>
      <c r="H128" s="7">
        <f>IF(A128="","",MAX(0,B128-G128))</f>
        <v/>
      </c>
      <c r="I128" s="7">
        <f>IF(A128="","",H128*Model!$B$18)</f>
        <v/>
      </c>
      <c r="J128" s="7">
        <f>IF(A128="","",H128+I128)</f>
        <v/>
      </c>
    </row>
  </sheetData>
  <autoFilter ref="A7:J12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2026-07-30T08:23:12+00:00Z</dcterms:created>
  <dcterms:modified xmlns:dcterms="http://purl.org/dc/terms/" xmlns:xsi="http://www.w3.org/2001/XMLSchema-instance" xsi:type="dcterms:W3CDTF">2026-07-30T08:23:12+00:00Z</dcterms:modified>
</cp:coreProperties>
</file>