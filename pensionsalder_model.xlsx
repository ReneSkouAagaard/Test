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Aarlig projektion" sheetId="2" state="visible" r:id="rId2"/>
    <sheet xmlns:r="http://schemas.openxmlformats.org/officeDocument/2006/relationships" name="Udbetalingsplan" sheetId="3" state="visible" r:id="rId3"/>
  </sheets>
  <definedNames>
    <definedName name="_xlnm._FilterDatabase" localSheetId="1" hidden="1">'Aarlig projektion'!$A$1:$M$122</definedName>
    <definedName name="_xlnm._FilterDatabase" localSheetId="2" hidden="1">'Udbetalingsplan'!$A$7:$J$128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#,##0 &quot;kr&quot;"/>
  </numFmts>
  <fonts count="5">
    <font>
      <name val="Calibri"/>
      <family val="2"/>
      <color theme="1"/>
      <sz val="11"/>
      <scheme val="minor"/>
    </font>
    <font>
      <b val="1"/>
      <sz val="18"/>
    </font>
    <font>
      <b val="1"/>
      <sz val="13"/>
    </font>
    <font>
      <b val="1"/>
      <color rgb="00FFFFFF"/>
    </font>
    <font>
      <b val="1"/>
      <sz val="16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0" fontId="0" fillId="2" borderId="0" pivotButton="0" quotePrefix="0" xfId="0"/>
    <xf numFmtId="10" fontId="0" fillId="0" borderId="0" pivotButton="0" quotePrefix="0" xfId="0"/>
    <xf numFmtId="164" fontId="0" fillId="0" borderId="0" pivotButton="0" quotePrefix="0" xfId="0"/>
    <xf numFmtId="0" fontId="3" fillId="3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Portefolje vs. behov</a:t>
            </a:r>
          </a:p>
        </rich>
      </tx>
    </title>
    <plotArea>
      <lineChart>
        <grouping val="standard"/>
        <ser>
          <idx val="0"/>
          <order val="0"/>
          <tx>
            <strRef>
              <f>'Aarlig projektion'!C1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'Aarlig projektion'!$A$2:$A$122</f>
            </numRef>
          </cat>
          <val>
            <numRef>
              <f>'Aarlig projektion'!$C$2:$C$122</f>
            </numRef>
          </val>
        </ser>
        <ser>
          <idx val="1"/>
          <order val="1"/>
          <tx>
            <strRef>
              <f>'Aarlig projektion'!D1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'Aarlig projektion'!$A$2:$A$122</f>
            </numRef>
          </cat>
          <val>
            <numRef>
              <f>'Aarlig projektion'!$D$2:$D$122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Alder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28" customWidth="1" min="3" max="3"/>
  </cols>
  <sheetData>
    <row r="1">
      <c r="A1" s="1" t="inlineStr">
        <is>
          <t>Pensionsalder model</t>
        </is>
      </c>
    </row>
    <row r="3">
      <c r="A3" s="2" t="inlineStr">
        <is>
          <t>Input</t>
        </is>
      </c>
    </row>
    <row r="4">
      <c r="A4" t="inlineStr">
        <is>
          <t>Levealder</t>
        </is>
      </c>
      <c r="B4" s="3" t="n">
        <v>95</v>
      </c>
      <c r="C4" t="inlineStr">
        <is>
          <t>aar</t>
        </is>
      </c>
    </row>
    <row r="5">
      <c r="A5" t="inlineStr">
        <is>
          <t>Nuvaerende portefolje</t>
        </is>
      </c>
      <c r="B5" s="4" t="n">
        <v>7000000</v>
      </c>
      <c r="C5" t="inlineStr">
        <is>
          <t>kr</t>
        </is>
      </c>
    </row>
    <row r="6">
      <c r="A6" t="inlineStr">
        <is>
          <t>Aarligt forbrug efter skat</t>
        </is>
      </c>
      <c r="B6" s="4" t="n">
        <v>800000</v>
      </c>
      <c r="C6" t="inlineStr">
        <is>
          <t>kr i dag</t>
        </is>
      </c>
    </row>
    <row r="7">
      <c r="A7" t="inlineStr">
        <is>
          <t>Aarligt afkast REAL foer skat</t>
        </is>
      </c>
      <c r="B7" s="5" t="n">
        <v>0.07000000000000001</v>
      </c>
      <c r="C7" t="inlineStr">
        <is>
          <t>%</t>
        </is>
      </c>
    </row>
    <row r="8">
      <c r="A8" t="inlineStr">
        <is>
          <t>Skat paa afkast</t>
        </is>
      </c>
      <c r="B8" s="5" t="n">
        <v>0.22</v>
      </c>
      <c r="C8" t="inlineStr">
        <is>
          <t>%</t>
        </is>
      </c>
    </row>
    <row r="9">
      <c r="A9" t="inlineStr">
        <is>
          <t>Skat paa udbetalinger</t>
        </is>
      </c>
      <c r="B9" s="5" t="n">
        <v>0.38</v>
      </c>
      <c r="C9" t="inlineStr">
        <is>
          <t>%</t>
        </is>
      </c>
    </row>
    <row r="10">
      <c r="A10" t="inlineStr">
        <is>
          <t>Nuvaerende alder</t>
        </is>
      </c>
      <c r="B10" s="3" t="n">
        <v>35</v>
      </c>
      <c r="C10" t="inlineStr">
        <is>
          <t>aar</t>
        </is>
      </c>
    </row>
    <row r="11">
      <c r="A11" t="inlineStr">
        <is>
          <t>Offentlig pensionsudbetaling start</t>
        </is>
      </c>
      <c r="B11" s="3" t="n">
        <v>73</v>
      </c>
      <c r="C11" t="inlineStr">
        <is>
          <t>aar</t>
        </is>
      </c>
    </row>
    <row r="12">
      <c r="A12" t="inlineStr">
        <is>
          <t>Sats for offentlig pension foer skat</t>
        </is>
      </c>
      <c r="B12" s="4" t="n">
        <v>7544</v>
      </c>
      <c r="C12" t="inlineStr">
        <is>
          <t>kr pr maaned i dag</t>
        </is>
      </c>
    </row>
    <row r="13">
      <c r="A13" t="inlineStr">
        <is>
          <t>Inflation til nominelle visninger</t>
        </is>
      </c>
      <c r="B13" s="5" t="n">
        <v>0.02</v>
      </c>
      <c r="C13" t="inlineStr">
        <is>
          <t>%</t>
        </is>
      </c>
    </row>
    <row r="14">
      <c r="A14" t="inlineStr">
        <is>
          <t>Bijob efter pensionsalder foer skat</t>
        </is>
      </c>
      <c r="B14" s="4" t="n">
        <v>10000</v>
      </c>
      <c r="C14" t="inlineStr">
        <is>
          <t>kr pr maaned i dag</t>
        </is>
      </c>
    </row>
    <row r="15">
      <c r="A15" t="inlineStr">
        <is>
          <t>Bijob varighed efter pensionsalder</t>
        </is>
      </c>
      <c r="B15" s="3" t="n">
        <v>10</v>
      </c>
      <c r="C15" t="inlineStr">
        <is>
          <t>aar</t>
        </is>
      </c>
    </row>
    <row r="17">
      <c r="A17" s="2" t="inlineStr">
        <is>
          <t>Beregninger</t>
        </is>
      </c>
    </row>
    <row r="18">
      <c r="A18" t="inlineStr">
        <is>
          <t>Aarligt realafkast efter skat</t>
        </is>
      </c>
      <c r="B18" s="6">
        <f>B7*(1-B8)</f>
        <v/>
      </c>
    </row>
    <row r="19">
      <c r="A19" t="inlineStr">
        <is>
          <t>Offentlig pension foer skat, aarligt</t>
        </is>
      </c>
      <c r="B19" s="7">
        <f>B12*12</f>
        <v/>
      </c>
    </row>
    <row r="20">
      <c r="A20" t="inlineStr">
        <is>
          <t>Offentlig pension efter skat, aarligt</t>
        </is>
      </c>
      <c r="B20" s="7">
        <f>B19*(1-B9)</f>
        <v/>
      </c>
    </row>
    <row r="21">
      <c r="A21" t="inlineStr">
        <is>
          <t>Bijob foer skat, aarligt</t>
        </is>
      </c>
      <c r="B21" s="7">
        <f>B14*12</f>
        <v/>
      </c>
    </row>
    <row r="22">
      <c r="A22" t="inlineStr">
        <is>
          <t>Bijob efter skat, aarligt</t>
        </is>
      </c>
      <c r="B22" s="7">
        <f>B21*(1-B9)</f>
        <v/>
      </c>
    </row>
    <row r="23">
      <c r="A23" t="inlineStr">
        <is>
          <t>Bijob varighed</t>
        </is>
      </c>
      <c r="B23">
        <f>B15</f>
        <v/>
      </c>
    </row>
    <row r="24">
      <c r="A24" t="inlineStr">
        <is>
          <t>Optimal pensionsalder</t>
        </is>
      </c>
      <c r="B24">
        <f>IFERROR(INDEX('Aarlig projektion'!A2:A122,MATCH(TRUE,'Aarlig projektion'!K2:K122,0)),"Ikke opnaaet")</f>
        <v/>
      </c>
    </row>
    <row r="25">
      <c r="A25" t="inlineStr">
        <is>
          <t>Portefolje ved optimal alder</t>
        </is>
      </c>
      <c r="B25" s="7">
        <f>IF(ISNUMBER(B24),INDEX('Aarlig projektion'!C2:C122,MATCH(B24,'Aarlig projektion'!A2:A122,0)),"")</f>
        <v/>
      </c>
    </row>
    <row r="26">
      <c r="A26" t="inlineStr">
        <is>
          <t>Behov ved optimal alder</t>
        </is>
      </c>
      <c r="B26" s="7">
        <f>IF(ISNUMBER(B24),INDEX('Aarlig projektion'!D2:D122,MATCH(B24,'Aarlig projektion'!A2:A122,0)),"")</f>
        <v/>
      </c>
    </row>
    <row r="27">
      <c r="A27" t="inlineStr">
        <is>
          <t>Margin ved optimal alder</t>
        </is>
      </c>
      <c r="B27" s="7">
        <f>IF(ISNUMBER(B24),B25-B26,"")</f>
        <v/>
      </c>
    </row>
    <row r="29">
      <c r="A29" s="2" t="inlineStr">
        <is>
          <t>Antagelser</t>
        </is>
      </c>
    </row>
    <row r="30">
      <c r="A30" t="inlineStr">
        <is>
          <t>Alle hovedbeloeb er i realkroner, fordi afkastinput er realt.</t>
        </is>
      </c>
    </row>
    <row r="31">
      <c r="A31" t="inlineStr">
        <is>
          <t>Offentlig pension antages fuldt inflationsjusteret, saa dens reale koebekraft er konstant.</t>
        </is>
      </c>
    </row>
    <row r="32">
      <c r="A32" t="inlineStr">
        <is>
          <t>Bijob antages at starte ved pensionsalderen, loebe i det valgte antal aar og have konstant real koebekraft.</t>
        </is>
      </c>
    </row>
    <row r="33">
      <c r="A33" t="inlineStr">
        <is>
          <t>Portefoljebehovet er brutto foer udbetalingsskat og beregnes, saa portefoljen er 0 kr ved slutningen af levealderen.</t>
        </is>
      </c>
    </row>
    <row r="34">
      <c r="A34" t="inlineStr">
        <is>
          <t>Udbetalinger antages at ske ved starten af hvert pensionsaar; resterende saldo investeres fortsat.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D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  <col hidden="1" width="13" customWidth="1" min="70" max="70"/>
    <col hidden="1" width="13" customWidth="1" min="71" max="71"/>
    <col hidden="1" width="13" customWidth="1" min="72" max="72"/>
    <col hidden="1" width="13" customWidth="1" min="73" max="73"/>
    <col hidden="1" width="13" customWidth="1" min="74" max="74"/>
    <col hidden="1" width="13" customWidth="1" min="75" max="75"/>
    <col hidden="1" width="13" customWidth="1" min="76" max="76"/>
    <col hidden="1" width="13" customWidth="1" min="77" max="77"/>
    <col hidden="1" width="13" customWidth="1" min="78" max="78"/>
    <col hidden="1" width="13" customWidth="1" min="79" max="79"/>
    <col hidden="1" width="13" customWidth="1" min="80" max="80"/>
    <col hidden="1" width="13" customWidth="1" min="81" max="81"/>
    <col hidden="1" width="13" customWidth="1" min="82" max="82"/>
    <col hidden="1" width="13" customWidth="1" min="83" max="83"/>
    <col hidden="1" width="13" customWidth="1" min="84" max="84"/>
    <col hidden="1" width="13" customWidth="1" min="85" max="85"/>
    <col hidden="1" width="13" customWidth="1" min="86" max="86"/>
    <col hidden="1" width="13" customWidth="1" min="87" max="87"/>
    <col hidden="1" width="13" customWidth="1" min="88" max="88"/>
    <col hidden="1" width="13" customWidth="1" min="89" max="89"/>
    <col hidden="1" width="13" customWidth="1" min="90" max="90"/>
    <col hidden="1" width="13" customWidth="1" min="91" max="91"/>
    <col hidden="1" width="13" customWidth="1" min="92" max="92"/>
    <col hidden="1" width="13" customWidth="1" min="93" max="93"/>
    <col hidden="1" width="13" customWidth="1" min="94" max="94"/>
    <col hidden="1" width="13" customWidth="1" min="95" max="95"/>
    <col hidden="1" width="13" customWidth="1" min="96" max="96"/>
    <col hidden="1" width="13" customWidth="1" min="97" max="97"/>
    <col hidden="1" width="13" customWidth="1" min="98" max="98"/>
    <col hidden="1" width="13" customWidth="1" min="99" max="99"/>
    <col hidden="1" width="13" customWidth="1" min="100" max="100"/>
    <col hidden="1" width="13" customWidth="1" min="101" max="101"/>
    <col hidden="1" width="13" customWidth="1" min="102" max="102"/>
    <col hidden="1" width="13" customWidth="1" min="103" max="103"/>
    <col hidden="1" width="13" customWidth="1" min="104" max="104"/>
    <col hidden="1" width="13" customWidth="1" min="105" max="105"/>
    <col hidden="1" width="13" customWidth="1" min="106" max="106"/>
    <col hidden="1" width="13" customWidth="1" min="107" max="107"/>
    <col hidden="1" width="13" customWidth="1" min="108" max="108"/>
    <col hidden="1" width="13" customWidth="1" min="109" max="109"/>
    <col hidden="1" width="13" customWidth="1" min="110" max="110"/>
    <col hidden="1" width="13" customWidth="1" min="111" max="111"/>
    <col hidden="1" width="13" customWidth="1" min="112" max="112"/>
    <col hidden="1" width="13" customWidth="1" min="113" max="113"/>
    <col hidden="1" width="13" customWidth="1" min="114" max="114"/>
    <col hidden="1" width="13" customWidth="1" min="115" max="115"/>
    <col hidden="1" width="13" customWidth="1" min="116" max="116"/>
    <col hidden="1" width="13" customWidth="1" min="117" max="117"/>
    <col hidden="1" width="13" customWidth="1" min="118" max="118"/>
    <col hidden="1" width="13" customWidth="1" min="119" max="119"/>
    <col hidden="1" width="13" customWidth="1" min="120" max="120"/>
    <col hidden="1" width="13" customWidth="1" min="121" max="121"/>
    <col hidden="1" width="13" customWidth="1" min="122" max="122"/>
    <col hidden="1" width="13" customWidth="1" min="123" max="123"/>
    <col hidden="1" width="13" customWidth="1" min="124" max="124"/>
    <col hidden="1" width="13" customWidth="1" min="125" max="125"/>
    <col hidden="1" width="13" customWidth="1" min="126" max="126"/>
    <col hidden="1" width="13" customWidth="1" min="127" max="127"/>
    <col hidden="1" width="13" customWidth="1" min="128" max="128"/>
    <col hidden="1" width="13" customWidth="1" min="129" max="129"/>
    <col hidden="1" width="13" customWidth="1" min="130" max="130"/>
    <col hidden="1" width="13" customWidth="1" min="131" max="131"/>
    <col hidden="1" width="13" customWidth="1" min="132" max="132"/>
    <col hidden="1" width="13" customWidth="1" min="133" max="133"/>
    <col hidden="1" width="13" customWidth="1" min="134" max="134"/>
  </cols>
  <sheetData>
    <row r="1">
      <c r="A1" s="8" t="inlineStr">
        <is>
          <t>Alder</t>
        </is>
      </c>
      <c r="B1" s="8" t="inlineStr">
        <is>
          <t>Aar fra nu</t>
        </is>
      </c>
      <c r="C1" s="8" t="inlineStr">
        <is>
          <t>Forventet portefolje</t>
        </is>
      </c>
      <c r="D1" s="8" t="inlineStr">
        <is>
          <t>Nodvendig portefolje</t>
        </is>
      </c>
      <c r="E1" s="8" t="inlineStr">
        <is>
          <t>Offentlig pension efter skat</t>
        </is>
      </c>
      <c r="F1" s="8" t="inlineStr">
        <is>
          <t>Bijob efter skat i foerste pensionsaar</t>
        </is>
      </c>
      <c r="G1" s="8" t="inlineStr">
        <is>
          <t>Samlet indkomst efter skat i foerste pensionsaar</t>
        </is>
      </c>
      <c r="H1" s="8" t="inlineStr">
        <is>
          <t>Nettoforbrug fra portefolje</t>
        </is>
      </c>
      <c r="I1" s="8" t="inlineStr">
        <is>
          <t>Brutto udbetaling fra portefolje</t>
        </is>
      </c>
      <c r="J1" s="8" t="inlineStr">
        <is>
          <t>Margin</t>
        </is>
      </c>
      <c r="K1" s="8" t="inlineStr">
        <is>
          <t>Kan pensioneres</t>
        </is>
      </c>
      <c r="L1" s="8" t="inlineStr">
        <is>
          <t>Offentlig pension nominelt foer skat</t>
        </is>
      </c>
      <c r="M1" s="8" t="inlineStr">
        <is>
          <t>Bijob nominelt foer skat i foerste pensionsaar</t>
        </is>
      </c>
      <c r="N1" t="inlineStr">
        <is>
          <t>PV behov +0 aar</t>
        </is>
      </c>
      <c r="O1" t="inlineStr">
        <is>
          <t>PV behov +1 aar</t>
        </is>
      </c>
      <c r="P1" t="inlineStr">
        <is>
          <t>PV behov +2 aar</t>
        </is>
      </c>
      <c r="Q1" t="inlineStr">
        <is>
          <t>PV behov +3 aar</t>
        </is>
      </c>
      <c r="R1" t="inlineStr">
        <is>
          <t>PV behov +4 aar</t>
        </is>
      </c>
      <c r="S1" t="inlineStr">
        <is>
          <t>PV behov +5 aar</t>
        </is>
      </c>
      <c r="T1" t="inlineStr">
        <is>
          <t>PV behov +6 aar</t>
        </is>
      </c>
      <c r="U1" t="inlineStr">
        <is>
          <t>PV behov +7 aar</t>
        </is>
      </c>
      <c r="V1" t="inlineStr">
        <is>
          <t>PV behov +8 aar</t>
        </is>
      </c>
      <c r="W1" t="inlineStr">
        <is>
          <t>PV behov +9 aar</t>
        </is>
      </c>
      <c r="X1" t="inlineStr">
        <is>
          <t>PV behov +10 aar</t>
        </is>
      </c>
      <c r="Y1" t="inlineStr">
        <is>
          <t>PV behov +11 aar</t>
        </is>
      </c>
      <c r="Z1" t="inlineStr">
        <is>
          <t>PV behov +12 aar</t>
        </is>
      </c>
      <c r="AA1" t="inlineStr">
        <is>
          <t>PV behov +13 aar</t>
        </is>
      </c>
      <c r="AB1" t="inlineStr">
        <is>
          <t>PV behov +14 aar</t>
        </is>
      </c>
      <c r="AC1" t="inlineStr">
        <is>
          <t>PV behov +15 aar</t>
        </is>
      </c>
      <c r="AD1" t="inlineStr">
        <is>
          <t>PV behov +16 aar</t>
        </is>
      </c>
      <c r="AE1" t="inlineStr">
        <is>
          <t>PV behov +17 aar</t>
        </is>
      </c>
      <c r="AF1" t="inlineStr">
        <is>
          <t>PV behov +18 aar</t>
        </is>
      </c>
      <c r="AG1" t="inlineStr">
        <is>
          <t>PV behov +19 aar</t>
        </is>
      </c>
      <c r="AH1" t="inlineStr">
        <is>
          <t>PV behov +20 aar</t>
        </is>
      </c>
      <c r="AI1" t="inlineStr">
        <is>
          <t>PV behov +21 aar</t>
        </is>
      </c>
      <c r="AJ1" t="inlineStr">
        <is>
          <t>PV behov +22 aar</t>
        </is>
      </c>
      <c r="AK1" t="inlineStr">
        <is>
          <t>PV behov +23 aar</t>
        </is>
      </c>
      <c r="AL1" t="inlineStr">
        <is>
          <t>PV behov +24 aar</t>
        </is>
      </c>
      <c r="AM1" t="inlineStr">
        <is>
          <t>PV behov +25 aar</t>
        </is>
      </c>
      <c r="AN1" t="inlineStr">
        <is>
          <t>PV behov +26 aar</t>
        </is>
      </c>
      <c r="AO1" t="inlineStr">
        <is>
          <t>PV behov +27 aar</t>
        </is>
      </c>
      <c r="AP1" t="inlineStr">
        <is>
          <t>PV behov +28 aar</t>
        </is>
      </c>
      <c r="AQ1" t="inlineStr">
        <is>
          <t>PV behov +29 aar</t>
        </is>
      </c>
      <c r="AR1" t="inlineStr">
        <is>
          <t>PV behov +30 aar</t>
        </is>
      </c>
      <c r="AS1" t="inlineStr">
        <is>
          <t>PV behov +31 aar</t>
        </is>
      </c>
      <c r="AT1" t="inlineStr">
        <is>
          <t>PV behov +32 aar</t>
        </is>
      </c>
      <c r="AU1" t="inlineStr">
        <is>
          <t>PV behov +33 aar</t>
        </is>
      </c>
      <c r="AV1" t="inlineStr">
        <is>
          <t>PV behov +34 aar</t>
        </is>
      </c>
      <c r="AW1" t="inlineStr">
        <is>
          <t>PV behov +35 aar</t>
        </is>
      </c>
      <c r="AX1" t="inlineStr">
        <is>
          <t>PV behov +36 aar</t>
        </is>
      </c>
      <c r="AY1" t="inlineStr">
        <is>
          <t>PV behov +37 aar</t>
        </is>
      </c>
      <c r="AZ1" t="inlineStr">
        <is>
          <t>PV behov +38 aar</t>
        </is>
      </c>
      <c r="BA1" t="inlineStr">
        <is>
          <t>PV behov +39 aar</t>
        </is>
      </c>
      <c r="BB1" t="inlineStr">
        <is>
          <t>PV behov +40 aar</t>
        </is>
      </c>
      <c r="BC1" t="inlineStr">
        <is>
          <t>PV behov +41 aar</t>
        </is>
      </c>
      <c r="BD1" t="inlineStr">
        <is>
          <t>PV behov +42 aar</t>
        </is>
      </c>
      <c r="BE1" t="inlineStr">
        <is>
          <t>PV behov +43 aar</t>
        </is>
      </c>
      <c r="BF1" t="inlineStr">
        <is>
          <t>PV behov +44 aar</t>
        </is>
      </c>
      <c r="BG1" t="inlineStr">
        <is>
          <t>PV behov +45 aar</t>
        </is>
      </c>
      <c r="BH1" t="inlineStr">
        <is>
          <t>PV behov +46 aar</t>
        </is>
      </c>
      <c r="BI1" t="inlineStr">
        <is>
          <t>PV behov +47 aar</t>
        </is>
      </c>
      <c r="BJ1" t="inlineStr">
        <is>
          <t>PV behov +48 aar</t>
        </is>
      </c>
      <c r="BK1" t="inlineStr">
        <is>
          <t>PV behov +49 aar</t>
        </is>
      </c>
      <c r="BL1" t="inlineStr">
        <is>
          <t>PV behov +50 aar</t>
        </is>
      </c>
      <c r="BM1" t="inlineStr">
        <is>
          <t>PV behov +51 aar</t>
        </is>
      </c>
      <c r="BN1" t="inlineStr">
        <is>
          <t>PV behov +52 aar</t>
        </is>
      </c>
      <c r="BO1" t="inlineStr">
        <is>
          <t>PV behov +53 aar</t>
        </is>
      </c>
      <c r="BP1" t="inlineStr">
        <is>
          <t>PV behov +54 aar</t>
        </is>
      </c>
      <c r="BQ1" t="inlineStr">
        <is>
          <t>PV behov +55 aar</t>
        </is>
      </c>
      <c r="BR1" t="inlineStr">
        <is>
          <t>PV behov +56 aar</t>
        </is>
      </c>
      <c r="BS1" t="inlineStr">
        <is>
          <t>PV behov +57 aar</t>
        </is>
      </c>
      <c r="BT1" t="inlineStr">
        <is>
          <t>PV behov +58 aar</t>
        </is>
      </c>
      <c r="BU1" t="inlineStr">
        <is>
          <t>PV behov +59 aar</t>
        </is>
      </c>
      <c r="BV1" t="inlineStr">
        <is>
          <t>PV behov +60 aar</t>
        </is>
      </c>
      <c r="BW1" t="inlineStr">
        <is>
          <t>PV behov +61 aar</t>
        </is>
      </c>
      <c r="BX1" t="inlineStr">
        <is>
          <t>PV behov +62 aar</t>
        </is>
      </c>
      <c r="BY1" t="inlineStr">
        <is>
          <t>PV behov +63 aar</t>
        </is>
      </c>
      <c r="BZ1" t="inlineStr">
        <is>
          <t>PV behov +64 aar</t>
        </is>
      </c>
      <c r="CA1" t="inlineStr">
        <is>
          <t>PV behov +65 aar</t>
        </is>
      </c>
      <c r="CB1" t="inlineStr">
        <is>
          <t>PV behov +66 aar</t>
        </is>
      </c>
      <c r="CC1" t="inlineStr">
        <is>
          <t>PV behov +67 aar</t>
        </is>
      </c>
      <c r="CD1" t="inlineStr">
        <is>
          <t>PV behov +68 aar</t>
        </is>
      </c>
      <c r="CE1" t="inlineStr">
        <is>
          <t>PV behov +69 aar</t>
        </is>
      </c>
      <c r="CF1" t="inlineStr">
        <is>
          <t>PV behov +70 aar</t>
        </is>
      </c>
      <c r="CG1" t="inlineStr">
        <is>
          <t>PV behov +71 aar</t>
        </is>
      </c>
      <c r="CH1" t="inlineStr">
        <is>
          <t>PV behov +72 aar</t>
        </is>
      </c>
      <c r="CI1" t="inlineStr">
        <is>
          <t>PV behov +73 aar</t>
        </is>
      </c>
      <c r="CJ1" t="inlineStr">
        <is>
          <t>PV behov +74 aar</t>
        </is>
      </c>
      <c r="CK1" t="inlineStr">
        <is>
          <t>PV behov +75 aar</t>
        </is>
      </c>
      <c r="CL1" t="inlineStr">
        <is>
          <t>PV behov +76 aar</t>
        </is>
      </c>
      <c r="CM1" t="inlineStr">
        <is>
          <t>PV behov +77 aar</t>
        </is>
      </c>
      <c r="CN1" t="inlineStr">
        <is>
          <t>PV behov +78 aar</t>
        </is>
      </c>
      <c r="CO1" t="inlineStr">
        <is>
          <t>PV behov +79 aar</t>
        </is>
      </c>
      <c r="CP1" t="inlineStr">
        <is>
          <t>PV behov +80 aar</t>
        </is>
      </c>
      <c r="CQ1" t="inlineStr">
        <is>
          <t>PV behov +81 aar</t>
        </is>
      </c>
      <c r="CR1" t="inlineStr">
        <is>
          <t>PV behov +82 aar</t>
        </is>
      </c>
      <c r="CS1" t="inlineStr">
        <is>
          <t>PV behov +83 aar</t>
        </is>
      </c>
      <c r="CT1" t="inlineStr">
        <is>
          <t>PV behov +84 aar</t>
        </is>
      </c>
      <c r="CU1" t="inlineStr">
        <is>
          <t>PV behov +85 aar</t>
        </is>
      </c>
      <c r="CV1" t="inlineStr">
        <is>
          <t>PV behov +86 aar</t>
        </is>
      </c>
      <c r="CW1" t="inlineStr">
        <is>
          <t>PV behov +87 aar</t>
        </is>
      </c>
      <c r="CX1" t="inlineStr">
        <is>
          <t>PV behov +88 aar</t>
        </is>
      </c>
      <c r="CY1" t="inlineStr">
        <is>
          <t>PV behov +89 aar</t>
        </is>
      </c>
      <c r="CZ1" t="inlineStr">
        <is>
          <t>PV behov +90 aar</t>
        </is>
      </c>
      <c r="DA1" t="inlineStr">
        <is>
          <t>PV behov +91 aar</t>
        </is>
      </c>
      <c r="DB1" t="inlineStr">
        <is>
          <t>PV behov +92 aar</t>
        </is>
      </c>
      <c r="DC1" t="inlineStr">
        <is>
          <t>PV behov +93 aar</t>
        </is>
      </c>
      <c r="DD1" t="inlineStr">
        <is>
          <t>PV behov +94 aar</t>
        </is>
      </c>
      <c r="DE1" t="inlineStr">
        <is>
          <t>PV behov +95 aar</t>
        </is>
      </c>
      <c r="DF1" t="inlineStr">
        <is>
          <t>PV behov +96 aar</t>
        </is>
      </c>
      <c r="DG1" t="inlineStr">
        <is>
          <t>PV behov +97 aar</t>
        </is>
      </c>
      <c r="DH1" t="inlineStr">
        <is>
          <t>PV behov +98 aar</t>
        </is>
      </c>
      <c r="DI1" t="inlineStr">
        <is>
          <t>PV behov +99 aar</t>
        </is>
      </c>
      <c r="DJ1" t="inlineStr">
        <is>
          <t>PV behov +100 aar</t>
        </is>
      </c>
      <c r="DK1" t="inlineStr">
        <is>
          <t>PV behov +101 aar</t>
        </is>
      </c>
      <c r="DL1" t="inlineStr">
        <is>
          <t>PV behov +102 aar</t>
        </is>
      </c>
      <c r="DM1" t="inlineStr">
        <is>
          <t>PV behov +103 aar</t>
        </is>
      </c>
      <c r="DN1" t="inlineStr">
        <is>
          <t>PV behov +104 aar</t>
        </is>
      </c>
      <c r="DO1" t="inlineStr">
        <is>
          <t>PV behov +105 aar</t>
        </is>
      </c>
      <c r="DP1" t="inlineStr">
        <is>
          <t>PV behov +106 aar</t>
        </is>
      </c>
      <c r="DQ1" t="inlineStr">
        <is>
          <t>PV behov +107 aar</t>
        </is>
      </c>
      <c r="DR1" t="inlineStr">
        <is>
          <t>PV behov +108 aar</t>
        </is>
      </c>
      <c r="DS1" t="inlineStr">
        <is>
          <t>PV behov +109 aar</t>
        </is>
      </c>
      <c r="DT1" t="inlineStr">
        <is>
          <t>PV behov +110 aar</t>
        </is>
      </c>
      <c r="DU1" t="inlineStr">
        <is>
          <t>PV behov +111 aar</t>
        </is>
      </c>
      <c r="DV1" t="inlineStr">
        <is>
          <t>PV behov +112 aar</t>
        </is>
      </c>
      <c r="DW1" t="inlineStr">
        <is>
          <t>PV behov +113 aar</t>
        </is>
      </c>
      <c r="DX1" t="inlineStr">
        <is>
          <t>PV behov +114 aar</t>
        </is>
      </c>
      <c r="DY1" t="inlineStr">
        <is>
          <t>PV behov +115 aar</t>
        </is>
      </c>
      <c r="DZ1" t="inlineStr">
        <is>
          <t>PV behov +116 aar</t>
        </is>
      </c>
      <c r="EA1" t="inlineStr">
        <is>
          <t>PV behov +117 aar</t>
        </is>
      </c>
      <c r="EB1" t="inlineStr">
        <is>
          <t>PV behov +118 aar</t>
        </is>
      </c>
      <c r="EC1" t="inlineStr">
        <is>
          <t>PV behov +119 aar</t>
        </is>
      </c>
      <c r="ED1" t="inlineStr">
        <is>
          <t>PV behov +120 aar</t>
        </is>
      </c>
    </row>
    <row r="2">
      <c r="A2">
        <f>IF(Model!$B$10+ROW()-2&lt;=Model!$B$4,Model!$B$10+ROW()-2,"")</f>
        <v/>
      </c>
      <c r="B2">
        <f>IF(A2="","",A2-Model!$B$10)</f>
        <v/>
      </c>
      <c r="C2" s="7">
        <f>IF(A2="","",Model!$B$5*(1+Model!$B$18)^B2)</f>
        <v/>
      </c>
      <c r="D2" s="7">
        <f>IF(A2="","",SUM(N2:ED2))</f>
        <v/>
      </c>
      <c r="E2" s="7">
        <f>IF(A2="","",IF(A2&gt;=Model!$B$11,Model!$B$20,0))</f>
        <v/>
      </c>
      <c r="F2" s="7">
        <f>IF(A2="","",IF(Model!$B$15&gt;0,Model!$B$22,0))</f>
        <v/>
      </c>
      <c r="G2" s="7">
        <f>IF(A2="","",E2+F2)</f>
        <v/>
      </c>
      <c r="H2" s="7">
        <f>IF(A2="","",MAX(0,Model!$B$6-G2))</f>
        <v/>
      </c>
      <c r="I2" s="7">
        <f>IF(A2="","",H2/(1-Model!$B$9))</f>
        <v/>
      </c>
      <c r="J2" s="7">
        <f>IF(A2="","",C2-D2)</f>
        <v/>
      </c>
      <c r="K2">
        <f>IF(A2="","",C2&gt;=D2)</f>
        <v/>
      </c>
      <c r="L2" s="7">
        <f>IF(A2="","",IF(A2&gt;=Model!$B$11,Model!$B$19*(1+Model!$B$13)^B2,0))</f>
        <v/>
      </c>
      <c r="M2" s="7">
        <f>IF(A2="","",IF(Model!$B$15&gt;0,Model!$B$21*(1+Model!$B$13)^B2,0))</f>
        <v/>
      </c>
      <c r="N2" s="7">
        <f>IF(A2="","",IF((A2+0)&gt;Model!$B$4,0,MAX(0,Model!$B$6-IF((A2+0)&gt;=Model!$B$11,Model!$B$20,0)-IF(0&lt;Model!$B$15,Model!$B$22,0))/(1-Model!$B$9)/(1+Model!$B$18)^0))</f>
        <v/>
      </c>
      <c r="O2" s="7">
        <f>IF(A2="","",IF((A2+1)&gt;Model!$B$4,0,MAX(0,Model!$B$6-IF((A2+1)&gt;=Model!$B$11,Model!$B$20,0)-IF(1&lt;Model!$B$15,Model!$B$22,0))/(1-Model!$B$9)/(1+Model!$B$18)^1))</f>
        <v/>
      </c>
      <c r="P2" s="7">
        <f>IF(A2="","",IF((A2+2)&gt;Model!$B$4,0,MAX(0,Model!$B$6-IF((A2+2)&gt;=Model!$B$11,Model!$B$20,0)-IF(2&lt;Model!$B$15,Model!$B$22,0))/(1-Model!$B$9)/(1+Model!$B$18)^2))</f>
        <v/>
      </c>
      <c r="Q2" s="7">
        <f>IF(A2="","",IF((A2+3)&gt;Model!$B$4,0,MAX(0,Model!$B$6-IF((A2+3)&gt;=Model!$B$11,Model!$B$20,0)-IF(3&lt;Model!$B$15,Model!$B$22,0))/(1-Model!$B$9)/(1+Model!$B$18)^3))</f>
        <v/>
      </c>
      <c r="R2" s="7">
        <f>IF(A2="","",IF((A2+4)&gt;Model!$B$4,0,MAX(0,Model!$B$6-IF((A2+4)&gt;=Model!$B$11,Model!$B$20,0)-IF(4&lt;Model!$B$15,Model!$B$22,0))/(1-Model!$B$9)/(1+Model!$B$18)^4))</f>
        <v/>
      </c>
      <c r="S2" s="7">
        <f>IF(A2="","",IF((A2+5)&gt;Model!$B$4,0,MAX(0,Model!$B$6-IF((A2+5)&gt;=Model!$B$11,Model!$B$20,0)-IF(5&lt;Model!$B$15,Model!$B$22,0))/(1-Model!$B$9)/(1+Model!$B$18)^5))</f>
        <v/>
      </c>
      <c r="T2" s="7">
        <f>IF(A2="","",IF((A2+6)&gt;Model!$B$4,0,MAX(0,Model!$B$6-IF((A2+6)&gt;=Model!$B$11,Model!$B$20,0)-IF(6&lt;Model!$B$15,Model!$B$22,0))/(1-Model!$B$9)/(1+Model!$B$18)^6))</f>
        <v/>
      </c>
      <c r="U2" s="7">
        <f>IF(A2="","",IF((A2+7)&gt;Model!$B$4,0,MAX(0,Model!$B$6-IF((A2+7)&gt;=Model!$B$11,Model!$B$20,0)-IF(7&lt;Model!$B$15,Model!$B$22,0))/(1-Model!$B$9)/(1+Model!$B$18)^7))</f>
        <v/>
      </c>
      <c r="V2" s="7">
        <f>IF(A2="","",IF((A2+8)&gt;Model!$B$4,0,MAX(0,Model!$B$6-IF((A2+8)&gt;=Model!$B$11,Model!$B$20,0)-IF(8&lt;Model!$B$15,Model!$B$22,0))/(1-Model!$B$9)/(1+Model!$B$18)^8))</f>
        <v/>
      </c>
      <c r="W2" s="7">
        <f>IF(A2="","",IF((A2+9)&gt;Model!$B$4,0,MAX(0,Model!$B$6-IF((A2+9)&gt;=Model!$B$11,Model!$B$20,0)-IF(9&lt;Model!$B$15,Model!$B$22,0))/(1-Model!$B$9)/(1+Model!$B$18)^9))</f>
        <v/>
      </c>
      <c r="X2" s="7">
        <f>IF(A2="","",IF((A2+10)&gt;Model!$B$4,0,MAX(0,Model!$B$6-IF((A2+10)&gt;=Model!$B$11,Model!$B$20,0)-IF(10&lt;Model!$B$15,Model!$B$22,0))/(1-Model!$B$9)/(1+Model!$B$18)^10))</f>
        <v/>
      </c>
      <c r="Y2" s="7">
        <f>IF(A2="","",IF((A2+11)&gt;Model!$B$4,0,MAX(0,Model!$B$6-IF((A2+11)&gt;=Model!$B$11,Model!$B$20,0)-IF(11&lt;Model!$B$15,Model!$B$22,0))/(1-Model!$B$9)/(1+Model!$B$18)^11))</f>
        <v/>
      </c>
      <c r="Z2" s="7">
        <f>IF(A2="","",IF((A2+12)&gt;Model!$B$4,0,MAX(0,Model!$B$6-IF((A2+12)&gt;=Model!$B$11,Model!$B$20,0)-IF(12&lt;Model!$B$15,Model!$B$22,0))/(1-Model!$B$9)/(1+Model!$B$18)^12))</f>
        <v/>
      </c>
      <c r="AA2" s="7">
        <f>IF(A2="","",IF((A2+13)&gt;Model!$B$4,0,MAX(0,Model!$B$6-IF((A2+13)&gt;=Model!$B$11,Model!$B$20,0)-IF(13&lt;Model!$B$15,Model!$B$22,0))/(1-Model!$B$9)/(1+Model!$B$18)^13))</f>
        <v/>
      </c>
      <c r="AB2" s="7">
        <f>IF(A2="","",IF((A2+14)&gt;Model!$B$4,0,MAX(0,Model!$B$6-IF((A2+14)&gt;=Model!$B$11,Model!$B$20,0)-IF(14&lt;Model!$B$15,Model!$B$22,0))/(1-Model!$B$9)/(1+Model!$B$18)^14))</f>
        <v/>
      </c>
      <c r="AC2" s="7">
        <f>IF(A2="","",IF((A2+15)&gt;Model!$B$4,0,MAX(0,Model!$B$6-IF((A2+15)&gt;=Model!$B$11,Model!$B$20,0)-IF(15&lt;Model!$B$15,Model!$B$22,0))/(1-Model!$B$9)/(1+Model!$B$18)^15))</f>
        <v/>
      </c>
      <c r="AD2" s="7">
        <f>IF(A2="","",IF((A2+16)&gt;Model!$B$4,0,MAX(0,Model!$B$6-IF((A2+16)&gt;=Model!$B$11,Model!$B$20,0)-IF(16&lt;Model!$B$15,Model!$B$22,0))/(1-Model!$B$9)/(1+Model!$B$18)^16))</f>
        <v/>
      </c>
      <c r="AE2" s="7">
        <f>IF(A2="","",IF((A2+17)&gt;Model!$B$4,0,MAX(0,Model!$B$6-IF((A2+17)&gt;=Model!$B$11,Model!$B$20,0)-IF(17&lt;Model!$B$15,Model!$B$22,0))/(1-Model!$B$9)/(1+Model!$B$18)^17))</f>
        <v/>
      </c>
      <c r="AF2" s="7">
        <f>IF(A2="","",IF((A2+18)&gt;Model!$B$4,0,MAX(0,Model!$B$6-IF((A2+18)&gt;=Model!$B$11,Model!$B$20,0)-IF(18&lt;Model!$B$15,Model!$B$22,0))/(1-Model!$B$9)/(1+Model!$B$18)^18))</f>
        <v/>
      </c>
      <c r="AG2" s="7">
        <f>IF(A2="","",IF((A2+19)&gt;Model!$B$4,0,MAX(0,Model!$B$6-IF((A2+19)&gt;=Model!$B$11,Model!$B$20,0)-IF(19&lt;Model!$B$15,Model!$B$22,0))/(1-Model!$B$9)/(1+Model!$B$18)^19))</f>
        <v/>
      </c>
      <c r="AH2" s="7">
        <f>IF(A2="","",IF((A2+20)&gt;Model!$B$4,0,MAX(0,Model!$B$6-IF((A2+20)&gt;=Model!$B$11,Model!$B$20,0)-IF(20&lt;Model!$B$15,Model!$B$22,0))/(1-Model!$B$9)/(1+Model!$B$18)^20))</f>
        <v/>
      </c>
      <c r="AI2" s="7">
        <f>IF(A2="","",IF((A2+21)&gt;Model!$B$4,0,MAX(0,Model!$B$6-IF((A2+21)&gt;=Model!$B$11,Model!$B$20,0)-IF(21&lt;Model!$B$15,Model!$B$22,0))/(1-Model!$B$9)/(1+Model!$B$18)^21))</f>
        <v/>
      </c>
      <c r="AJ2" s="7">
        <f>IF(A2="","",IF((A2+22)&gt;Model!$B$4,0,MAX(0,Model!$B$6-IF((A2+22)&gt;=Model!$B$11,Model!$B$20,0)-IF(22&lt;Model!$B$15,Model!$B$22,0))/(1-Model!$B$9)/(1+Model!$B$18)^22))</f>
        <v/>
      </c>
      <c r="AK2" s="7">
        <f>IF(A2="","",IF((A2+23)&gt;Model!$B$4,0,MAX(0,Model!$B$6-IF((A2+23)&gt;=Model!$B$11,Model!$B$20,0)-IF(23&lt;Model!$B$15,Model!$B$22,0))/(1-Model!$B$9)/(1+Model!$B$18)^23))</f>
        <v/>
      </c>
      <c r="AL2" s="7">
        <f>IF(A2="","",IF((A2+24)&gt;Model!$B$4,0,MAX(0,Model!$B$6-IF((A2+24)&gt;=Model!$B$11,Model!$B$20,0)-IF(24&lt;Model!$B$15,Model!$B$22,0))/(1-Model!$B$9)/(1+Model!$B$18)^24))</f>
        <v/>
      </c>
      <c r="AM2" s="7">
        <f>IF(A2="","",IF((A2+25)&gt;Model!$B$4,0,MAX(0,Model!$B$6-IF((A2+25)&gt;=Model!$B$11,Model!$B$20,0)-IF(25&lt;Model!$B$15,Model!$B$22,0))/(1-Model!$B$9)/(1+Model!$B$18)^25))</f>
        <v/>
      </c>
      <c r="AN2" s="7">
        <f>IF(A2="","",IF((A2+26)&gt;Model!$B$4,0,MAX(0,Model!$B$6-IF((A2+26)&gt;=Model!$B$11,Model!$B$20,0)-IF(26&lt;Model!$B$15,Model!$B$22,0))/(1-Model!$B$9)/(1+Model!$B$18)^26))</f>
        <v/>
      </c>
      <c r="AO2" s="7">
        <f>IF(A2="","",IF((A2+27)&gt;Model!$B$4,0,MAX(0,Model!$B$6-IF((A2+27)&gt;=Model!$B$11,Model!$B$20,0)-IF(27&lt;Model!$B$15,Model!$B$22,0))/(1-Model!$B$9)/(1+Model!$B$18)^27))</f>
        <v/>
      </c>
      <c r="AP2" s="7">
        <f>IF(A2="","",IF((A2+28)&gt;Model!$B$4,0,MAX(0,Model!$B$6-IF((A2+28)&gt;=Model!$B$11,Model!$B$20,0)-IF(28&lt;Model!$B$15,Model!$B$22,0))/(1-Model!$B$9)/(1+Model!$B$18)^28))</f>
        <v/>
      </c>
      <c r="AQ2" s="7">
        <f>IF(A2="","",IF((A2+29)&gt;Model!$B$4,0,MAX(0,Model!$B$6-IF((A2+29)&gt;=Model!$B$11,Model!$B$20,0)-IF(29&lt;Model!$B$15,Model!$B$22,0))/(1-Model!$B$9)/(1+Model!$B$18)^29))</f>
        <v/>
      </c>
      <c r="AR2" s="7">
        <f>IF(A2="","",IF((A2+30)&gt;Model!$B$4,0,MAX(0,Model!$B$6-IF((A2+30)&gt;=Model!$B$11,Model!$B$20,0)-IF(30&lt;Model!$B$15,Model!$B$22,0))/(1-Model!$B$9)/(1+Model!$B$18)^30))</f>
        <v/>
      </c>
      <c r="AS2" s="7">
        <f>IF(A2="","",IF((A2+31)&gt;Model!$B$4,0,MAX(0,Model!$B$6-IF((A2+31)&gt;=Model!$B$11,Model!$B$20,0)-IF(31&lt;Model!$B$15,Model!$B$22,0))/(1-Model!$B$9)/(1+Model!$B$18)^31))</f>
        <v/>
      </c>
      <c r="AT2" s="7">
        <f>IF(A2="","",IF((A2+32)&gt;Model!$B$4,0,MAX(0,Model!$B$6-IF((A2+32)&gt;=Model!$B$11,Model!$B$20,0)-IF(32&lt;Model!$B$15,Model!$B$22,0))/(1-Model!$B$9)/(1+Model!$B$18)^32))</f>
        <v/>
      </c>
      <c r="AU2" s="7">
        <f>IF(A2="","",IF((A2+33)&gt;Model!$B$4,0,MAX(0,Model!$B$6-IF((A2+33)&gt;=Model!$B$11,Model!$B$20,0)-IF(33&lt;Model!$B$15,Model!$B$22,0))/(1-Model!$B$9)/(1+Model!$B$18)^33))</f>
        <v/>
      </c>
      <c r="AV2" s="7">
        <f>IF(A2="","",IF((A2+34)&gt;Model!$B$4,0,MAX(0,Model!$B$6-IF((A2+34)&gt;=Model!$B$11,Model!$B$20,0)-IF(34&lt;Model!$B$15,Model!$B$22,0))/(1-Model!$B$9)/(1+Model!$B$18)^34))</f>
        <v/>
      </c>
      <c r="AW2" s="7">
        <f>IF(A2="","",IF((A2+35)&gt;Model!$B$4,0,MAX(0,Model!$B$6-IF((A2+35)&gt;=Model!$B$11,Model!$B$20,0)-IF(35&lt;Model!$B$15,Model!$B$22,0))/(1-Model!$B$9)/(1+Model!$B$18)^35))</f>
        <v/>
      </c>
      <c r="AX2" s="7">
        <f>IF(A2="","",IF((A2+36)&gt;Model!$B$4,0,MAX(0,Model!$B$6-IF((A2+36)&gt;=Model!$B$11,Model!$B$20,0)-IF(36&lt;Model!$B$15,Model!$B$22,0))/(1-Model!$B$9)/(1+Model!$B$18)^36))</f>
        <v/>
      </c>
      <c r="AY2" s="7">
        <f>IF(A2="","",IF((A2+37)&gt;Model!$B$4,0,MAX(0,Model!$B$6-IF((A2+37)&gt;=Model!$B$11,Model!$B$20,0)-IF(37&lt;Model!$B$15,Model!$B$22,0))/(1-Model!$B$9)/(1+Model!$B$18)^37))</f>
        <v/>
      </c>
      <c r="AZ2" s="7">
        <f>IF(A2="","",IF((A2+38)&gt;Model!$B$4,0,MAX(0,Model!$B$6-IF((A2+38)&gt;=Model!$B$11,Model!$B$20,0)-IF(38&lt;Model!$B$15,Model!$B$22,0))/(1-Model!$B$9)/(1+Model!$B$18)^38))</f>
        <v/>
      </c>
      <c r="BA2" s="7">
        <f>IF(A2="","",IF((A2+39)&gt;Model!$B$4,0,MAX(0,Model!$B$6-IF((A2+39)&gt;=Model!$B$11,Model!$B$20,0)-IF(39&lt;Model!$B$15,Model!$B$22,0))/(1-Model!$B$9)/(1+Model!$B$18)^39))</f>
        <v/>
      </c>
      <c r="BB2" s="7">
        <f>IF(A2="","",IF((A2+40)&gt;Model!$B$4,0,MAX(0,Model!$B$6-IF((A2+40)&gt;=Model!$B$11,Model!$B$20,0)-IF(40&lt;Model!$B$15,Model!$B$22,0))/(1-Model!$B$9)/(1+Model!$B$18)^40))</f>
        <v/>
      </c>
      <c r="BC2" s="7">
        <f>IF(A2="","",IF((A2+41)&gt;Model!$B$4,0,MAX(0,Model!$B$6-IF((A2+41)&gt;=Model!$B$11,Model!$B$20,0)-IF(41&lt;Model!$B$15,Model!$B$22,0))/(1-Model!$B$9)/(1+Model!$B$18)^41))</f>
        <v/>
      </c>
      <c r="BD2" s="7">
        <f>IF(A2="","",IF((A2+42)&gt;Model!$B$4,0,MAX(0,Model!$B$6-IF((A2+42)&gt;=Model!$B$11,Model!$B$20,0)-IF(42&lt;Model!$B$15,Model!$B$22,0))/(1-Model!$B$9)/(1+Model!$B$18)^42))</f>
        <v/>
      </c>
      <c r="BE2" s="7">
        <f>IF(A2="","",IF((A2+43)&gt;Model!$B$4,0,MAX(0,Model!$B$6-IF((A2+43)&gt;=Model!$B$11,Model!$B$20,0)-IF(43&lt;Model!$B$15,Model!$B$22,0))/(1-Model!$B$9)/(1+Model!$B$18)^43))</f>
        <v/>
      </c>
      <c r="BF2" s="7">
        <f>IF(A2="","",IF((A2+44)&gt;Model!$B$4,0,MAX(0,Model!$B$6-IF((A2+44)&gt;=Model!$B$11,Model!$B$20,0)-IF(44&lt;Model!$B$15,Model!$B$22,0))/(1-Model!$B$9)/(1+Model!$B$18)^44))</f>
        <v/>
      </c>
      <c r="BG2" s="7">
        <f>IF(A2="","",IF((A2+45)&gt;Model!$B$4,0,MAX(0,Model!$B$6-IF((A2+45)&gt;=Model!$B$11,Model!$B$20,0)-IF(45&lt;Model!$B$15,Model!$B$22,0))/(1-Model!$B$9)/(1+Model!$B$18)^45))</f>
        <v/>
      </c>
      <c r="BH2" s="7">
        <f>IF(A2="","",IF((A2+46)&gt;Model!$B$4,0,MAX(0,Model!$B$6-IF((A2+46)&gt;=Model!$B$11,Model!$B$20,0)-IF(46&lt;Model!$B$15,Model!$B$22,0))/(1-Model!$B$9)/(1+Model!$B$18)^46))</f>
        <v/>
      </c>
      <c r="BI2" s="7">
        <f>IF(A2="","",IF((A2+47)&gt;Model!$B$4,0,MAX(0,Model!$B$6-IF((A2+47)&gt;=Model!$B$11,Model!$B$20,0)-IF(47&lt;Model!$B$15,Model!$B$22,0))/(1-Model!$B$9)/(1+Model!$B$18)^47))</f>
        <v/>
      </c>
      <c r="BJ2" s="7">
        <f>IF(A2="","",IF((A2+48)&gt;Model!$B$4,0,MAX(0,Model!$B$6-IF((A2+48)&gt;=Model!$B$11,Model!$B$20,0)-IF(48&lt;Model!$B$15,Model!$B$22,0))/(1-Model!$B$9)/(1+Model!$B$18)^48))</f>
        <v/>
      </c>
      <c r="BK2" s="7">
        <f>IF(A2="","",IF((A2+49)&gt;Model!$B$4,0,MAX(0,Model!$B$6-IF((A2+49)&gt;=Model!$B$11,Model!$B$20,0)-IF(49&lt;Model!$B$15,Model!$B$22,0))/(1-Model!$B$9)/(1+Model!$B$18)^49))</f>
        <v/>
      </c>
      <c r="BL2" s="7">
        <f>IF(A2="","",IF((A2+50)&gt;Model!$B$4,0,MAX(0,Model!$B$6-IF((A2+50)&gt;=Model!$B$11,Model!$B$20,0)-IF(50&lt;Model!$B$15,Model!$B$22,0))/(1-Model!$B$9)/(1+Model!$B$18)^50))</f>
        <v/>
      </c>
      <c r="BM2" s="7">
        <f>IF(A2="","",IF((A2+51)&gt;Model!$B$4,0,MAX(0,Model!$B$6-IF((A2+51)&gt;=Model!$B$11,Model!$B$20,0)-IF(51&lt;Model!$B$15,Model!$B$22,0))/(1-Model!$B$9)/(1+Model!$B$18)^51))</f>
        <v/>
      </c>
      <c r="BN2" s="7">
        <f>IF(A2="","",IF((A2+52)&gt;Model!$B$4,0,MAX(0,Model!$B$6-IF((A2+52)&gt;=Model!$B$11,Model!$B$20,0)-IF(52&lt;Model!$B$15,Model!$B$22,0))/(1-Model!$B$9)/(1+Model!$B$18)^52))</f>
        <v/>
      </c>
      <c r="BO2" s="7">
        <f>IF(A2="","",IF((A2+53)&gt;Model!$B$4,0,MAX(0,Model!$B$6-IF((A2+53)&gt;=Model!$B$11,Model!$B$20,0)-IF(53&lt;Model!$B$15,Model!$B$22,0))/(1-Model!$B$9)/(1+Model!$B$18)^53))</f>
        <v/>
      </c>
      <c r="BP2" s="7">
        <f>IF(A2="","",IF((A2+54)&gt;Model!$B$4,0,MAX(0,Model!$B$6-IF((A2+54)&gt;=Model!$B$11,Model!$B$20,0)-IF(54&lt;Model!$B$15,Model!$B$22,0))/(1-Model!$B$9)/(1+Model!$B$18)^54))</f>
        <v/>
      </c>
      <c r="BQ2" s="7">
        <f>IF(A2="","",IF((A2+55)&gt;Model!$B$4,0,MAX(0,Model!$B$6-IF((A2+55)&gt;=Model!$B$11,Model!$B$20,0)-IF(55&lt;Model!$B$15,Model!$B$22,0))/(1-Model!$B$9)/(1+Model!$B$18)^55))</f>
        <v/>
      </c>
      <c r="BR2" s="7">
        <f>IF(A2="","",IF((A2+56)&gt;Model!$B$4,0,MAX(0,Model!$B$6-IF((A2+56)&gt;=Model!$B$11,Model!$B$20,0)-IF(56&lt;Model!$B$15,Model!$B$22,0))/(1-Model!$B$9)/(1+Model!$B$18)^56))</f>
        <v/>
      </c>
      <c r="BS2" s="7">
        <f>IF(A2="","",IF((A2+57)&gt;Model!$B$4,0,MAX(0,Model!$B$6-IF((A2+57)&gt;=Model!$B$11,Model!$B$20,0)-IF(57&lt;Model!$B$15,Model!$B$22,0))/(1-Model!$B$9)/(1+Model!$B$18)^57))</f>
        <v/>
      </c>
      <c r="BT2" s="7">
        <f>IF(A2="","",IF((A2+58)&gt;Model!$B$4,0,MAX(0,Model!$B$6-IF((A2+58)&gt;=Model!$B$11,Model!$B$20,0)-IF(58&lt;Model!$B$15,Model!$B$22,0))/(1-Model!$B$9)/(1+Model!$B$18)^58))</f>
        <v/>
      </c>
      <c r="BU2" s="7">
        <f>IF(A2="","",IF((A2+59)&gt;Model!$B$4,0,MAX(0,Model!$B$6-IF((A2+59)&gt;=Model!$B$11,Model!$B$20,0)-IF(59&lt;Model!$B$15,Model!$B$22,0))/(1-Model!$B$9)/(1+Model!$B$18)^59))</f>
        <v/>
      </c>
      <c r="BV2" s="7">
        <f>IF(A2="","",IF((A2+60)&gt;Model!$B$4,0,MAX(0,Model!$B$6-IF((A2+60)&gt;=Model!$B$11,Model!$B$20,0)-IF(60&lt;Model!$B$15,Model!$B$22,0))/(1-Model!$B$9)/(1+Model!$B$18)^60))</f>
        <v/>
      </c>
      <c r="BW2" s="7">
        <f>IF(A2="","",IF((A2+61)&gt;Model!$B$4,0,MAX(0,Model!$B$6-IF((A2+61)&gt;=Model!$B$11,Model!$B$20,0)-IF(61&lt;Model!$B$15,Model!$B$22,0))/(1-Model!$B$9)/(1+Model!$B$18)^61))</f>
        <v/>
      </c>
      <c r="BX2" s="7">
        <f>IF(A2="","",IF((A2+62)&gt;Model!$B$4,0,MAX(0,Model!$B$6-IF((A2+62)&gt;=Model!$B$11,Model!$B$20,0)-IF(62&lt;Model!$B$15,Model!$B$22,0))/(1-Model!$B$9)/(1+Model!$B$18)^62))</f>
        <v/>
      </c>
      <c r="BY2" s="7">
        <f>IF(A2="","",IF((A2+63)&gt;Model!$B$4,0,MAX(0,Model!$B$6-IF((A2+63)&gt;=Model!$B$11,Model!$B$20,0)-IF(63&lt;Model!$B$15,Model!$B$22,0))/(1-Model!$B$9)/(1+Model!$B$18)^63))</f>
        <v/>
      </c>
      <c r="BZ2" s="7">
        <f>IF(A2="","",IF((A2+64)&gt;Model!$B$4,0,MAX(0,Model!$B$6-IF((A2+64)&gt;=Model!$B$11,Model!$B$20,0)-IF(64&lt;Model!$B$15,Model!$B$22,0))/(1-Model!$B$9)/(1+Model!$B$18)^64))</f>
        <v/>
      </c>
      <c r="CA2" s="7">
        <f>IF(A2="","",IF((A2+65)&gt;Model!$B$4,0,MAX(0,Model!$B$6-IF((A2+65)&gt;=Model!$B$11,Model!$B$20,0)-IF(65&lt;Model!$B$15,Model!$B$22,0))/(1-Model!$B$9)/(1+Model!$B$18)^65))</f>
        <v/>
      </c>
      <c r="CB2" s="7">
        <f>IF(A2="","",IF((A2+66)&gt;Model!$B$4,0,MAX(0,Model!$B$6-IF((A2+66)&gt;=Model!$B$11,Model!$B$20,0)-IF(66&lt;Model!$B$15,Model!$B$22,0))/(1-Model!$B$9)/(1+Model!$B$18)^66))</f>
        <v/>
      </c>
      <c r="CC2" s="7">
        <f>IF(A2="","",IF((A2+67)&gt;Model!$B$4,0,MAX(0,Model!$B$6-IF((A2+67)&gt;=Model!$B$11,Model!$B$20,0)-IF(67&lt;Model!$B$15,Model!$B$22,0))/(1-Model!$B$9)/(1+Model!$B$18)^67))</f>
        <v/>
      </c>
      <c r="CD2" s="7">
        <f>IF(A2="","",IF((A2+68)&gt;Model!$B$4,0,MAX(0,Model!$B$6-IF((A2+68)&gt;=Model!$B$11,Model!$B$20,0)-IF(68&lt;Model!$B$15,Model!$B$22,0))/(1-Model!$B$9)/(1+Model!$B$18)^68))</f>
        <v/>
      </c>
      <c r="CE2" s="7">
        <f>IF(A2="","",IF((A2+69)&gt;Model!$B$4,0,MAX(0,Model!$B$6-IF((A2+69)&gt;=Model!$B$11,Model!$B$20,0)-IF(69&lt;Model!$B$15,Model!$B$22,0))/(1-Model!$B$9)/(1+Model!$B$18)^69))</f>
        <v/>
      </c>
      <c r="CF2" s="7">
        <f>IF(A2="","",IF((A2+70)&gt;Model!$B$4,0,MAX(0,Model!$B$6-IF((A2+70)&gt;=Model!$B$11,Model!$B$20,0)-IF(70&lt;Model!$B$15,Model!$B$22,0))/(1-Model!$B$9)/(1+Model!$B$18)^70))</f>
        <v/>
      </c>
      <c r="CG2" s="7">
        <f>IF(A2="","",IF((A2+71)&gt;Model!$B$4,0,MAX(0,Model!$B$6-IF((A2+71)&gt;=Model!$B$11,Model!$B$20,0)-IF(71&lt;Model!$B$15,Model!$B$22,0))/(1-Model!$B$9)/(1+Model!$B$18)^71))</f>
        <v/>
      </c>
      <c r="CH2" s="7">
        <f>IF(A2="","",IF((A2+72)&gt;Model!$B$4,0,MAX(0,Model!$B$6-IF((A2+72)&gt;=Model!$B$11,Model!$B$20,0)-IF(72&lt;Model!$B$15,Model!$B$22,0))/(1-Model!$B$9)/(1+Model!$B$18)^72))</f>
        <v/>
      </c>
      <c r="CI2" s="7">
        <f>IF(A2="","",IF((A2+73)&gt;Model!$B$4,0,MAX(0,Model!$B$6-IF((A2+73)&gt;=Model!$B$11,Model!$B$20,0)-IF(73&lt;Model!$B$15,Model!$B$22,0))/(1-Model!$B$9)/(1+Model!$B$18)^73))</f>
        <v/>
      </c>
      <c r="CJ2" s="7">
        <f>IF(A2="","",IF((A2+74)&gt;Model!$B$4,0,MAX(0,Model!$B$6-IF((A2+74)&gt;=Model!$B$11,Model!$B$20,0)-IF(74&lt;Model!$B$15,Model!$B$22,0))/(1-Model!$B$9)/(1+Model!$B$18)^74))</f>
        <v/>
      </c>
      <c r="CK2" s="7">
        <f>IF(A2="","",IF((A2+75)&gt;Model!$B$4,0,MAX(0,Model!$B$6-IF((A2+75)&gt;=Model!$B$11,Model!$B$20,0)-IF(75&lt;Model!$B$15,Model!$B$22,0))/(1-Model!$B$9)/(1+Model!$B$18)^75))</f>
        <v/>
      </c>
      <c r="CL2" s="7">
        <f>IF(A2="","",IF((A2+76)&gt;Model!$B$4,0,MAX(0,Model!$B$6-IF((A2+76)&gt;=Model!$B$11,Model!$B$20,0)-IF(76&lt;Model!$B$15,Model!$B$22,0))/(1-Model!$B$9)/(1+Model!$B$18)^76))</f>
        <v/>
      </c>
      <c r="CM2" s="7">
        <f>IF(A2="","",IF((A2+77)&gt;Model!$B$4,0,MAX(0,Model!$B$6-IF((A2+77)&gt;=Model!$B$11,Model!$B$20,0)-IF(77&lt;Model!$B$15,Model!$B$22,0))/(1-Model!$B$9)/(1+Model!$B$18)^77))</f>
        <v/>
      </c>
      <c r="CN2" s="7">
        <f>IF(A2="","",IF((A2+78)&gt;Model!$B$4,0,MAX(0,Model!$B$6-IF((A2+78)&gt;=Model!$B$11,Model!$B$20,0)-IF(78&lt;Model!$B$15,Model!$B$22,0))/(1-Model!$B$9)/(1+Model!$B$18)^78))</f>
        <v/>
      </c>
      <c r="CO2" s="7">
        <f>IF(A2="","",IF((A2+79)&gt;Model!$B$4,0,MAX(0,Model!$B$6-IF((A2+79)&gt;=Model!$B$11,Model!$B$20,0)-IF(79&lt;Model!$B$15,Model!$B$22,0))/(1-Model!$B$9)/(1+Model!$B$18)^79))</f>
        <v/>
      </c>
      <c r="CP2" s="7">
        <f>IF(A2="","",IF((A2+80)&gt;Model!$B$4,0,MAX(0,Model!$B$6-IF((A2+80)&gt;=Model!$B$11,Model!$B$20,0)-IF(80&lt;Model!$B$15,Model!$B$22,0))/(1-Model!$B$9)/(1+Model!$B$18)^80))</f>
        <v/>
      </c>
      <c r="CQ2" s="7">
        <f>IF(A2="","",IF((A2+81)&gt;Model!$B$4,0,MAX(0,Model!$B$6-IF((A2+81)&gt;=Model!$B$11,Model!$B$20,0)-IF(81&lt;Model!$B$15,Model!$B$22,0))/(1-Model!$B$9)/(1+Model!$B$18)^81))</f>
        <v/>
      </c>
      <c r="CR2" s="7">
        <f>IF(A2="","",IF((A2+82)&gt;Model!$B$4,0,MAX(0,Model!$B$6-IF((A2+82)&gt;=Model!$B$11,Model!$B$20,0)-IF(82&lt;Model!$B$15,Model!$B$22,0))/(1-Model!$B$9)/(1+Model!$B$18)^82))</f>
        <v/>
      </c>
      <c r="CS2" s="7">
        <f>IF(A2="","",IF((A2+83)&gt;Model!$B$4,0,MAX(0,Model!$B$6-IF((A2+83)&gt;=Model!$B$11,Model!$B$20,0)-IF(83&lt;Model!$B$15,Model!$B$22,0))/(1-Model!$B$9)/(1+Model!$B$18)^83))</f>
        <v/>
      </c>
      <c r="CT2" s="7">
        <f>IF(A2="","",IF((A2+84)&gt;Model!$B$4,0,MAX(0,Model!$B$6-IF((A2+84)&gt;=Model!$B$11,Model!$B$20,0)-IF(84&lt;Model!$B$15,Model!$B$22,0))/(1-Model!$B$9)/(1+Model!$B$18)^84))</f>
        <v/>
      </c>
      <c r="CU2" s="7">
        <f>IF(A2="","",IF((A2+85)&gt;Model!$B$4,0,MAX(0,Model!$B$6-IF((A2+85)&gt;=Model!$B$11,Model!$B$20,0)-IF(85&lt;Model!$B$15,Model!$B$22,0))/(1-Model!$B$9)/(1+Model!$B$18)^85))</f>
        <v/>
      </c>
      <c r="CV2" s="7">
        <f>IF(A2="","",IF((A2+86)&gt;Model!$B$4,0,MAX(0,Model!$B$6-IF((A2+86)&gt;=Model!$B$11,Model!$B$20,0)-IF(86&lt;Model!$B$15,Model!$B$22,0))/(1-Model!$B$9)/(1+Model!$B$18)^86))</f>
        <v/>
      </c>
      <c r="CW2" s="7">
        <f>IF(A2="","",IF((A2+87)&gt;Model!$B$4,0,MAX(0,Model!$B$6-IF((A2+87)&gt;=Model!$B$11,Model!$B$20,0)-IF(87&lt;Model!$B$15,Model!$B$22,0))/(1-Model!$B$9)/(1+Model!$B$18)^87))</f>
        <v/>
      </c>
      <c r="CX2" s="7">
        <f>IF(A2="","",IF((A2+88)&gt;Model!$B$4,0,MAX(0,Model!$B$6-IF((A2+88)&gt;=Model!$B$11,Model!$B$20,0)-IF(88&lt;Model!$B$15,Model!$B$22,0))/(1-Model!$B$9)/(1+Model!$B$18)^88))</f>
        <v/>
      </c>
      <c r="CY2" s="7">
        <f>IF(A2="","",IF((A2+89)&gt;Model!$B$4,0,MAX(0,Model!$B$6-IF((A2+89)&gt;=Model!$B$11,Model!$B$20,0)-IF(89&lt;Model!$B$15,Model!$B$22,0))/(1-Model!$B$9)/(1+Model!$B$18)^89))</f>
        <v/>
      </c>
      <c r="CZ2" s="7">
        <f>IF(A2="","",IF((A2+90)&gt;Model!$B$4,0,MAX(0,Model!$B$6-IF((A2+90)&gt;=Model!$B$11,Model!$B$20,0)-IF(90&lt;Model!$B$15,Model!$B$22,0))/(1-Model!$B$9)/(1+Model!$B$18)^90))</f>
        <v/>
      </c>
      <c r="DA2" s="7">
        <f>IF(A2="","",IF((A2+91)&gt;Model!$B$4,0,MAX(0,Model!$B$6-IF((A2+91)&gt;=Model!$B$11,Model!$B$20,0)-IF(91&lt;Model!$B$15,Model!$B$22,0))/(1-Model!$B$9)/(1+Model!$B$18)^91))</f>
        <v/>
      </c>
      <c r="DB2" s="7">
        <f>IF(A2="","",IF((A2+92)&gt;Model!$B$4,0,MAX(0,Model!$B$6-IF((A2+92)&gt;=Model!$B$11,Model!$B$20,0)-IF(92&lt;Model!$B$15,Model!$B$22,0))/(1-Model!$B$9)/(1+Model!$B$18)^92))</f>
        <v/>
      </c>
      <c r="DC2" s="7">
        <f>IF(A2="","",IF((A2+93)&gt;Model!$B$4,0,MAX(0,Model!$B$6-IF((A2+93)&gt;=Model!$B$11,Model!$B$20,0)-IF(93&lt;Model!$B$15,Model!$B$22,0))/(1-Model!$B$9)/(1+Model!$B$18)^93))</f>
        <v/>
      </c>
      <c r="DD2" s="7">
        <f>IF(A2="","",IF((A2+94)&gt;Model!$B$4,0,MAX(0,Model!$B$6-IF((A2+94)&gt;=Model!$B$11,Model!$B$20,0)-IF(94&lt;Model!$B$15,Model!$B$22,0))/(1-Model!$B$9)/(1+Model!$B$18)^94))</f>
        <v/>
      </c>
      <c r="DE2" s="7">
        <f>IF(A2="","",IF((A2+95)&gt;Model!$B$4,0,MAX(0,Model!$B$6-IF((A2+95)&gt;=Model!$B$11,Model!$B$20,0)-IF(95&lt;Model!$B$15,Model!$B$22,0))/(1-Model!$B$9)/(1+Model!$B$18)^95))</f>
        <v/>
      </c>
      <c r="DF2" s="7">
        <f>IF(A2="","",IF((A2+96)&gt;Model!$B$4,0,MAX(0,Model!$B$6-IF((A2+96)&gt;=Model!$B$11,Model!$B$20,0)-IF(96&lt;Model!$B$15,Model!$B$22,0))/(1-Model!$B$9)/(1+Model!$B$18)^96))</f>
        <v/>
      </c>
      <c r="DG2" s="7">
        <f>IF(A2="","",IF((A2+97)&gt;Model!$B$4,0,MAX(0,Model!$B$6-IF((A2+97)&gt;=Model!$B$11,Model!$B$20,0)-IF(97&lt;Model!$B$15,Model!$B$22,0))/(1-Model!$B$9)/(1+Model!$B$18)^97))</f>
        <v/>
      </c>
      <c r="DH2" s="7">
        <f>IF(A2="","",IF((A2+98)&gt;Model!$B$4,0,MAX(0,Model!$B$6-IF((A2+98)&gt;=Model!$B$11,Model!$B$20,0)-IF(98&lt;Model!$B$15,Model!$B$22,0))/(1-Model!$B$9)/(1+Model!$B$18)^98))</f>
        <v/>
      </c>
      <c r="DI2" s="7">
        <f>IF(A2="","",IF((A2+99)&gt;Model!$B$4,0,MAX(0,Model!$B$6-IF((A2+99)&gt;=Model!$B$11,Model!$B$20,0)-IF(99&lt;Model!$B$15,Model!$B$22,0))/(1-Model!$B$9)/(1+Model!$B$18)^99))</f>
        <v/>
      </c>
      <c r="DJ2" s="7">
        <f>IF(A2="","",IF((A2+100)&gt;Model!$B$4,0,MAX(0,Model!$B$6-IF((A2+100)&gt;=Model!$B$11,Model!$B$20,0)-IF(100&lt;Model!$B$15,Model!$B$22,0))/(1-Model!$B$9)/(1+Model!$B$18)^100))</f>
        <v/>
      </c>
      <c r="DK2" s="7">
        <f>IF(A2="","",IF((A2+101)&gt;Model!$B$4,0,MAX(0,Model!$B$6-IF((A2+101)&gt;=Model!$B$11,Model!$B$20,0)-IF(101&lt;Model!$B$15,Model!$B$22,0))/(1-Model!$B$9)/(1+Model!$B$18)^101))</f>
        <v/>
      </c>
      <c r="DL2" s="7">
        <f>IF(A2="","",IF((A2+102)&gt;Model!$B$4,0,MAX(0,Model!$B$6-IF((A2+102)&gt;=Model!$B$11,Model!$B$20,0)-IF(102&lt;Model!$B$15,Model!$B$22,0))/(1-Model!$B$9)/(1+Model!$B$18)^102))</f>
        <v/>
      </c>
      <c r="DM2" s="7">
        <f>IF(A2="","",IF((A2+103)&gt;Model!$B$4,0,MAX(0,Model!$B$6-IF((A2+103)&gt;=Model!$B$11,Model!$B$20,0)-IF(103&lt;Model!$B$15,Model!$B$22,0))/(1-Model!$B$9)/(1+Model!$B$18)^103))</f>
        <v/>
      </c>
      <c r="DN2" s="7">
        <f>IF(A2="","",IF((A2+104)&gt;Model!$B$4,0,MAX(0,Model!$B$6-IF((A2+104)&gt;=Model!$B$11,Model!$B$20,0)-IF(104&lt;Model!$B$15,Model!$B$22,0))/(1-Model!$B$9)/(1+Model!$B$18)^104))</f>
        <v/>
      </c>
      <c r="DO2" s="7">
        <f>IF(A2="","",IF((A2+105)&gt;Model!$B$4,0,MAX(0,Model!$B$6-IF((A2+105)&gt;=Model!$B$11,Model!$B$20,0)-IF(105&lt;Model!$B$15,Model!$B$22,0))/(1-Model!$B$9)/(1+Model!$B$18)^105))</f>
        <v/>
      </c>
      <c r="DP2" s="7">
        <f>IF(A2="","",IF((A2+106)&gt;Model!$B$4,0,MAX(0,Model!$B$6-IF((A2+106)&gt;=Model!$B$11,Model!$B$20,0)-IF(106&lt;Model!$B$15,Model!$B$22,0))/(1-Model!$B$9)/(1+Model!$B$18)^106))</f>
        <v/>
      </c>
      <c r="DQ2" s="7">
        <f>IF(A2="","",IF((A2+107)&gt;Model!$B$4,0,MAX(0,Model!$B$6-IF((A2+107)&gt;=Model!$B$11,Model!$B$20,0)-IF(107&lt;Model!$B$15,Model!$B$22,0))/(1-Model!$B$9)/(1+Model!$B$18)^107))</f>
        <v/>
      </c>
      <c r="DR2" s="7">
        <f>IF(A2="","",IF((A2+108)&gt;Model!$B$4,0,MAX(0,Model!$B$6-IF((A2+108)&gt;=Model!$B$11,Model!$B$20,0)-IF(108&lt;Model!$B$15,Model!$B$22,0))/(1-Model!$B$9)/(1+Model!$B$18)^108))</f>
        <v/>
      </c>
      <c r="DS2" s="7">
        <f>IF(A2="","",IF((A2+109)&gt;Model!$B$4,0,MAX(0,Model!$B$6-IF((A2+109)&gt;=Model!$B$11,Model!$B$20,0)-IF(109&lt;Model!$B$15,Model!$B$22,0))/(1-Model!$B$9)/(1+Model!$B$18)^109))</f>
        <v/>
      </c>
      <c r="DT2" s="7">
        <f>IF(A2="","",IF((A2+110)&gt;Model!$B$4,0,MAX(0,Model!$B$6-IF((A2+110)&gt;=Model!$B$11,Model!$B$20,0)-IF(110&lt;Model!$B$15,Model!$B$22,0))/(1-Model!$B$9)/(1+Model!$B$18)^110))</f>
        <v/>
      </c>
      <c r="DU2" s="7">
        <f>IF(A2="","",IF((A2+111)&gt;Model!$B$4,0,MAX(0,Model!$B$6-IF((A2+111)&gt;=Model!$B$11,Model!$B$20,0)-IF(111&lt;Model!$B$15,Model!$B$22,0))/(1-Model!$B$9)/(1+Model!$B$18)^111))</f>
        <v/>
      </c>
      <c r="DV2" s="7">
        <f>IF(A2="","",IF((A2+112)&gt;Model!$B$4,0,MAX(0,Model!$B$6-IF((A2+112)&gt;=Model!$B$11,Model!$B$20,0)-IF(112&lt;Model!$B$15,Model!$B$22,0))/(1-Model!$B$9)/(1+Model!$B$18)^112))</f>
        <v/>
      </c>
      <c r="DW2" s="7">
        <f>IF(A2="","",IF((A2+113)&gt;Model!$B$4,0,MAX(0,Model!$B$6-IF((A2+113)&gt;=Model!$B$11,Model!$B$20,0)-IF(113&lt;Model!$B$15,Model!$B$22,0))/(1-Model!$B$9)/(1+Model!$B$18)^113))</f>
        <v/>
      </c>
      <c r="DX2" s="7">
        <f>IF(A2="","",IF((A2+114)&gt;Model!$B$4,0,MAX(0,Model!$B$6-IF((A2+114)&gt;=Model!$B$11,Model!$B$20,0)-IF(114&lt;Model!$B$15,Model!$B$22,0))/(1-Model!$B$9)/(1+Model!$B$18)^114))</f>
        <v/>
      </c>
      <c r="DY2" s="7">
        <f>IF(A2="","",IF((A2+115)&gt;Model!$B$4,0,MAX(0,Model!$B$6-IF((A2+115)&gt;=Model!$B$11,Model!$B$20,0)-IF(115&lt;Model!$B$15,Model!$B$22,0))/(1-Model!$B$9)/(1+Model!$B$18)^115))</f>
        <v/>
      </c>
      <c r="DZ2" s="7">
        <f>IF(A2="","",IF((A2+116)&gt;Model!$B$4,0,MAX(0,Model!$B$6-IF((A2+116)&gt;=Model!$B$11,Model!$B$20,0)-IF(116&lt;Model!$B$15,Model!$B$22,0))/(1-Model!$B$9)/(1+Model!$B$18)^116))</f>
        <v/>
      </c>
      <c r="EA2" s="7">
        <f>IF(A2="","",IF((A2+117)&gt;Model!$B$4,0,MAX(0,Model!$B$6-IF((A2+117)&gt;=Model!$B$11,Model!$B$20,0)-IF(117&lt;Model!$B$15,Model!$B$22,0))/(1-Model!$B$9)/(1+Model!$B$18)^117))</f>
        <v/>
      </c>
      <c r="EB2" s="7">
        <f>IF(A2="","",IF((A2+118)&gt;Model!$B$4,0,MAX(0,Model!$B$6-IF((A2+118)&gt;=Model!$B$11,Model!$B$20,0)-IF(118&lt;Model!$B$15,Model!$B$22,0))/(1-Model!$B$9)/(1+Model!$B$18)^118))</f>
        <v/>
      </c>
      <c r="EC2" s="7">
        <f>IF(A2="","",IF((A2+119)&gt;Model!$B$4,0,MAX(0,Model!$B$6-IF((A2+119)&gt;=Model!$B$11,Model!$B$20,0)-IF(119&lt;Model!$B$15,Model!$B$22,0))/(1-Model!$B$9)/(1+Model!$B$18)^119))</f>
        <v/>
      </c>
      <c r="ED2" s="7">
        <f>IF(A2="","",IF((A2+120)&gt;Model!$B$4,0,MAX(0,Model!$B$6-IF((A2+120)&gt;=Model!$B$11,Model!$B$20,0)-IF(120&lt;Model!$B$15,Model!$B$22,0))/(1-Model!$B$9)/(1+Model!$B$18)^120))</f>
        <v/>
      </c>
    </row>
    <row r="3">
      <c r="A3">
        <f>IF(Model!$B$10+ROW()-2&lt;=Model!$B$4,Model!$B$10+ROW()-2,"")</f>
        <v/>
      </c>
      <c r="B3">
        <f>IF(A3="","",A3-Model!$B$10)</f>
        <v/>
      </c>
      <c r="C3" s="7">
        <f>IF(A3="","",Model!$B$5*(1+Model!$B$18)^B3)</f>
        <v/>
      </c>
      <c r="D3" s="7">
        <f>IF(A3="","",SUM(N3:ED3))</f>
        <v/>
      </c>
      <c r="E3" s="7">
        <f>IF(A3="","",IF(A3&gt;=Model!$B$11,Model!$B$20,0))</f>
        <v/>
      </c>
      <c r="F3" s="7">
        <f>IF(A3="","",IF(Model!$B$15&gt;0,Model!$B$22,0))</f>
        <v/>
      </c>
      <c r="G3" s="7">
        <f>IF(A3="","",E3+F3)</f>
        <v/>
      </c>
      <c r="H3" s="7">
        <f>IF(A3="","",MAX(0,Model!$B$6-G3))</f>
        <v/>
      </c>
      <c r="I3" s="7">
        <f>IF(A3="","",H3/(1-Model!$B$9))</f>
        <v/>
      </c>
      <c r="J3" s="7">
        <f>IF(A3="","",C3-D3)</f>
        <v/>
      </c>
      <c r="K3">
        <f>IF(A3="","",C3&gt;=D3)</f>
        <v/>
      </c>
      <c r="L3" s="7">
        <f>IF(A3="","",IF(A3&gt;=Model!$B$11,Model!$B$19*(1+Model!$B$13)^B3,0))</f>
        <v/>
      </c>
      <c r="M3" s="7">
        <f>IF(A3="","",IF(Model!$B$15&gt;0,Model!$B$21*(1+Model!$B$13)^B3,0))</f>
        <v/>
      </c>
      <c r="N3" s="7">
        <f>IF(A3="","",IF((A3+0)&gt;Model!$B$4,0,MAX(0,Model!$B$6-IF((A3+0)&gt;=Model!$B$11,Model!$B$20,0)-IF(0&lt;Model!$B$15,Model!$B$22,0))/(1-Model!$B$9)/(1+Model!$B$18)^0))</f>
        <v/>
      </c>
      <c r="O3" s="7">
        <f>IF(A3="","",IF((A3+1)&gt;Model!$B$4,0,MAX(0,Model!$B$6-IF((A3+1)&gt;=Model!$B$11,Model!$B$20,0)-IF(1&lt;Model!$B$15,Model!$B$22,0))/(1-Model!$B$9)/(1+Model!$B$18)^1))</f>
        <v/>
      </c>
      <c r="P3" s="7">
        <f>IF(A3="","",IF((A3+2)&gt;Model!$B$4,0,MAX(0,Model!$B$6-IF((A3+2)&gt;=Model!$B$11,Model!$B$20,0)-IF(2&lt;Model!$B$15,Model!$B$22,0))/(1-Model!$B$9)/(1+Model!$B$18)^2))</f>
        <v/>
      </c>
      <c r="Q3" s="7">
        <f>IF(A3="","",IF((A3+3)&gt;Model!$B$4,0,MAX(0,Model!$B$6-IF((A3+3)&gt;=Model!$B$11,Model!$B$20,0)-IF(3&lt;Model!$B$15,Model!$B$22,0))/(1-Model!$B$9)/(1+Model!$B$18)^3))</f>
        <v/>
      </c>
      <c r="R3" s="7">
        <f>IF(A3="","",IF((A3+4)&gt;Model!$B$4,0,MAX(0,Model!$B$6-IF((A3+4)&gt;=Model!$B$11,Model!$B$20,0)-IF(4&lt;Model!$B$15,Model!$B$22,0))/(1-Model!$B$9)/(1+Model!$B$18)^4))</f>
        <v/>
      </c>
      <c r="S3" s="7">
        <f>IF(A3="","",IF((A3+5)&gt;Model!$B$4,0,MAX(0,Model!$B$6-IF((A3+5)&gt;=Model!$B$11,Model!$B$20,0)-IF(5&lt;Model!$B$15,Model!$B$22,0))/(1-Model!$B$9)/(1+Model!$B$18)^5))</f>
        <v/>
      </c>
      <c r="T3" s="7">
        <f>IF(A3="","",IF((A3+6)&gt;Model!$B$4,0,MAX(0,Model!$B$6-IF((A3+6)&gt;=Model!$B$11,Model!$B$20,0)-IF(6&lt;Model!$B$15,Model!$B$22,0))/(1-Model!$B$9)/(1+Model!$B$18)^6))</f>
        <v/>
      </c>
      <c r="U3" s="7">
        <f>IF(A3="","",IF((A3+7)&gt;Model!$B$4,0,MAX(0,Model!$B$6-IF((A3+7)&gt;=Model!$B$11,Model!$B$20,0)-IF(7&lt;Model!$B$15,Model!$B$22,0))/(1-Model!$B$9)/(1+Model!$B$18)^7))</f>
        <v/>
      </c>
      <c r="V3" s="7">
        <f>IF(A3="","",IF((A3+8)&gt;Model!$B$4,0,MAX(0,Model!$B$6-IF((A3+8)&gt;=Model!$B$11,Model!$B$20,0)-IF(8&lt;Model!$B$15,Model!$B$22,0))/(1-Model!$B$9)/(1+Model!$B$18)^8))</f>
        <v/>
      </c>
      <c r="W3" s="7">
        <f>IF(A3="","",IF((A3+9)&gt;Model!$B$4,0,MAX(0,Model!$B$6-IF((A3+9)&gt;=Model!$B$11,Model!$B$20,0)-IF(9&lt;Model!$B$15,Model!$B$22,0))/(1-Model!$B$9)/(1+Model!$B$18)^9))</f>
        <v/>
      </c>
      <c r="X3" s="7">
        <f>IF(A3="","",IF((A3+10)&gt;Model!$B$4,0,MAX(0,Model!$B$6-IF((A3+10)&gt;=Model!$B$11,Model!$B$20,0)-IF(10&lt;Model!$B$15,Model!$B$22,0))/(1-Model!$B$9)/(1+Model!$B$18)^10))</f>
        <v/>
      </c>
      <c r="Y3" s="7">
        <f>IF(A3="","",IF((A3+11)&gt;Model!$B$4,0,MAX(0,Model!$B$6-IF((A3+11)&gt;=Model!$B$11,Model!$B$20,0)-IF(11&lt;Model!$B$15,Model!$B$22,0))/(1-Model!$B$9)/(1+Model!$B$18)^11))</f>
        <v/>
      </c>
      <c r="Z3" s="7">
        <f>IF(A3="","",IF((A3+12)&gt;Model!$B$4,0,MAX(0,Model!$B$6-IF((A3+12)&gt;=Model!$B$11,Model!$B$20,0)-IF(12&lt;Model!$B$15,Model!$B$22,0))/(1-Model!$B$9)/(1+Model!$B$18)^12))</f>
        <v/>
      </c>
      <c r="AA3" s="7">
        <f>IF(A3="","",IF((A3+13)&gt;Model!$B$4,0,MAX(0,Model!$B$6-IF((A3+13)&gt;=Model!$B$11,Model!$B$20,0)-IF(13&lt;Model!$B$15,Model!$B$22,0))/(1-Model!$B$9)/(1+Model!$B$18)^13))</f>
        <v/>
      </c>
      <c r="AB3" s="7">
        <f>IF(A3="","",IF((A3+14)&gt;Model!$B$4,0,MAX(0,Model!$B$6-IF((A3+14)&gt;=Model!$B$11,Model!$B$20,0)-IF(14&lt;Model!$B$15,Model!$B$22,0))/(1-Model!$B$9)/(1+Model!$B$18)^14))</f>
        <v/>
      </c>
      <c r="AC3" s="7">
        <f>IF(A3="","",IF((A3+15)&gt;Model!$B$4,0,MAX(0,Model!$B$6-IF((A3+15)&gt;=Model!$B$11,Model!$B$20,0)-IF(15&lt;Model!$B$15,Model!$B$22,0))/(1-Model!$B$9)/(1+Model!$B$18)^15))</f>
        <v/>
      </c>
      <c r="AD3" s="7">
        <f>IF(A3="","",IF((A3+16)&gt;Model!$B$4,0,MAX(0,Model!$B$6-IF((A3+16)&gt;=Model!$B$11,Model!$B$20,0)-IF(16&lt;Model!$B$15,Model!$B$22,0))/(1-Model!$B$9)/(1+Model!$B$18)^16))</f>
        <v/>
      </c>
      <c r="AE3" s="7">
        <f>IF(A3="","",IF((A3+17)&gt;Model!$B$4,0,MAX(0,Model!$B$6-IF((A3+17)&gt;=Model!$B$11,Model!$B$20,0)-IF(17&lt;Model!$B$15,Model!$B$22,0))/(1-Model!$B$9)/(1+Model!$B$18)^17))</f>
        <v/>
      </c>
      <c r="AF3" s="7">
        <f>IF(A3="","",IF((A3+18)&gt;Model!$B$4,0,MAX(0,Model!$B$6-IF((A3+18)&gt;=Model!$B$11,Model!$B$20,0)-IF(18&lt;Model!$B$15,Model!$B$22,0))/(1-Model!$B$9)/(1+Model!$B$18)^18))</f>
        <v/>
      </c>
      <c r="AG3" s="7">
        <f>IF(A3="","",IF((A3+19)&gt;Model!$B$4,0,MAX(0,Model!$B$6-IF((A3+19)&gt;=Model!$B$11,Model!$B$20,0)-IF(19&lt;Model!$B$15,Model!$B$22,0))/(1-Model!$B$9)/(1+Model!$B$18)^19))</f>
        <v/>
      </c>
      <c r="AH3" s="7">
        <f>IF(A3="","",IF((A3+20)&gt;Model!$B$4,0,MAX(0,Model!$B$6-IF((A3+20)&gt;=Model!$B$11,Model!$B$20,0)-IF(20&lt;Model!$B$15,Model!$B$22,0))/(1-Model!$B$9)/(1+Model!$B$18)^20))</f>
        <v/>
      </c>
      <c r="AI3" s="7">
        <f>IF(A3="","",IF((A3+21)&gt;Model!$B$4,0,MAX(0,Model!$B$6-IF((A3+21)&gt;=Model!$B$11,Model!$B$20,0)-IF(21&lt;Model!$B$15,Model!$B$22,0))/(1-Model!$B$9)/(1+Model!$B$18)^21))</f>
        <v/>
      </c>
      <c r="AJ3" s="7">
        <f>IF(A3="","",IF((A3+22)&gt;Model!$B$4,0,MAX(0,Model!$B$6-IF((A3+22)&gt;=Model!$B$11,Model!$B$20,0)-IF(22&lt;Model!$B$15,Model!$B$22,0))/(1-Model!$B$9)/(1+Model!$B$18)^22))</f>
        <v/>
      </c>
      <c r="AK3" s="7">
        <f>IF(A3="","",IF((A3+23)&gt;Model!$B$4,0,MAX(0,Model!$B$6-IF((A3+23)&gt;=Model!$B$11,Model!$B$20,0)-IF(23&lt;Model!$B$15,Model!$B$22,0))/(1-Model!$B$9)/(1+Model!$B$18)^23))</f>
        <v/>
      </c>
      <c r="AL3" s="7">
        <f>IF(A3="","",IF((A3+24)&gt;Model!$B$4,0,MAX(0,Model!$B$6-IF((A3+24)&gt;=Model!$B$11,Model!$B$20,0)-IF(24&lt;Model!$B$15,Model!$B$22,0))/(1-Model!$B$9)/(1+Model!$B$18)^24))</f>
        <v/>
      </c>
      <c r="AM3" s="7">
        <f>IF(A3="","",IF((A3+25)&gt;Model!$B$4,0,MAX(0,Model!$B$6-IF((A3+25)&gt;=Model!$B$11,Model!$B$20,0)-IF(25&lt;Model!$B$15,Model!$B$22,0))/(1-Model!$B$9)/(1+Model!$B$18)^25))</f>
        <v/>
      </c>
      <c r="AN3" s="7">
        <f>IF(A3="","",IF((A3+26)&gt;Model!$B$4,0,MAX(0,Model!$B$6-IF((A3+26)&gt;=Model!$B$11,Model!$B$20,0)-IF(26&lt;Model!$B$15,Model!$B$22,0))/(1-Model!$B$9)/(1+Model!$B$18)^26))</f>
        <v/>
      </c>
      <c r="AO3" s="7">
        <f>IF(A3="","",IF((A3+27)&gt;Model!$B$4,0,MAX(0,Model!$B$6-IF((A3+27)&gt;=Model!$B$11,Model!$B$20,0)-IF(27&lt;Model!$B$15,Model!$B$22,0))/(1-Model!$B$9)/(1+Model!$B$18)^27))</f>
        <v/>
      </c>
      <c r="AP3" s="7">
        <f>IF(A3="","",IF((A3+28)&gt;Model!$B$4,0,MAX(0,Model!$B$6-IF((A3+28)&gt;=Model!$B$11,Model!$B$20,0)-IF(28&lt;Model!$B$15,Model!$B$22,0))/(1-Model!$B$9)/(1+Model!$B$18)^28))</f>
        <v/>
      </c>
      <c r="AQ3" s="7">
        <f>IF(A3="","",IF((A3+29)&gt;Model!$B$4,0,MAX(0,Model!$B$6-IF((A3+29)&gt;=Model!$B$11,Model!$B$20,0)-IF(29&lt;Model!$B$15,Model!$B$22,0))/(1-Model!$B$9)/(1+Model!$B$18)^29))</f>
        <v/>
      </c>
      <c r="AR3" s="7">
        <f>IF(A3="","",IF((A3+30)&gt;Model!$B$4,0,MAX(0,Model!$B$6-IF((A3+30)&gt;=Model!$B$11,Model!$B$20,0)-IF(30&lt;Model!$B$15,Model!$B$22,0))/(1-Model!$B$9)/(1+Model!$B$18)^30))</f>
        <v/>
      </c>
      <c r="AS3" s="7">
        <f>IF(A3="","",IF((A3+31)&gt;Model!$B$4,0,MAX(0,Model!$B$6-IF((A3+31)&gt;=Model!$B$11,Model!$B$20,0)-IF(31&lt;Model!$B$15,Model!$B$22,0))/(1-Model!$B$9)/(1+Model!$B$18)^31))</f>
        <v/>
      </c>
      <c r="AT3" s="7">
        <f>IF(A3="","",IF((A3+32)&gt;Model!$B$4,0,MAX(0,Model!$B$6-IF((A3+32)&gt;=Model!$B$11,Model!$B$20,0)-IF(32&lt;Model!$B$15,Model!$B$22,0))/(1-Model!$B$9)/(1+Model!$B$18)^32))</f>
        <v/>
      </c>
      <c r="AU3" s="7">
        <f>IF(A3="","",IF((A3+33)&gt;Model!$B$4,0,MAX(0,Model!$B$6-IF((A3+33)&gt;=Model!$B$11,Model!$B$20,0)-IF(33&lt;Model!$B$15,Model!$B$22,0))/(1-Model!$B$9)/(1+Model!$B$18)^33))</f>
        <v/>
      </c>
      <c r="AV3" s="7">
        <f>IF(A3="","",IF((A3+34)&gt;Model!$B$4,0,MAX(0,Model!$B$6-IF((A3+34)&gt;=Model!$B$11,Model!$B$20,0)-IF(34&lt;Model!$B$15,Model!$B$22,0))/(1-Model!$B$9)/(1+Model!$B$18)^34))</f>
        <v/>
      </c>
      <c r="AW3" s="7">
        <f>IF(A3="","",IF((A3+35)&gt;Model!$B$4,0,MAX(0,Model!$B$6-IF((A3+35)&gt;=Model!$B$11,Model!$B$20,0)-IF(35&lt;Model!$B$15,Model!$B$22,0))/(1-Model!$B$9)/(1+Model!$B$18)^35))</f>
        <v/>
      </c>
      <c r="AX3" s="7">
        <f>IF(A3="","",IF((A3+36)&gt;Model!$B$4,0,MAX(0,Model!$B$6-IF((A3+36)&gt;=Model!$B$11,Model!$B$20,0)-IF(36&lt;Model!$B$15,Model!$B$22,0))/(1-Model!$B$9)/(1+Model!$B$18)^36))</f>
        <v/>
      </c>
      <c r="AY3" s="7">
        <f>IF(A3="","",IF((A3+37)&gt;Model!$B$4,0,MAX(0,Model!$B$6-IF((A3+37)&gt;=Model!$B$11,Model!$B$20,0)-IF(37&lt;Model!$B$15,Model!$B$22,0))/(1-Model!$B$9)/(1+Model!$B$18)^37))</f>
        <v/>
      </c>
      <c r="AZ3" s="7">
        <f>IF(A3="","",IF((A3+38)&gt;Model!$B$4,0,MAX(0,Model!$B$6-IF((A3+38)&gt;=Model!$B$11,Model!$B$20,0)-IF(38&lt;Model!$B$15,Model!$B$22,0))/(1-Model!$B$9)/(1+Model!$B$18)^38))</f>
        <v/>
      </c>
      <c r="BA3" s="7">
        <f>IF(A3="","",IF((A3+39)&gt;Model!$B$4,0,MAX(0,Model!$B$6-IF((A3+39)&gt;=Model!$B$11,Model!$B$20,0)-IF(39&lt;Model!$B$15,Model!$B$22,0))/(1-Model!$B$9)/(1+Model!$B$18)^39))</f>
        <v/>
      </c>
      <c r="BB3" s="7">
        <f>IF(A3="","",IF((A3+40)&gt;Model!$B$4,0,MAX(0,Model!$B$6-IF((A3+40)&gt;=Model!$B$11,Model!$B$20,0)-IF(40&lt;Model!$B$15,Model!$B$22,0))/(1-Model!$B$9)/(1+Model!$B$18)^40))</f>
        <v/>
      </c>
      <c r="BC3" s="7">
        <f>IF(A3="","",IF((A3+41)&gt;Model!$B$4,0,MAX(0,Model!$B$6-IF((A3+41)&gt;=Model!$B$11,Model!$B$20,0)-IF(41&lt;Model!$B$15,Model!$B$22,0))/(1-Model!$B$9)/(1+Model!$B$18)^41))</f>
        <v/>
      </c>
      <c r="BD3" s="7">
        <f>IF(A3="","",IF((A3+42)&gt;Model!$B$4,0,MAX(0,Model!$B$6-IF((A3+42)&gt;=Model!$B$11,Model!$B$20,0)-IF(42&lt;Model!$B$15,Model!$B$22,0))/(1-Model!$B$9)/(1+Model!$B$18)^42))</f>
        <v/>
      </c>
      <c r="BE3" s="7">
        <f>IF(A3="","",IF((A3+43)&gt;Model!$B$4,0,MAX(0,Model!$B$6-IF((A3+43)&gt;=Model!$B$11,Model!$B$20,0)-IF(43&lt;Model!$B$15,Model!$B$22,0))/(1-Model!$B$9)/(1+Model!$B$18)^43))</f>
        <v/>
      </c>
      <c r="BF3" s="7">
        <f>IF(A3="","",IF((A3+44)&gt;Model!$B$4,0,MAX(0,Model!$B$6-IF((A3+44)&gt;=Model!$B$11,Model!$B$20,0)-IF(44&lt;Model!$B$15,Model!$B$22,0))/(1-Model!$B$9)/(1+Model!$B$18)^44))</f>
        <v/>
      </c>
      <c r="BG3" s="7">
        <f>IF(A3="","",IF((A3+45)&gt;Model!$B$4,0,MAX(0,Model!$B$6-IF((A3+45)&gt;=Model!$B$11,Model!$B$20,0)-IF(45&lt;Model!$B$15,Model!$B$22,0))/(1-Model!$B$9)/(1+Model!$B$18)^45))</f>
        <v/>
      </c>
      <c r="BH3" s="7">
        <f>IF(A3="","",IF((A3+46)&gt;Model!$B$4,0,MAX(0,Model!$B$6-IF((A3+46)&gt;=Model!$B$11,Model!$B$20,0)-IF(46&lt;Model!$B$15,Model!$B$22,0))/(1-Model!$B$9)/(1+Model!$B$18)^46))</f>
        <v/>
      </c>
      <c r="BI3" s="7">
        <f>IF(A3="","",IF((A3+47)&gt;Model!$B$4,0,MAX(0,Model!$B$6-IF((A3+47)&gt;=Model!$B$11,Model!$B$20,0)-IF(47&lt;Model!$B$15,Model!$B$22,0))/(1-Model!$B$9)/(1+Model!$B$18)^47))</f>
        <v/>
      </c>
      <c r="BJ3" s="7">
        <f>IF(A3="","",IF((A3+48)&gt;Model!$B$4,0,MAX(0,Model!$B$6-IF((A3+48)&gt;=Model!$B$11,Model!$B$20,0)-IF(48&lt;Model!$B$15,Model!$B$22,0))/(1-Model!$B$9)/(1+Model!$B$18)^48))</f>
        <v/>
      </c>
      <c r="BK3" s="7">
        <f>IF(A3="","",IF((A3+49)&gt;Model!$B$4,0,MAX(0,Model!$B$6-IF((A3+49)&gt;=Model!$B$11,Model!$B$20,0)-IF(49&lt;Model!$B$15,Model!$B$22,0))/(1-Model!$B$9)/(1+Model!$B$18)^49))</f>
        <v/>
      </c>
      <c r="BL3" s="7">
        <f>IF(A3="","",IF((A3+50)&gt;Model!$B$4,0,MAX(0,Model!$B$6-IF((A3+50)&gt;=Model!$B$11,Model!$B$20,0)-IF(50&lt;Model!$B$15,Model!$B$22,0))/(1-Model!$B$9)/(1+Model!$B$18)^50))</f>
        <v/>
      </c>
      <c r="BM3" s="7">
        <f>IF(A3="","",IF((A3+51)&gt;Model!$B$4,0,MAX(0,Model!$B$6-IF((A3+51)&gt;=Model!$B$11,Model!$B$20,0)-IF(51&lt;Model!$B$15,Model!$B$22,0))/(1-Model!$B$9)/(1+Model!$B$18)^51))</f>
        <v/>
      </c>
      <c r="BN3" s="7">
        <f>IF(A3="","",IF((A3+52)&gt;Model!$B$4,0,MAX(0,Model!$B$6-IF((A3+52)&gt;=Model!$B$11,Model!$B$20,0)-IF(52&lt;Model!$B$15,Model!$B$22,0))/(1-Model!$B$9)/(1+Model!$B$18)^52))</f>
        <v/>
      </c>
      <c r="BO3" s="7">
        <f>IF(A3="","",IF((A3+53)&gt;Model!$B$4,0,MAX(0,Model!$B$6-IF((A3+53)&gt;=Model!$B$11,Model!$B$20,0)-IF(53&lt;Model!$B$15,Model!$B$22,0))/(1-Model!$B$9)/(1+Model!$B$18)^53))</f>
        <v/>
      </c>
      <c r="BP3" s="7">
        <f>IF(A3="","",IF((A3+54)&gt;Model!$B$4,0,MAX(0,Model!$B$6-IF((A3+54)&gt;=Model!$B$11,Model!$B$20,0)-IF(54&lt;Model!$B$15,Model!$B$22,0))/(1-Model!$B$9)/(1+Model!$B$18)^54))</f>
        <v/>
      </c>
      <c r="BQ3" s="7">
        <f>IF(A3="","",IF((A3+55)&gt;Model!$B$4,0,MAX(0,Model!$B$6-IF((A3+55)&gt;=Model!$B$11,Model!$B$20,0)-IF(55&lt;Model!$B$15,Model!$B$22,0))/(1-Model!$B$9)/(1+Model!$B$18)^55))</f>
        <v/>
      </c>
      <c r="BR3" s="7">
        <f>IF(A3="","",IF((A3+56)&gt;Model!$B$4,0,MAX(0,Model!$B$6-IF((A3+56)&gt;=Model!$B$11,Model!$B$20,0)-IF(56&lt;Model!$B$15,Model!$B$22,0))/(1-Model!$B$9)/(1+Model!$B$18)^56))</f>
        <v/>
      </c>
      <c r="BS3" s="7">
        <f>IF(A3="","",IF((A3+57)&gt;Model!$B$4,0,MAX(0,Model!$B$6-IF((A3+57)&gt;=Model!$B$11,Model!$B$20,0)-IF(57&lt;Model!$B$15,Model!$B$22,0))/(1-Model!$B$9)/(1+Model!$B$18)^57))</f>
        <v/>
      </c>
      <c r="BT3" s="7">
        <f>IF(A3="","",IF((A3+58)&gt;Model!$B$4,0,MAX(0,Model!$B$6-IF((A3+58)&gt;=Model!$B$11,Model!$B$20,0)-IF(58&lt;Model!$B$15,Model!$B$22,0))/(1-Model!$B$9)/(1+Model!$B$18)^58))</f>
        <v/>
      </c>
      <c r="BU3" s="7">
        <f>IF(A3="","",IF((A3+59)&gt;Model!$B$4,0,MAX(0,Model!$B$6-IF((A3+59)&gt;=Model!$B$11,Model!$B$20,0)-IF(59&lt;Model!$B$15,Model!$B$22,0))/(1-Model!$B$9)/(1+Model!$B$18)^59))</f>
        <v/>
      </c>
      <c r="BV3" s="7">
        <f>IF(A3="","",IF((A3+60)&gt;Model!$B$4,0,MAX(0,Model!$B$6-IF((A3+60)&gt;=Model!$B$11,Model!$B$20,0)-IF(60&lt;Model!$B$15,Model!$B$22,0))/(1-Model!$B$9)/(1+Model!$B$18)^60))</f>
        <v/>
      </c>
      <c r="BW3" s="7">
        <f>IF(A3="","",IF((A3+61)&gt;Model!$B$4,0,MAX(0,Model!$B$6-IF((A3+61)&gt;=Model!$B$11,Model!$B$20,0)-IF(61&lt;Model!$B$15,Model!$B$22,0))/(1-Model!$B$9)/(1+Model!$B$18)^61))</f>
        <v/>
      </c>
      <c r="BX3" s="7">
        <f>IF(A3="","",IF((A3+62)&gt;Model!$B$4,0,MAX(0,Model!$B$6-IF((A3+62)&gt;=Model!$B$11,Model!$B$20,0)-IF(62&lt;Model!$B$15,Model!$B$22,0))/(1-Model!$B$9)/(1+Model!$B$18)^62))</f>
        <v/>
      </c>
      <c r="BY3" s="7">
        <f>IF(A3="","",IF((A3+63)&gt;Model!$B$4,0,MAX(0,Model!$B$6-IF((A3+63)&gt;=Model!$B$11,Model!$B$20,0)-IF(63&lt;Model!$B$15,Model!$B$22,0))/(1-Model!$B$9)/(1+Model!$B$18)^63))</f>
        <v/>
      </c>
      <c r="BZ3" s="7">
        <f>IF(A3="","",IF((A3+64)&gt;Model!$B$4,0,MAX(0,Model!$B$6-IF((A3+64)&gt;=Model!$B$11,Model!$B$20,0)-IF(64&lt;Model!$B$15,Model!$B$22,0))/(1-Model!$B$9)/(1+Model!$B$18)^64))</f>
        <v/>
      </c>
      <c r="CA3" s="7">
        <f>IF(A3="","",IF((A3+65)&gt;Model!$B$4,0,MAX(0,Model!$B$6-IF((A3+65)&gt;=Model!$B$11,Model!$B$20,0)-IF(65&lt;Model!$B$15,Model!$B$22,0))/(1-Model!$B$9)/(1+Model!$B$18)^65))</f>
        <v/>
      </c>
      <c r="CB3" s="7">
        <f>IF(A3="","",IF((A3+66)&gt;Model!$B$4,0,MAX(0,Model!$B$6-IF((A3+66)&gt;=Model!$B$11,Model!$B$20,0)-IF(66&lt;Model!$B$15,Model!$B$22,0))/(1-Model!$B$9)/(1+Model!$B$18)^66))</f>
        <v/>
      </c>
      <c r="CC3" s="7">
        <f>IF(A3="","",IF((A3+67)&gt;Model!$B$4,0,MAX(0,Model!$B$6-IF((A3+67)&gt;=Model!$B$11,Model!$B$20,0)-IF(67&lt;Model!$B$15,Model!$B$22,0))/(1-Model!$B$9)/(1+Model!$B$18)^67))</f>
        <v/>
      </c>
      <c r="CD3" s="7">
        <f>IF(A3="","",IF((A3+68)&gt;Model!$B$4,0,MAX(0,Model!$B$6-IF((A3+68)&gt;=Model!$B$11,Model!$B$20,0)-IF(68&lt;Model!$B$15,Model!$B$22,0))/(1-Model!$B$9)/(1+Model!$B$18)^68))</f>
        <v/>
      </c>
      <c r="CE3" s="7">
        <f>IF(A3="","",IF((A3+69)&gt;Model!$B$4,0,MAX(0,Model!$B$6-IF((A3+69)&gt;=Model!$B$11,Model!$B$20,0)-IF(69&lt;Model!$B$15,Model!$B$22,0))/(1-Model!$B$9)/(1+Model!$B$18)^69))</f>
        <v/>
      </c>
      <c r="CF3" s="7">
        <f>IF(A3="","",IF((A3+70)&gt;Model!$B$4,0,MAX(0,Model!$B$6-IF((A3+70)&gt;=Model!$B$11,Model!$B$20,0)-IF(70&lt;Model!$B$15,Model!$B$22,0))/(1-Model!$B$9)/(1+Model!$B$18)^70))</f>
        <v/>
      </c>
      <c r="CG3" s="7">
        <f>IF(A3="","",IF((A3+71)&gt;Model!$B$4,0,MAX(0,Model!$B$6-IF((A3+71)&gt;=Model!$B$11,Model!$B$20,0)-IF(71&lt;Model!$B$15,Model!$B$22,0))/(1-Model!$B$9)/(1+Model!$B$18)^71))</f>
        <v/>
      </c>
      <c r="CH3" s="7">
        <f>IF(A3="","",IF((A3+72)&gt;Model!$B$4,0,MAX(0,Model!$B$6-IF((A3+72)&gt;=Model!$B$11,Model!$B$20,0)-IF(72&lt;Model!$B$15,Model!$B$22,0))/(1-Model!$B$9)/(1+Model!$B$18)^72))</f>
        <v/>
      </c>
      <c r="CI3" s="7">
        <f>IF(A3="","",IF((A3+73)&gt;Model!$B$4,0,MAX(0,Model!$B$6-IF((A3+73)&gt;=Model!$B$11,Model!$B$20,0)-IF(73&lt;Model!$B$15,Model!$B$22,0))/(1-Model!$B$9)/(1+Model!$B$18)^73))</f>
        <v/>
      </c>
      <c r="CJ3" s="7">
        <f>IF(A3="","",IF((A3+74)&gt;Model!$B$4,0,MAX(0,Model!$B$6-IF((A3+74)&gt;=Model!$B$11,Model!$B$20,0)-IF(74&lt;Model!$B$15,Model!$B$22,0))/(1-Model!$B$9)/(1+Model!$B$18)^74))</f>
        <v/>
      </c>
      <c r="CK3" s="7">
        <f>IF(A3="","",IF((A3+75)&gt;Model!$B$4,0,MAX(0,Model!$B$6-IF((A3+75)&gt;=Model!$B$11,Model!$B$20,0)-IF(75&lt;Model!$B$15,Model!$B$22,0))/(1-Model!$B$9)/(1+Model!$B$18)^75))</f>
        <v/>
      </c>
      <c r="CL3" s="7">
        <f>IF(A3="","",IF((A3+76)&gt;Model!$B$4,0,MAX(0,Model!$B$6-IF((A3+76)&gt;=Model!$B$11,Model!$B$20,0)-IF(76&lt;Model!$B$15,Model!$B$22,0))/(1-Model!$B$9)/(1+Model!$B$18)^76))</f>
        <v/>
      </c>
      <c r="CM3" s="7">
        <f>IF(A3="","",IF((A3+77)&gt;Model!$B$4,0,MAX(0,Model!$B$6-IF((A3+77)&gt;=Model!$B$11,Model!$B$20,0)-IF(77&lt;Model!$B$15,Model!$B$22,0))/(1-Model!$B$9)/(1+Model!$B$18)^77))</f>
        <v/>
      </c>
      <c r="CN3" s="7">
        <f>IF(A3="","",IF((A3+78)&gt;Model!$B$4,0,MAX(0,Model!$B$6-IF((A3+78)&gt;=Model!$B$11,Model!$B$20,0)-IF(78&lt;Model!$B$15,Model!$B$22,0))/(1-Model!$B$9)/(1+Model!$B$18)^78))</f>
        <v/>
      </c>
      <c r="CO3" s="7">
        <f>IF(A3="","",IF((A3+79)&gt;Model!$B$4,0,MAX(0,Model!$B$6-IF((A3+79)&gt;=Model!$B$11,Model!$B$20,0)-IF(79&lt;Model!$B$15,Model!$B$22,0))/(1-Model!$B$9)/(1+Model!$B$18)^79))</f>
        <v/>
      </c>
      <c r="CP3" s="7">
        <f>IF(A3="","",IF((A3+80)&gt;Model!$B$4,0,MAX(0,Model!$B$6-IF((A3+80)&gt;=Model!$B$11,Model!$B$20,0)-IF(80&lt;Model!$B$15,Model!$B$22,0))/(1-Model!$B$9)/(1+Model!$B$18)^80))</f>
        <v/>
      </c>
      <c r="CQ3" s="7">
        <f>IF(A3="","",IF((A3+81)&gt;Model!$B$4,0,MAX(0,Model!$B$6-IF((A3+81)&gt;=Model!$B$11,Model!$B$20,0)-IF(81&lt;Model!$B$15,Model!$B$22,0))/(1-Model!$B$9)/(1+Model!$B$18)^81))</f>
        <v/>
      </c>
      <c r="CR3" s="7">
        <f>IF(A3="","",IF((A3+82)&gt;Model!$B$4,0,MAX(0,Model!$B$6-IF((A3+82)&gt;=Model!$B$11,Model!$B$20,0)-IF(82&lt;Model!$B$15,Model!$B$22,0))/(1-Model!$B$9)/(1+Model!$B$18)^82))</f>
        <v/>
      </c>
      <c r="CS3" s="7">
        <f>IF(A3="","",IF((A3+83)&gt;Model!$B$4,0,MAX(0,Model!$B$6-IF((A3+83)&gt;=Model!$B$11,Model!$B$20,0)-IF(83&lt;Model!$B$15,Model!$B$22,0))/(1-Model!$B$9)/(1+Model!$B$18)^83))</f>
        <v/>
      </c>
      <c r="CT3" s="7">
        <f>IF(A3="","",IF((A3+84)&gt;Model!$B$4,0,MAX(0,Model!$B$6-IF((A3+84)&gt;=Model!$B$11,Model!$B$20,0)-IF(84&lt;Model!$B$15,Model!$B$22,0))/(1-Model!$B$9)/(1+Model!$B$18)^84))</f>
        <v/>
      </c>
      <c r="CU3" s="7">
        <f>IF(A3="","",IF((A3+85)&gt;Model!$B$4,0,MAX(0,Model!$B$6-IF((A3+85)&gt;=Model!$B$11,Model!$B$20,0)-IF(85&lt;Model!$B$15,Model!$B$22,0))/(1-Model!$B$9)/(1+Model!$B$18)^85))</f>
        <v/>
      </c>
      <c r="CV3" s="7">
        <f>IF(A3="","",IF((A3+86)&gt;Model!$B$4,0,MAX(0,Model!$B$6-IF((A3+86)&gt;=Model!$B$11,Model!$B$20,0)-IF(86&lt;Model!$B$15,Model!$B$22,0))/(1-Model!$B$9)/(1+Model!$B$18)^86))</f>
        <v/>
      </c>
      <c r="CW3" s="7">
        <f>IF(A3="","",IF((A3+87)&gt;Model!$B$4,0,MAX(0,Model!$B$6-IF((A3+87)&gt;=Model!$B$11,Model!$B$20,0)-IF(87&lt;Model!$B$15,Model!$B$22,0))/(1-Model!$B$9)/(1+Model!$B$18)^87))</f>
        <v/>
      </c>
      <c r="CX3" s="7">
        <f>IF(A3="","",IF((A3+88)&gt;Model!$B$4,0,MAX(0,Model!$B$6-IF((A3+88)&gt;=Model!$B$11,Model!$B$20,0)-IF(88&lt;Model!$B$15,Model!$B$22,0))/(1-Model!$B$9)/(1+Model!$B$18)^88))</f>
        <v/>
      </c>
      <c r="CY3" s="7">
        <f>IF(A3="","",IF((A3+89)&gt;Model!$B$4,0,MAX(0,Model!$B$6-IF((A3+89)&gt;=Model!$B$11,Model!$B$20,0)-IF(89&lt;Model!$B$15,Model!$B$22,0))/(1-Model!$B$9)/(1+Model!$B$18)^89))</f>
        <v/>
      </c>
      <c r="CZ3" s="7">
        <f>IF(A3="","",IF((A3+90)&gt;Model!$B$4,0,MAX(0,Model!$B$6-IF((A3+90)&gt;=Model!$B$11,Model!$B$20,0)-IF(90&lt;Model!$B$15,Model!$B$22,0))/(1-Model!$B$9)/(1+Model!$B$18)^90))</f>
        <v/>
      </c>
      <c r="DA3" s="7">
        <f>IF(A3="","",IF((A3+91)&gt;Model!$B$4,0,MAX(0,Model!$B$6-IF((A3+91)&gt;=Model!$B$11,Model!$B$20,0)-IF(91&lt;Model!$B$15,Model!$B$22,0))/(1-Model!$B$9)/(1+Model!$B$18)^91))</f>
        <v/>
      </c>
      <c r="DB3" s="7">
        <f>IF(A3="","",IF((A3+92)&gt;Model!$B$4,0,MAX(0,Model!$B$6-IF((A3+92)&gt;=Model!$B$11,Model!$B$20,0)-IF(92&lt;Model!$B$15,Model!$B$22,0))/(1-Model!$B$9)/(1+Model!$B$18)^92))</f>
        <v/>
      </c>
      <c r="DC3" s="7">
        <f>IF(A3="","",IF((A3+93)&gt;Model!$B$4,0,MAX(0,Model!$B$6-IF((A3+93)&gt;=Model!$B$11,Model!$B$20,0)-IF(93&lt;Model!$B$15,Model!$B$22,0))/(1-Model!$B$9)/(1+Model!$B$18)^93))</f>
        <v/>
      </c>
      <c r="DD3" s="7">
        <f>IF(A3="","",IF((A3+94)&gt;Model!$B$4,0,MAX(0,Model!$B$6-IF((A3+94)&gt;=Model!$B$11,Model!$B$20,0)-IF(94&lt;Model!$B$15,Model!$B$22,0))/(1-Model!$B$9)/(1+Model!$B$18)^94))</f>
        <v/>
      </c>
      <c r="DE3" s="7">
        <f>IF(A3="","",IF((A3+95)&gt;Model!$B$4,0,MAX(0,Model!$B$6-IF((A3+95)&gt;=Model!$B$11,Model!$B$20,0)-IF(95&lt;Model!$B$15,Model!$B$22,0))/(1-Model!$B$9)/(1+Model!$B$18)^95))</f>
        <v/>
      </c>
      <c r="DF3" s="7">
        <f>IF(A3="","",IF((A3+96)&gt;Model!$B$4,0,MAX(0,Model!$B$6-IF((A3+96)&gt;=Model!$B$11,Model!$B$20,0)-IF(96&lt;Model!$B$15,Model!$B$22,0))/(1-Model!$B$9)/(1+Model!$B$18)^96))</f>
        <v/>
      </c>
      <c r="DG3" s="7">
        <f>IF(A3="","",IF((A3+97)&gt;Model!$B$4,0,MAX(0,Model!$B$6-IF((A3+97)&gt;=Model!$B$11,Model!$B$20,0)-IF(97&lt;Model!$B$15,Model!$B$22,0))/(1-Model!$B$9)/(1+Model!$B$18)^97))</f>
        <v/>
      </c>
      <c r="DH3" s="7">
        <f>IF(A3="","",IF((A3+98)&gt;Model!$B$4,0,MAX(0,Model!$B$6-IF((A3+98)&gt;=Model!$B$11,Model!$B$20,0)-IF(98&lt;Model!$B$15,Model!$B$22,0))/(1-Model!$B$9)/(1+Model!$B$18)^98))</f>
        <v/>
      </c>
      <c r="DI3" s="7">
        <f>IF(A3="","",IF((A3+99)&gt;Model!$B$4,0,MAX(0,Model!$B$6-IF((A3+99)&gt;=Model!$B$11,Model!$B$20,0)-IF(99&lt;Model!$B$15,Model!$B$22,0))/(1-Model!$B$9)/(1+Model!$B$18)^99))</f>
        <v/>
      </c>
      <c r="DJ3" s="7">
        <f>IF(A3="","",IF((A3+100)&gt;Model!$B$4,0,MAX(0,Model!$B$6-IF((A3+100)&gt;=Model!$B$11,Model!$B$20,0)-IF(100&lt;Model!$B$15,Model!$B$22,0))/(1-Model!$B$9)/(1+Model!$B$18)^100))</f>
        <v/>
      </c>
      <c r="DK3" s="7">
        <f>IF(A3="","",IF((A3+101)&gt;Model!$B$4,0,MAX(0,Model!$B$6-IF((A3+101)&gt;=Model!$B$11,Model!$B$20,0)-IF(101&lt;Model!$B$15,Model!$B$22,0))/(1-Model!$B$9)/(1+Model!$B$18)^101))</f>
        <v/>
      </c>
      <c r="DL3" s="7">
        <f>IF(A3="","",IF((A3+102)&gt;Model!$B$4,0,MAX(0,Model!$B$6-IF((A3+102)&gt;=Model!$B$11,Model!$B$20,0)-IF(102&lt;Model!$B$15,Model!$B$22,0))/(1-Model!$B$9)/(1+Model!$B$18)^102))</f>
        <v/>
      </c>
      <c r="DM3" s="7">
        <f>IF(A3="","",IF((A3+103)&gt;Model!$B$4,0,MAX(0,Model!$B$6-IF((A3+103)&gt;=Model!$B$11,Model!$B$20,0)-IF(103&lt;Model!$B$15,Model!$B$22,0))/(1-Model!$B$9)/(1+Model!$B$18)^103))</f>
        <v/>
      </c>
      <c r="DN3" s="7">
        <f>IF(A3="","",IF((A3+104)&gt;Model!$B$4,0,MAX(0,Model!$B$6-IF((A3+104)&gt;=Model!$B$11,Model!$B$20,0)-IF(104&lt;Model!$B$15,Model!$B$22,0))/(1-Model!$B$9)/(1+Model!$B$18)^104))</f>
        <v/>
      </c>
      <c r="DO3" s="7">
        <f>IF(A3="","",IF((A3+105)&gt;Model!$B$4,0,MAX(0,Model!$B$6-IF((A3+105)&gt;=Model!$B$11,Model!$B$20,0)-IF(105&lt;Model!$B$15,Model!$B$22,0))/(1-Model!$B$9)/(1+Model!$B$18)^105))</f>
        <v/>
      </c>
      <c r="DP3" s="7">
        <f>IF(A3="","",IF((A3+106)&gt;Model!$B$4,0,MAX(0,Model!$B$6-IF((A3+106)&gt;=Model!$B$11,Model!$B$20,0)-IF(106&lt;Model!$B$15,Model!$B$22,0))/(1-Model!$B$9)/(1+Model!$B$18)^106))</f>
        <v/>
      </c>
      <c r="DQ3" s="7">
        <f>IF(A3="","",IF((A3+107)&gt;Model!$B$4,0,MAX(0,Model!$B$6-IF((A3+107)&gt;=Model!$B$11,Model!$B$20,0)-IF(107&lt;Model!$B$15,Model!$B$22,0))/(1-Model!$B$9)/(1+Model!$B$18)^107))</f>
        <v/>
      </c>
      <c r="DR3" s="7">
        <f>IF(A3="","",IF((A3+108)&gt;Model!$B$4,0,MAX(0,Model!$B$6-IF((A3+108)&gt;=Model!$B$11,Model!$B$20,0)-IF(108&lt;Model!$B$15,Model!$B$22,0))/(1-Model!$B$9)/(1+Model!$B$18)^108))</f>
        <v/>
      </c>
      <c r="DS3" s="7">
        <f>IF(A3="","",IF((A3+109)&gt;Model!$B$4,0,MAX(0,Model!$B$6-IF((A3+109)&gt;=Model!$B$11,Model!$B$20,0)-IF(109&lt;Model!$B$15,Model!$B$22,0))/(1-Model!$B$9)/(1+Model!$B$18)^109))</f>
        <v/>
      </c>
      <c r="DT3" s="7">
        <f>IF(A3="","",IF((A3+110)&gt;Model!$B$4,0,MAX(0,Model!$B$6-IF((A3+110)&gt;=Model!$B$11,Model!$B$20,0)-IF(110&lt;Model!$B$15,Model!$B$22,0))/(1-Model!$B$9)/(1+Model!$B$18)^110))</f>
        <v/>
      </c>
      <c r="DU3" s="7">
        <f>IF(A3="","",IF((A3+111)&gt;Model!$B$4,0,MAX(0,Model!$B$6-IF((A3+111)&gt;=Model!$B$11,Model!$B$20,0)-IF(111&lt;Model!$B$15,Model!$B$22,0))/(1-Model!$B$9)/(1+Model!$B$18)^111))</f>
        <v/>
      </c>
      <c r="DV3" s="7">
        <f>IF(A3="","",IF((A3+112)&gt;Model!$B$4,0,MAX(0,Model!$B$6-IF((A3+112)&gt;=Model!$B$11,Model!$B$20,0)-IF(112&lt;Model!$B$15,Model!$B$22,0))/(1-Model!$B$9)/(1+Model!$B$18)^112))</f>
        <v/>
      </c>
      <c r="DW3" s="7">
        <f>IF(A3="","",IF((A3+113)&gt;Model!$B$4,0,MAX(0,Model!$B$6-IF((A3+113)&gt;=Model!$B$11,Model!$B$20,0)-IF(113&lt;Model!$B$15,Model!$B$22,0))/(1-Model!$B$9)/(1+Model!$B$18)^113))</f>
        <v/>
      </c>
      <c r="DX3" s="7">
        <f>IF(A3="","",IF((A3+114)&gt;Model!$B$4,0,MAX(0,Model!$B$6-IF((A3+114)&gt;=Model!$B$11,Model!$B$20,0)-IF(114&lt;Model!$B$15,Model!$B$22,0))/(1-Model!$B$9)/(1+Model!$B$18)^114))</f>
        <v/>
      </c>
      <c r="DY3" s="7">
        <f>IF(A3="","",IF((A3+115)&gt;Model!$B$4,0,MAX(0,Model!$B$6-IF((A3+115)&gt;=Model!$B$11,Model!$B$20,0)-IF(115&lt;Model!$B$15,Model!$B$22,0))/(1-Model!$B$9)/(1+Model!$B$18)^115))</f>
        <v/>
      </c>
      <c r="DZ3" s="7">
        <f>IF(A3="","",IF((A3+116)&gt;Model!$B$4,0,MAX(0,Model!$B$6-IF((A3+116)&gt;=Model!$B$11,Model!$B$20,0)-IF(116&lt;Model!$B$15,Model!$B$22,0))/(1-Model!$B$9)/(1+Model!$B$18)^116))</f>
        <v/>
      </c>
      <c r="EA3" s="7">
        <f>IF(A3="","",IF((A3+117)&gt;Model!$B$4,0,MAX(0,Model!$B$6-IF((A3+117)&gt;=Model!$B$11,Model!$B$20,0)-IF(117&lt;Model!$B$15,Model!$B$22,0))/(1-Model!$B$9)/(1+Model!$B$18)^117))</f>
        <v/>
      </c>
      <c r="EB3" s="7">
        <f>IF(A3="","",IF((A3+118)&gt;Model!$B$4,0,MAX(0,Model!$B$6-IF((A3+118)&gt;=Model!$B$11,Model!$B$20,0)-IF(118&lt;Model!$B$15,Model!$B$22,0))/(1-Model!$B$9)/(1+Model!$B$18)^118))</f>
        <v/>
      </c>
      <c r="EC3" s="7">
        <f>IF(A3="","",IF((A3+119)&gt;Model!$B$4,0,MAX(0,Model!$B$6-IF((A3+119)&gt;=Model!$B$11,Model!$B$20,0)-IF(119&lt;Model!$B$15,Model!$B$22,0))/(1-Model!$B$9)/(1+Model!$B$18)^119))</f>
        <v/>
      </c>
      <c r="ED3" s="7">
        <f>IF(A3="","",IF((A3+120)&gt;Model!$B$4,0,MAX(0,Model!$B$6-IF((A3+120)&gt;=Model!$B$11,Model!$B$20,0)-IF(120&lt;Model!$B$15,Model!$B$22,0))/(1-Model!$B$9)/(1+Model!$B$18)^120))</f>
        <v/>
      </c>
    </row>
    <row r="4">
      <c r="A4">
        <f>IF(Model!$B$10+ROW()-2&lt;=Model!$B$4,Model!$B$10+ROW()-2,"")</f>
        <v/>
      </c>
      <c r="B4">
        <f>IF(A4="","",A4-Model!$B$10)</f>
        <v/>
      </c>
      <c r="C4" s="7">
        <f>IF(A4="","",Model!$B$5*(1+Model!$B$18)^B4)</f>
        <v/>
      </c>
      <c r="D4" s="7">
        <f>IF(A4="","",SUM(N4:ED4))</f>
        <v/>
      </c>
      <c r="E4" s="7">
        <f>IF(A4="","",IF(A4&gt;=Model!$B$11,Model!$B$20,0))</f>
        <v/>
      </c>
      <c r="F4" s="7">
        <f>IF(A4="","",IF(Model!$B$15&gt;0,Model!$B$22,0))</f>
        <v/>
      </c>
      <c r="G4" s="7">
        <f>IF(A4="","",E4+F4)</f>
        <v/>
      </c>
      <c r="H4" s="7">
        <f>IF(A4="","",MAX(0,Model!$B$6-G4))</f>
        <v/>
      </c>
      <c r="I4" s="7">
        <f>IF(A4="","",H4/(1-Model!$B$9))</f>
        <v/>
      </c>
      <c r="J4" s="7">
        <f>IF(A4="","",C4-D4)</f>
        <v/>
      </c>
      <c r="K4">
        <f>IF(A4="","",C4&gt;=D4)</f>
        <v/>
      </c>
      <c r="L4" s="7">
        <f>IF(A4="","",IF(A4&gt;=Model!$B$11,Model!$B$19*(1+Model!$B$13)^B4,0))</f>
        <v/>
      </c>
      <c r="M4" s="7">
        <f>IF(A4="","",IF(Model!$B$15&gt;0,Model!$B$21*(1+Model!$B$13)^B4,0))</f>
        <v/>
      </c>
      <c r="N4" s="7">
        <f>IF(A4="","",IF((A4+0)&gt;Model!$B$4,0,MAX(0,Model!$B$6-IF((A4+0)&gt;=Model!$B$11,Model!$B$20,0)-IF(0&lt;Model!$B$15,Model!$B$22,0))/(1-Model!$B$9)/(1+Model!$B$18)^0))</f>
        <v/>
      </c>
      <c r="O4" s="7">
        <f>IF(A4="","",IF((A4+1)&gt;Model!$B$4,0,MAX(0,Model!$B$6-IF((A4+1)&gt;=Model!$B$11,Model!$B$20,0)-IF(1&lt;Model!$B$15,Model!$B$22,0))/(1-Model!$B$9)/(1+Model!$B$18)^1))</f>
        <v/>
      </c>
      <c r="P4" s="7">
        <f>IF(A4="","",IF((A4+2)&gt;Model!$B$4,0,MAX(0,Model!$B$6-IF((A4+2)&gt;=Model!$B$11,Model!$B$20,0)-IF(2&lt;Model!$B$15,Model!$B$22,0))/(1-Model!$B$9)/(1+Model!$B$18)^2))</f>
        <v/>
      </c>
      <c r="Q4" s="7">
        <f>IF(A4="","",IF((A4+3)&gt;Model!$B$4,0,MAX(0,Model!$B$6-IF((A4+3)&gt;=Model!$B$11,Model!$B$20,0)-IF(3&lt;Model!$B$15,Model!$B$22,0))/(1-Model!$B$9)/(1+Model!$B$18)^3))</f>
        <v/>
      </c>
      <c r="R4" s="7">
        <f>IF(A4="","",IF((A4+4)&gt;Model!$B$4,0,MAX(0,Model!$B$6-IF((A4+4)&gt;=Model!$B$11,Model!$B$20,0)-IF(4&lt;Model!$B$15,Model!$B$22,0))/(1-Model!$B$9)/(1+Model!$B$18)^4))</f>
        <v/>
      </c>
      <c r="S4" s="7">
        <f>IF(A4="","",IF((A4+5)&gt;Model!$B$4,0,MAX(0,Model!$B$6-IF((A4+5)&gt;=Model!$B$11,Model!$B$20,0)-IF(5&lt;Model!$B$15,Model!$B$22,0))/(1-Model!$B$9)/(1+Model!$B$18)^5))</f>
        <v/>
      </c>
      <c r="T4" s="7">
        <f>IF(A4="","",IF((A4+6)&gt;Model!$B$4,0,MAX(0,Model!$B$6-IF((A4+6)&gt;=Model!$B$11,Model!$B$20,0)-IF(6&lt;Model!$B$15,Model!$B$22,0))/(1-Model!$B$9)/(1+Model!$B$18)^6))</f>
        <v/>
      </c>
      <c r="U4" s="7">
        <f>IF(A4="","",IF((A4+7)&gt;Model!$B$4,0,MAX(0,Model!$B$6-IF((A4+7)&gt;=Model!$B$11,Model!$B$20,0)-IF(7&lt;Model!$B$15,Model!$B$22,0))/(1-Model!$B$9)/(1+Model!$B$18)^7))</f>
        <v/>
      </c>
      <c r="V4" s="7">
        <f>IF(A4="","",IF((A4+8)&gt;Model!$B$4,0,MAX(0,Model!$B$6-IF((A4+8)&gt;=Model!$B$11,Model!$B$20,0)-IF(8&lt;Model!$B$15,Model!$B$22,0))/(1-Model!$B$9)/(1+Model!$B$18)^8))</f>
        <v/>
      </c>
      <c r="W4" s="7">
        <f>IF(A4="","",IF((A4+9)&gt;Model!$B$4,0,MAX(0,Model!$B$6-IF((A4+9)&gt;=Model!$B$11,Model!$B$20,0)-IF(9&lt;Model!$B$15,Model!$B$22,0))/(1-Model!$B$9)/(1+Model!$B$18)^9))</f>
        <v/>
      </c>
      <c r="X4" s="7">
        <f>IF(A4="","",IF((A4+10)&gt;Model!$B$4,0,MAX(0,Model!$B$6-IF((A4+10)&gt;=Model!$B$11,Model!$B$20,0)-IF(10&lt;Model!$B$15,Model!$B$22,0))/(1-Model!$B$9)/(1+Model!$B$18)^10))</f>
        <v/>
      </c>
      <c r="Y4" s="7">
        <f>IF(A4="","",IF((A4+11)&gt;Model!$B$4,0,MAX(0,Model!$B$6-IF((A4+11)&gt;=Model!$B$11,Model!$B$20,0)-IF(11&lt;Model!$B$15,Model!$B$22,0))/(1-Model!$B$9)/(1+Model!$B$18)^11))</f>
        <v/>
      </c>
      <c r="Z4" s="7">
        <f>IF(A4="","",IF((A4+12)&gt;Model!$B$4,0,MAX(0,Model!$B$6-IF((A4+12)&gt;=Model!$B$11,Model!$B$20,0)-IF(12&lt;Model!$B$15,Model!$B$22,0))/(1-Model!$B$9)/(1+Model!$B$18)^12))</f>
        <v/>
      </c>
      <c r="AA4" s="7">
        <f>IF(A4="","",IF((A4+13)&gt;Model!$B$4,0,MAX(0,Model!$B$6-IF((A4+13)&gt;=Model!$B$11,Model!$B$20,0)-IF(13&lt;Model!$B$15,Model!$B$22,0))/(1-Model!$B$9)/(1+Model!$B$18)^13))</f>
        <v/>
      </c>
      <c r="AB4" s="7">
        <f>IF(A4="","",IF((A4+14)&gt;Model!$B$4,0,MAX(0,Model!$B$6-IF((A4+14)&gt;=Model!$B$11,Model!$B$20,0)-IF(14&lt;Model!$B$15,Model!$B$22,0))/(1-Model!$B$9)/(1+Model!$B$18)^14))</f>
        <v/>
      </c>
      <c r="AC4" s="7">
        <f>IF(A4="","",IF((A4+15)&gt;Model!$B$4,0,MAX(0,Model!$B$6-IF((A4+15)&gt;=Model!$B$11,Model!$B$20,0)-IF(15&lt;Model!$B$15,Model!$B$22,0))/(1-Model!$B$9)/(1+Model!$B$18)^15))</f>
        <v/>
      </c>
      <c r="AD4" s="7">
        <f>IF(A4="","",IF((A4+16)&gt;Model!$B$4,0,MAX(0,Model!$B$6-IF((A4+16)&gt;=Model!$B$11,Model!$B$20,0)-IF(16&lt;Model!$B$15,Model!$B$22,0))/(1-Model!$B$9)/(1+Model!$B$18)^16))</f>
        <v/>
      </c>
      <c r="AE4" s="7">
        <f>IF(A4="","",IF((A4+17)&gt;Model!$B$4,0,MAX(0,Model!$B$6-IF((A4+17)&gt;=Model!$B$11,Model!$B$20,0)-IF(17&lt;Model!$B$15,Model!$B$22,0))/(1-Model!$B$9)/(1+Model!$B$18)^17))</f>
        <v/>
      </c>
      <c r="AF4" s="7">
        <f>IF(A4="","",IF((A4+18)&gt;Model!$B$4,0,MAX(0,Model!$B$6-IF((A4+18)&gt;=Model!$B$11,Model!$B$20,0)-IF(18&lt;Model!$B$15,Model!$B$22,0))/(1-Model!$B$9)/(1+Model!$B$18)^18))</f>
        <v/>
      </c>
      <c r="AG4" s="7">
        <f>IF(A4="","",IF((A4+19)&gt;Model!$B$4,0,MAX(0,Model!$B$6-IF((A4+19)&gt;=Model!$B$11,Model!$B$20,0)-IF(19&lt;Model!$B$15,Model!$B$22,0))/(1-Model!$B$9)/(1+Model!$B$18)^19))</f>
        <v/>
      </c>
      <c r="AH4" s="7">
        <f>IF(A4="","",IF((A4+20)&gt;Model!$B$4,0,MAX(0,Model!$B$6-IF((A4+20)&gt;=Model!$B$11,Model!$B$20,0)-IF(20&lt;Model!$B$15,Model!$B$22,0))/(1-Model!$B$9)/(1+Model!$B$18)^20))</f>
        <v/>
      </c>
      <c r="AI4" s="7">
        <f>IF(A4="","",IF((A4+21)&gt;Model!$B$4,0,MAX(0,Model!$B$6-IF((A4+21)&gt;=Model!$B$11,Model!$B$20,0)-IF(21&lt;Model!$B$15,Model!$B$22,0))/(1-Model!$B$9)/(1+Model!$B$18)^21))</f>
        <v/>
      </c>
      <c r="AJ4" s="7">
        <f>IF(A4="","",IF((A4+22)&gt;Model!$B$4,0,MAX(0,Model!$B$6-IF((A4+22)&gt;=Model!$B$11,Model!$B$20,0)-IF(22&lt;Model!$B$15,Model!$B$22,0))/(1-Model!$B$9)/(1+Model!$B$18)^22))</f>
        <v/>
      </c>
      <c r="AK4" s="7">
        <f>IF(A4="","",IF((A4+23)&gt;Model!$B$4,0,MAX(0,Model!$B$6-IF((A4+23)&gt;=Model!$B$11,Model!$B$20,0)-IF(23&lt;Model!$B$15,Model!$B$22,0))/(1-Model!$B$9)/(1+Model!$B$18)^23))</f>
        <v/>
      </c>
      <c r="AL4" s="7">
        <f>IF(A4="","",IF((A4+24)&gt;Model!$B$4,0,MAX(0,Model!$B$6-IF((A4+24)&gt;=Model!$B$11,Model!$B$20,0)-IF(24&lt;Model!$B$15,Model!$B$22,0))/(1-Model!$B$9)/(1+Model!$B$18)^24))</f>
        <v/>
      </c>
      <c r="AM4" s="7">
        <f>IF(A4="","",IF((A4+25)&gt;Model!$B$4,0,MAX(0,Model!$B$6-IF((A4+25)&gt;=Model!$B$11,Model!$B$20,0)-IF(25&lt;Model!$B$15,Model!$B$22,0))/(1-Model!$B$9)/(1+Model!$B$18)^25))</f>
        <v/>
      </c>
      <c r="AN4" s="7">
        <f>IF(A4="","",IF((A4+26)&gt;Model!$B$4,0,MAX(0,Model!$B$6-IF((A4+26)&gt;=Model!$B$11,Model!$B$20,0)-IF(26&lt;Model!$B$15,Model!$B$22,0))/(1-Model!$B$9)/(1+Model!$B$18)^26))</f>
        <v/>
      </c>
      <c r="AO4" s="7">
        <f>IF(A4="","",IF((A4+27)&gt;Model!$B$4,0,MAX(0,Model!$B$6-IF((A4+27)&gt;=Model!$B$11,Model!$B$20,0)-IF(27&lt;Model!$B$15,Model!$B$22,0))/(1-Model!$B$9)/(1+Model!$B$18)^27))</f>
        <v/>
      </c>
      <c r="AP4" s="7">
        <f>IF(A4="","",IF((A4+28)&gt;Model!$B$4,0,MAX(0,Model!$B$6-IF((A4+28)&gt;=Model!$B$11,Model!$B$20,0)-IF(28&lt;Model!$B$15,Model!$B$22,0))/(1-Model!$B$9)/(1+Model!$B$18)^28))</f>
        <v/>
      </c>
      <c r="AQ4" s="7">
        <f>IF(A4="","",IF((A4+29)&gt;Model!$B$4,0,MAX(0,Model!$B$6-IF((A4+29)&gt;=Model!$B$11,Model!$B$20,0)-IF(29&lt;Model!$B$15,Model!$B$22,0))/(1-Model!$B$9)/(1+Model!$B$18)^29))</f>
        <v/>
      </c>
      <c r="AR4" s="7">
        <f>IF(A4="","",IF((A4+30)&gt;Model!$B$4,0,MAX(0,Model!$B$6-IF((A4+30)&gt;=Model!$B$11,Model!$B$20,0)-IF(30&lt;Model!$B$15,Model!$B$22,0))/(1-Model!$B$9)/(1+Model!$B$18)^30))</f>
        <v/>
      </c>
      <c r="AS4" s="7">
        <f>IF(A4="","",IF((A4+31)&gt;Model!$B$4,0,MAX(0,Model!$B$6-IF((A4+31)&gt;=Model!$B$11,Model!$B$20,0)-IF(31&lt;Model!$B$15,Model!$B$22,0))/(1-Model!$B$9)/(1+Model!$B$18)^31))</f>
        <v/>
      </c>
      <c r="AT4" s="7">
        <f>IF(A4="","",IF((A4+32)&gt;Model!$B$4,0,MAX(0,Model!$B$6-IF((A4+32)&gt;=Model!$B$11,Model!$B$20,0)-IF(32&lt;Model!$B$15,Model!$B$22,0))/(1-Model!$B$9)/(1+Model!$B$18)^32))</f>
        <v/>
      </c>
      <c r="AU4" s="7">
        <f>IF(A4="","",IF((A4+33)&gt;Model!$B$4,0,MAX(0,Model!$B$6-IF((A4+33)&gt;=Model!$B$11,Model!$B$20,0)-IF(33&lt;Model!$B$15,Model!$B$22,0))/(1-Model!$B$9)/(1+Model!$B$18)^33))</f>
        <v/>
      </c>
      <c r="AV4" s="7">
        <f>IF(A4="","",IF((A4+34)&gt;Model!$B$4,0,MAX(0,Model!$B$6-IF((A4+34)&gt;=Model!$B$11,Model!$B$20,0)-IF(34&lt;Model!$B$15,Model!$B$22,0))/(1-Model!$B$9)/(1+Model!$B$18)^34))</f>
        <v/>
      </c>
      <c r="AW4" s="7">
        <f>IF(A4="","",IF((A4+35)&gt;Model!$B$4,0,MAX(0,Model!$B$6-IF((A4+35)&gt;=Model!$B$11,Model!$B$20,0)-IF(35&lt;Model!$B$15,Model!$B$22,0))/(1-Model!$B$9)/(1+Model!$B$18)^35))</f>
        <v/>
      </c>
      <c r="AX4" s="7">
        <f>IF(A4="","",IF((A4+36)&gt;Model!$B$4,0,MAX(0,Model!$B$6-IF((A4+36)&gt;=Model!$B$11,Model!$B$20,0)-IF(36&lt;Model!$B$15,Model!$B$22,0))/(1-Model!$B$9)/(1+Model!$B$18)^36))</f>
        <v/>
      </c>
      <c r="AY4" s="7">
        <f>IF(A4="","",IF((A4+37)&gt;Model!$B$4,0,MAX(0,Model!$B$6-IF((A4+37)&gt;=Model!$B$11,Model!$B$20,0)-IF(37&lt;Model!$B$15,Model!$B$22,0))/(1-Model!$B$9)/(1+Model!$B$18)^37))</f>
        <v/>
      </c>
      <c r="AZ4" s="7">
        <f>IF(A4="","",IF((A4+38)&gt;Model!$B$4,0,MAX(0,Model!$B$6-IF((A4+38)&gt;=Model!$B$11,Model!$B$20,0)-IF(38&lt;Model!$B$15,Model!$B$22,0))/(1-Model!$B$9)/(1+Model!$B$18)^38))</f>
        <v/>
      </c>
      <c r="BA4" s="7">
        <f>IF(A4="","",IF((A4+39)&gt;Model!$B$4,0,MAX(0,Model!$B$6-IF((A4+39)&gt;=Model!$B$11,Model!$B$20,0)-IF(39&lt;Model!$B$15,Model!$B$22,0))/(1-Model!$B$9)/(1+Model!$B$18)^39))</f>
        <v/>
      </c>
      <c r="BB4" s="7">
        <f>IF(A4="","",IF((A4+40)&gt;Model!$B$4,0,MAX(0,Model!$B$6-IF((A4+40)&gt;=Model!$B$11,Model!$B$20,0)-IF(40&lt;Model!$B$15,Model!$B$22,0))/(1-Model!$B$9)/(1+Model!$B$18)^40))</f>
        <v/>
      </c>
      <c r="BC4" s="7">
        <f>IF(A4="","",IF((A4+41)&gt;Model!$B$4,0,MAX(0,Model!$B$6-IF((A4+41)&gt;=Model!$B$11,Model!$B$20,0)-IF(41&lt;Model!$B$15,Model!$B$22,0))/(1-Model!$B$9)/(1+Model!$B$18)^41))</f>
        <v/>
      </c>
      <c r="BD4" s="7">
        <f>IF(A4="","",IF((A4+42)&gt;Model!$B$4,0,MAX(0,Model!$B$6-IF((A4+42)&gt;=Model!$B$11,Model!$B$20,0)-IF(42&lt;Model!$B$15,Model!$B$22,0))/(1-Model!$B$9)/(1+Model!$B$18)^42))</f>
        <v/>
      </c>
      <c r="BE4" s="7">
        <f>IF(A4="","",IF((A4+43)&gt;Model!$B$4,0,MAX(0,Model!$B$6-IF((A4+43)&gt;=Model!$B$11,Model!$B$20,0)-IF(43&lt;Model!$B$15,Model!$B$22,0))/(1-Model!$B$9)/(1+Model!$B$18)^43))</f>
        <v/>
      </c>
      <c r="BF4" s="7">
        <f>IF(A4="","",IF((A4+44)&gt;Model!$B$4,0,MAX(0,Model!$B$6-IF((A4+44)&gt;=Model!$B$11,Model!$B$20,0)-IF(44&lt;Model!$B$15,Model!$B$22,0))/(1-Model!$B$9)/(1+Model!$B$18)^44))</f>
        <v/>
      </c>
      <c r="BG4" s="7">
        <f>IF(A4="","",IF((A4+45)&gt;Model!$B$4,0,MAX(0,Model!$B$6-IF((A4+45)&gt;=Model!$B$11,Model!$B$20,0)-IF(45&lt;Model!$B$15,Model!$B$22,0))/(1-Model!$B$9)/(1+Model!$B$18)^45))</f>
        <v/>
      </c>
      <c r="BH4" s="7">
        <f>IF(A4="","",IF((A4+46)&gt;Model!$B$4,0,MAX(0,Model!$B$6-IF((A4+46)&gt;=Model!$B$11,Model!$B$20,0)-IF(46&lt;Model!$B$15,Model!$B$22,0))/(1-Model!$B$9)/(1+Model!$B$18)^46))</f>
        <v/>
      </c>
      <c r="BI4" s="7">
        <f>IF(A4="","",IF((A4+47)&gt;Model!$B$4,0,MAX(0,Model!$B$6-IF((A4+47)&gt;=Model!$B$11,Model!$B$20,0)-IF(47&lt;Model!$B$15,Model!$B$22,0))/(1-Model!$B$9)/(1+Model!$B$18)^47))</f>
        <v/>
      </c>
      <c r="BJ4" s="7">
        <f>IF(A4="","",IF((A4+48)&gt;Model!$B$4,0,MAX(0,Model!$B$6-IF((A4+48)&gt;=Model!$B$11,Model!$B$20,0)-IF(48&lt;Model!$B$15,Model!$B$22,0))/(1-Model!$B$9)/(1+Model!$B$18)^48))</f>
        <v/>
      </c>
      <c r="BK4" s="7">
        <f>IF(A4="","",IF((A4+49)&gt;Model!$B$4,0,MAX(0,Model!$B$6-IF((A4+49)&gt;=Model!$B$11,Model!$B$20,0)-IF(49&lt;Model!$B$15,Model!$B$22,0))/(1-Model!$B$9)/(1+Model!$B$18)^49))</f>
        <v/>
      </c>
      <c r="BL4" s="7">
        <f>IF(A4="","",IF((A4+50)&gt;Model!$B$4,0,MAX(0,Model!$B$6-IF((A4+50)&gt;=Model!$B$11,Model!$B$20,0)-IF(50&lt;Model!$B$15,Model!$B$22,0))/(1-Model!$B$9)/(1+Model!$B$18)^50))</f>
        <v/>
      </c>
      <c r="BM4" s="7">
        <f>IF(A4="","",IF((A4+51)&gt;Model!$B$4,0,MAX(0,Model!$B$6-IF((A4+51)&gt;=Model!$B$11,Model!$B$20,0)-IF(51&lt;Model!$B$15,Model!$B$22,0))/(1-Model!$B$9)/(1+Model!$B$18)^51))</f>
        <v/>
      </c>
      <c r="BN4" s="7">
        <f>IF(A4="","",IF((A4+52)&gt;Model!$B$4,0,MAX(0,Model!$B$6-IF((A4+52)&gt;=Model!$B$11,Model!$B$20,0)-IF(52&lt;Model!$B$15,Model!$B$22,0))/(1-Model!$B$9)/(1+Model!$B$18)^52))</f>
        <v/>
      </c>
      <c r="BO4" s="7">
        <f>IF(A4="","",IF((A4+53)&gt;Model!$B$4,0,MAX(0,Model!$B$6-IF((A4+53)&gt;=Model!$B$11,Model!$B$20,0)-IF(53&lt;Model!$B$15,Model!$B$22,0))/(1-Model!$B$9)/(1+Model!$B$18)^53))</f>
        <v/>
      </c>
      <c r="BP4" s="7">
        <f>IF(A4="","",IF((A4+54)&gt;Model!$B$4,0,MAX(0,Model!$B$6-IF((A4+54)&gt;=Model!$B$11,Model!$B$20,0)-IF(54&lt;Model!$B$15,Model!$B$22,0))/(1-Model!$B$9)/(1+Model!$B$18)^54))</f>
        <v/>
      </c>
      <c r="BQ4" s="7">
        <f>IF(A4="","",IF((A4+55)&gt;Model!$B$4,0,MAX(0,Model!$B$6-IF((A4+55)&gt;=Model!$B$11,Model!$B$20,0)-IF(55&lt;Model!$B$15,Model!$B$22,0))/(1-Model!$B$9)/(1+Model!$B$18)^55))</f>
        <v/>
      </c>
      <c r="BR4" s="7">
        <f>IF(A4="","",IF((A4+56)&gt;Model!$B$4,0,MAX(0,Model!$B$6-IF((A4+56)&gt;=Model!$B$11,Model!$B$20,0)-IF(56&lt;Model!$B$15,Model!$B$22,0))/(1-Model!$B$9)/(1+Model!$B$18)^56))</f>
        <v/>
      </c>
      <c r="BS4" s="7">
        <f>IF(A4="","",IF((A4+57)&gt;Model!$B$4,0,MAX(0,Model!$B$6-IF((A4+57)&gt;=Model!$B$11,Model!$B$20,0)-IF(57&lt;Model!$B$15,Model!$B$22,0))/(1-Model!$B$9)/(1+Model!$B$18)^57))</f>
        <v/>
      </c>
      <c r="BT4" s="7">
        <f>IF(A4="","",IF((A4+58)&gt;Model!$B$4,0,MAX(0,Model!$B$6-IF((A4+58)&gt;=Model!$B$11,Model!$B$20,0)-IF(58&lt;Model!$B$15,Model!$B$22,0))/(1-Model!$B$9)/(1+Model!$B$18)^58))</f>
        <v/>
      </c>
      <c r="BU4" s="7">
        <f>IF(A4="","",IF((A4+59)&gt;Model!$B$4,0,MAX(0,Model!$B$6-IF((A4+59)&gt;=Model!$B$11,Model!$B$20,0)-IF(59&lt;Model!$B$15,Model!$B$22,0))/(1-Model!$B$9)/(1+Model!$B$18)^59))</f>
        <v/>
      </c>
      <c r="BV4" s="7">
        <f>IF(A4="","",IF((A4+60)&gt;Model!$B$4,0,MAX(0,Model!$B$6-IF((A4+60)&gt;=Model!$B$11,Model!$B$20,0)-IF(60&lt;Model!$B$15,Model!$B$22,0))/(1-Model!$B$9)/(1+Model!$B$18)^60))</f>
        <v/>
      </c>
      <c r="BW4" s="7">
        <f>IF(A4="","",IF((A4+61)&gt;Model!$B$4,0,MAX(0,Model!$B$6-IF((A4+61)&gt;=Model!$B$11,Model!$B$20,0)-IF(61&lt;Model!$B$15,Model!$B$22,0))/(1-Model!$B$9)/(1+Model!$B$18)^61))</f>
        <v/>
      </c>
      <c r="BX4" s="7">
        <f>IF(A4="","",IF((A4+62)&gt;Model!$B$4,0,MAX(0,Model!$B$6-IF((A4+62)&gt;=Model!$B$11,Model!$B$20,0)-IF(62&lt;Model!$B$15,Model!$B$22,0))/(1-Model!$B$9)/(1+Model!$B$18)^62))</f>
        <v/>
      </c>
      <c r="BY4" s="7">
        <f>IF(A4="","",IF((A4+63)&gt;Model!$B$4,0,MAX(0,Model!$B$6-IF((A4+63)&gt;=Model!$B$11,Model!$B$20,0)-IF(63&lt;Model!$B$15,Model!$B$22,0))/(1-Model!$B$9)/(1+Model!$B$18)^63))</f>
        <v/>
      </c>
      <c r="BZ4" s="7">
        <f>IF(A4="","",IF((A4+64)&gt;Model!$B$4,0,MAX(0,Model!$B$6-IF((A4+64)&gt;=Model!$B$11,Model!$B$20,0)-IF(64&lt;Model!$B$15,Model!$B$22,0))/(1-Model!$B$9)/(1+Model!$B$18)^64))</f>
        <v/>
      </c>
      <c r="CA4" s="7">
        <f>IF(A4="","",IF((A4+65)&gt;Model!$B$4,0,MAX(0,Model!$B$6-IF((A4+65)&gt;=Model!$B$11,Model!$B$20,0)-IF(65&lt;Model!$B$15,Model!$B$22,0))/(1-Model!$B$9)/(1+Model!$B$18)^65))</f>
        <v/>
      </c>
      <c r="CB4" s="7">
        <f>IF(A4="","",IF((A4+66)&gt;Model!$B$4,0,MAX(0,Model!$B$6-IF((A4+66)&gt;=Model!$B$11,Model!$B$20,0)-IF(66&lt;Model!$B$15,Model!$B$22,0))/(1-Model!$B$9)/(1+Model!$B$18)^66))</f>
        <v/>
      </c>
      <c r="CC4" s="7">
        <f>IF(A4="","",IF((A4+67)&gt;Model!$B$4,0,MAX(0,Model!$B$6-IF((A4+67)&gt;=Model!$B$11,Model!$B$20,0)-IF(67&lt;Model!$B$15,Model!$B$22,0))/(1-Model!$B$9)/(1+Model!$B$18)^67))</f>
        <v/>
      </c>
      <c r="CD4" s="7">
        <f>IF(A4="","",IF((A4+68)&gt;Model!$B$4,0,MAX(0,Model!$B$6-IF((A4+68)&gt;=Model!$B$11,Model!$B$20,0)-IF(68&lt;Model!$B$15,Model!$B$22,0))/(1-Model!$B$9)/(1+Model!$B$18)^68))</f>
        <v/>
      </c>
      <c r="CE4" s="7">
        <f>IF(A4="","",IF((A4+69)&gt;Model!$B$4,0,MAX(0,Model!$B$6-IF((A4+69)&gt;=Model!$B$11,Model!$B$20,0)-IF(69&lt;Model!$B$15,Model!$B$22,0))/(1-Model!$B$9)/(1+Model!$B$18)^69))</f>
        <v/>
      </c>
      <c r="CF4" s="7">
        <f>IF(A4="","",IF((A4+70)&gt;Model!$B$4,0,MAX(0,Model!$B$6-IF((A4+70)&gt;=Model!$B$11,Model!$B$20,0)-IF(70&lt;Model!$B$15,Model!$B$22,0))/(1-Model!$B$9)/(1+Model!$B$18)^70))</f>
        <v/>
      </c>
      <c r="CG4" s="7">
        <f>IF(A4="","",IF((A4+71)&gt;Model!$B$4,0,MAX(0,Model!$B$6-IF((A4+71)&gt;=Model!$B$11,Model!$B$20,0)-IF(71&lt;Model!$B$15,Model!$B$22,0))/(1-Model!$B$9)/(1+Model!$B$18)^71))</f>
        <v/>
      </c>
      <c r="CH4" s="7">
        <f>IF(A4="","",IF((A4+72)&gt;Model!$B$4,0,MAX(0,Model!$B$6-IF((A4+72)&gt;=Model!$B$11,Model!$B$20,0)-IF(72&lt;Model!$B$15,Model!$B$22,0))/(1-Model!$B$9)/(1+Model!$B$18)^72))</f>
        <v/>
      </c>
      <c r="CI4" s="7">
        <f>IF(A4="","",IF((A4+73)&gt;Model!$B$4,0,MAX(0,Model!$B$6-IF((A4+73)&gt;=Model!$B$11,Model!$B$20,0)-IF(73&lt;Model!$B$15,Model!$B$22,0))/(1-Model!$B$9)/(1+Model!$B$18)^73))</f>
        <v/>
      </c>
      <c r="CJ4" s="7">
        <f>IF(A4="","",IF((A4+74)&gt;Model!$B$4,0,MAX(0,Model!$B$6-IF((A4+74)&gt;=Model!$B$11,Model!$B$20,0)-IF(74&lt;Model!$B$15,Model!$B$22,0))/(1-Model!$B$9)/(1+Model!$B$18)^74))</f>
        <v/>
      </c>
      <c r="CK4" s="7">
        <f>IF(A4="","",IF((A4+75)&gt;Model!$B$4,0,MAX(0,Model!$B$6-IF((A4+75)&gt;=Model!$B$11,Model!$B$20,0)-IF(75&lt;Model!$B$15,Model!$B$22,0))/(1-Model!$B$9)/(1+Model!$B$18)^75))</f>
        <v/>
      </c>
      <c r="CL4" s="7">
        <f>IF(A4="","",IF((A4+76)&gt;Model!$B$4,0,MAX(0,Model!$B$6-IF((A4+76)&gt;=Model!$B$11,Model!$B$20,0)-IF(76&lt;Model!$B$15,Model!$B$22,0))/(1-Model!$B$9)/(1+Model!$B$18)^76))</f>
        <v/>
      </c>
      <c r="CM4" s="7">
        <f>IF(A4="","",IF((A4+77)&gt;Model!$B$4,0,MAX(0,Model!$B$6-IF((A4+77)&gt;=Model!$B$11,Model!$B$20,0)-IF(77&lt;Model!$B$15,Model!$B$22,0))/(1-Model!$B$9)/(1+Model!$B$18)^77))</f>
        <v/>
      </c>
      <c r="CN4" s="7">
        <f>IF(A4="","",IF((A4+78)&gt;Model!$B$4,0,MAX(0,Model!$B$6-IF((A4+78)&gt;=Model!$B$11,Model!$B$20,0)-IF(78&lt;Model!$B$15,Model!$B$22,0))/(1-Model!$B$9)/(1+Model!$B$18)^78))</f>
        <v/>
      </c>
      <c r="CO4" s="7">
        <f>IF(A4="","",IF((A4+79)&gt;Model!$B$4,0,MAX(0,Model!$B$6-IF((A4+79)&gt;=Model!$B$11,Model!$B$20,0)-IF(79&lt;Model!$B$15,Model!$B$22,0))/(1-Model!$B$9)/(1+Model!$B$18)^79))</f>
        <v/>
      </c>
      <c r="CP4" s="7">
        <f>IF(A4="","",IF((A4+80)&gt;Model!$B$4,0,MAX(0,Model!$B$6-IF((A4+80)&gt;=Model!$B$11,Model!$B$20,0)-IF(80&lt;Model!$B$15,Model!$B$22,0))/(1-Model!$B$9)/(1+Model!$B$18)^80))</f>
        <v/>
      </c>
      <c r="CQ4" s="7">
        <f>IF(A4="","",IF((A4+81)&gt;Model!$B$4,0,MAX(0,Model!$B$6-IF((A4+81)&gt;=Model!$B$11,Model!$B$20,0)-IF(81&lt;Model!$B$15,Model!$B$22,0))/(1-Model!$B$9)/(1+Model!$B$18)^81))</f>
        <v/>
      </c>
      <c r="CR4" s="7">
        <f>IF(A4="","",IF((A4+82)&gt;Model!$B$4,0,MAX(0,Model!$B$6-IF((A4+82)&gt;=Model!$B$11,Model!$B$20,0)-IF(82&lt;Model!$B$15,Model!$B$22,0))/(1-Model!$B$9)/(1+Model!$B$18)^82))</f>
        <v/>
      </c>
      <c r="CS4" s="7">
        <f>IF(A4="","",IF((A4+83)&gt;Model!$B$4,0,MAX(0,Model!$B$6-IF((A4+83)&gt;=Model!$B$11,Model!$B$20,0)-IF(83&lt;Model!$B$15,Model!$B$22,0))/(1-Model!$B$9)/(1+Model!$B$18)^83))</f>
        <v/>
      </c>
      <c r="CT4" s="7">
        <f>IF(A4="","",IF((A4+84)&gt;Model!$B$4,0,MAX(0,Model!$B$6-IF((A4+84)&gt;=Model!$B$11,Model!$B$20,0)-IF(84&lt;Model!$B$15,Model!$B$22,0))/(1-Model!$B$9)/(1+Model!$B$18)^84))</f>
        <v/>
      </c>
      <c r="CU4" s="7">
        <f>IF(A4="","",IF((A4+85)&gt;Model!$B$4,0,MAX(0,Model!$B$6-IF((A4+85)&gt;=Model!$B$11,Model!$B$20,0)-IF(85&lt;Model!$B$15,Model!$B$22,0))/(1-Model!$B$9)/(1+Model!$B$18)^85))</f>
        <v/>
      </c>
      <c r="CV4" s="7">
        <f>IF(A4="","",IF((A4+86)&gt;Model!$B$4,0,MAX(0,Model!$B$6-IF((A4+86)&gt;=Model!$B$11,Model!$B$20,0)-IF(86&lt;Model!$B$15,Model!$B$22,0))/(1-Model!$B$9)/(1+Model!$B$18)^86))</f>
        <v/>
      </c>
      <c r="CW4" s="7">
        <f>IF(A4="","",IF((A4+87)&gt;Model!$B$4,0,MAX(0,Model!$B$6-IF((A4+87)&gt;=Model!$B$11,Model!$B$20,0)-IF(87&lt;Model!$B$15,Model!$B$22,0))/(1-Model!$B$9)/(1+Model!$B$18)^87))</f>
        <v/>
      </c>
      <c r="CX4" s="7">
        <f>IF(A4="","",IF((A4+88)&gt;Model!$B$4,0,MAX(0,Model!$B$6-IF((A4+88)&gt;=Model!$B$11,Model!$B$20,0)-IF(88&lt;Model!$B$15,Model!$B$22,0))/(1-Model!$B$9)/(1+Model!$B$18)^88))</f>
        <v/>
      </c>
      <c r="CY4" s="7">
        <f>IF(A4="","",IF((A4+89)&gt;Model!$B$4,0,MAX(0,Model!$B$6-IF((A4+89)&gt;=Model!$B$11,Model!$B$20,0)-IF(89&lt;Model!$B$15,Model!$B$22,0))/(1-Model!$B$9)/(1+Model!$B$18)^89))</f>
        <v/>
      </c>
      <c r="CZ4" s="7">
        <f>IF(A4="","",IF((A4+90)&gt;Model!$B$4,0,MAX(0,Model!$B$6-IF((A4+90)&gt;=Model!$B$11,Model!$B$20,0)-IF(90&lt;Model!$B$15,Model!$B$22,0))/(1-Model!$B$9)/(1+Model!$B$18)^90))</f>
        <v/>
      </c>
      <c r="DA4" s="7">
        <f>IF(A4="","",IF((A4+91)&gt;Model!$B$4,0,MAX(0,Model!$B$6-IF((A4+91)&gt;=Model!$B$11,Model!$B$20,0)-IF(91&lt;Model!$B$15,Model!$B$22,0))/(1-Model!$B$9)/(1+Model!$B$18)^91))</f>
        <v/>
      </c>
      <c r="DB4" s="7">
        <f>IF(A4="","",IF((A4+92)&gt;Model!$B$4,0,MAX(0,Model!$B$6-IF((A4+92)&gt;=Model!$B$11,Model!$B$20,0)-IF(92&lt;Model!$B$15,Model!$B$22,0))/(1-Model!$B$9)/(1+Model!$B$18)^92))</f>
        <v/>
      </c>
      <c r="DC4" s="7">
        <f>IF(A4="","",IF((A4+93)&gt;Model!$B$4,0,MAX(0,Model!$B$6-IF((A4+93)&gt;=Model!$B$11,Model!$B$20,0)-IF(93&lt;Model!$B$15,Model!$B$22,0))/(1-Model!$B$9)/(1+Model!$B$18)^93))</f>
        <v/>
      </c>
      <c r="DD4" s="7">
        <f>IF(A4="","",IF((A4+94)&gt;Model!$B$4,0,MAX(0,Model!$B$6-IF((A4+94)&gt;=Model!$B$11,Model!$B$20,0)-IF(94&lt;Model!$B$15,Model!$B$22,0))/(1-Model!$B$9)/(1+Model!$B$18)^94))</f>
        <v/>
      </c>
      <c r="DE4" s="7">
        <f>IF(A4="","",IF((A4+95)&gt;Model!$B$4,0,MAX(0,Model!$B$6-IF((A4+95)&gt;=Model!$B$11,Model!$B$20,0)-IF(95&lt;Model!$B$15,Model!$B$22,0))/(1-Model!$B$9)/(1+Model!$B$18)^95))</f>
        <v/>
      </c>
      <c r="DF4" s="7">
        <f>IF(A4="","",IF((A4+96)&gt;Model!$B$4,0,MAX(0,Model!$B$6-IF((A4+96)&gt;=Model!$B$11,Model!$B$20,0)-IF(96&lt;Model!$B$15,Model!$B$22,0))/(1-Model!$B$9)/(1+Model!$B$18)^96))</f>
        <v/>
      </c>
      <c r="DG4" s="7">
        <f>IF(A4="","",IF((A4+97)&gt;Model!$B$4,0,MAX(0,Model!$B$6-IF((A4+97)&gt;=Model!$B$11,Model!$B$20,0)-IF(97&lt;Model!$B$15,Model!$B$22,0))/(1-Model!$B$9)/(1+Model!$B$18)^97))</f>
        <v/>
      </c>
      <c r="DH4" s="7">
        <f>IF(A4="","",IF((A4+98)&gt;Model!$B$4,0,MAX(0,Model!$B$6-IF((A4+98)&gt;=Model!$B$11,Model!$B$20,0)-IF(98&lt;Model!$B$15,Model!$B$22,0))/(1-Model!$B$9)/(1+Model!$B$18)^98))</f>
        <v/>
      </c>
      <c r="DI4" s="7">
        <f>IF(A4="","",IF((A4+99)&gt;Model!$B$4,0,MAX(0,Model!$B$6-IF((A4+99)&gt;=Model!$B$11,Model!$B$20,0)-IF(99&lt;Model!$B$15,Model!$B$22,0))/(1-Model!$B$9)/(1+Model!$B$18)^99))</f>
        <v/>
      </c>
      <c r="DJ4" s="7">
        <f>IF(A4="","",IF((A4+100)&gt;Model!$B$4,0,MAX(0,Model!$B$6-IF((A4+100)&gt;=Model!$B$11,Model!$B$20,0)-IF(100&lt;Model!$B$15,Model!$B$22,0))/(1-Model!$B$9)/(1+Model!$B$18)^100))</f>
        <v/>
      </c>
      <c r="DK4" s="7">
        <f>IF(A4="","",IF((A4+101)&gt;Model!$B$4,0,MAX(0,Model!$B$6-IF((A4+101)&gt;=Model!$B$11,Model!$B$20,0)-IF(101&lt;Model!$B$15,Model!$B$22,0))/(1-Model!$B$9)/(1+Model!$B$18)^101))</f>
        <v/>
      </c>
      <c r="DL4" s="7">
        <f>IF(A4="","",IF((A4+102)&gt;Model!$B$4,0,MAX(0,Model!$B$6-IF((A4+102)&gt;=Model!$B$11,Model!$B$20,0)-IF(102&lt;Model!$B$15,Model!$B$22,0))/(1-Model!$B$9)/(1+Model!$B$18)^102))</f>
        <v/>
      </c>
      <c r="DM4" s="7">
        <f>IF(A4="","",IF((A4+103)&gt;Model!$B$4,0,MAX(0,Model!$B$6-IF((A4+103)&gt;=Model!$B$11,Model!$B$20,0)-IF(103&lt;Model!$B$15,Model!$B$22,0))/(1-Model!$B$9)/(1+Model!$B$18)^103))</f>
        <v/>
      </c>
      <c r="DN4" s="7">
        <f>IF(A4="","",IF((A4+104)&gt;Model!$B$4,0,MAX(0,Model!$B$6-IF((A4+104)&gt;=Model!$B$11,Model!$B$20,0)-IF(104&lt;Model!$B$15,Model!$B$22,0))/(1-Model!$B$9)/(1+Model!$B$18)^104))</f>
        <v/>
      </c>
      <c r="DO4" s="7">
        <f>IF(A4="","",IF((A4+105)&gt;Model!$B$4,0,MAX(0,Model!$B$6-IF((A4+105)&gt;=Model!$B$11,Model!$B$20,0)-IF(105&lt;Model!$B$15,Model!$B$22,0))/(1-Model!$B$9)/(1+Model!$B$18)^105))</f>
        <v/>
      </c>
      <c r="DP4" s="7">
        <f>IF(A4="","",IF((A4+106)&gt;Model!$B$4,0,MAX(0,Model!$B$6-IF((A4+106)&gt;=Model!$B$11,Model!$B$20,0)-IF(106&lt;Model!$B$15,Model!$B$22,0))/(1-Model!$B$9)/(1+Model!$B$18)^106))</f>
        <v/>
      </c>
      <c r="DQ4" s="7">
        <f>IF(A4="","",IF((A4+107)&gt;Model!$B$4,0,MAX(0,Model!$B$6-IF((A4+107)&gt;=Model!$B$11,Model!$B$20,0)-IF(107&lt;Model!$B$15,Model!$B$22,0))/(1-Model!$B$9)/(1+Model!$B$18)^107))</f>
        <v/>
      </c>
      <c r="DR4" s="7">
        <f>IF(A4="","",IF((A4+108)&gt;Model!$B$4,0,MAX(0,Model!$B$6-IF((A4+108)&gt;=Model!$B$11,Model!$B$20,0)-IF(108&lt;Model!$B$15,Model!$B$22,0))/(1-Model!$B$9)/(1+Model!$B$18)^108))</f>
        <v/>
      </c>
      <c r="DS4" s="7">
        <f>IF(A4="","",IF((A4+109)&gt;Model!$B$4,0,MAX(0,Model!$B$6-IF((A4+109)&gt;=Model!$B$11,Model!$B$20,0)-IF(109&lt;Model!$B$15,Model!$B$22,0))/(1-Model!$B$9)/(1+Model!$B$18)^109))</f>
        <v/>
      </c>
      <c r="DT4" s="7">
        <f>IF(A4="","",IF((A4+110)&gt;Model!$B$4,0,MAX(0,Model!$B$6-IF((A4+110)&gt;=Model!$B$11,Model!$B$20,0)-IF(110&lt;Model!$B$15,Model!$B$22,0))/(1-Model!$B$9)/(1+Model!$B$18)^110))</f>
        <v/>
      </c>
      <c r="DU4" s="7">
        <f>IF(A4="","",IF((A4+111)&gt;Model!$B$4,0,MAX(0,Model!$B$6-IF((A4+111)&gt;=Model!$B$11,Model!$B$20,0)-IF(111&lt;Model!$B$15,Model!$B$22,0))/(1-Model!$B$9)/(1+Model!$B$18)^111))</f>
        <v/>
      </c>
      <c r="DV4" s="7">
        <f>IF(A4="","",IF((A4+112)&gt;Model!$B$4,0,MAX(0,Model!$B$6-IF((A4+112)&gt;=Model!$B$11,Model!$B$20,0)-IF(112&lt;Model!$B$15,Model!$B$22,0))/(1-Model!$B$9)/(1+Model!$B$18)^112))</f>
        <v/>
      </c>
      <c r="DW4" s="7">
        <f>IF(A4="","",IF((A4+113)&gt;Model!$B$4,0,MAX(0,Model!$B$6-IF((A4+113)&gt;=Model!$B$11,Model!$B$20,0)-IF(113&lt;Model!$B$15,Model!$B$22,0))/(1-Model!$B$9)/(1+Model!$B$18)^113))</f>
        <v/>
      </c>
      <c r="DX4" s="7">
        <f>IF(A4="","",IF((A4+114)&gt;Model!$B$4,0,MAX(0,Model!$B$6-IF((A4+114)&gt;=Model!$B$11,Model!$B$20,0)-IF(114&lt;Model!$B$15,Model!$B$22,0))/(1-Model!$B$9)/(1+Model!$B$18)^114))</f>
        <v/>
      </c>
      <c r="DY4" s="7">
        <f>IF(A4="","",IF((A4+115)&gt;Model!$B$4,0,MAX(0,Model!$B$6-IF((A4+115)&gt;=Model!$B$11,Model!$B$20,0)-IF(115&lt;Model!$B$15,Model!$B$22,0))/(1-Model!$B$9)/(1+Model!$B$18)^115))</f>
        <v/>
      </c>
      <c r="DZ4" s="7">
        <f>IF(A4="","",IF((A4+116)&gt;Model!$B$4,0,MAX(0,Model!$B$6-IF((A4+116)&gt;=Model!$B$11,Model!$B$20,0)-IF(116&lt;Model!$B$15,Model!$B$22,0))/(1-Model!$B$9)/(1+Model!$B$18)^116))</f>
        <v/>
      </c>
      <c r="EA4" s="7">
        <f>IF(A4="","",IF((A4+117)&gt;Model!$B$4,0,MAX(0,Model!$B$6-IF((A4+117)&gt;=Model!$B$11,Model!$B$20,0)-IF(117&lt;Model!$B$15,Model!$B$22,0))/(1-Model!$B$9)/(1+Model!$B$18)^117))</f>
        <v/>
      </c>
      <c r="EB4" s="7">
        <f>IF(A4="","",IF((A4+118)&gt;Model!$B$4,0,MAX(0,Model!$B$6-IF((A4+118)&gt;=Model!$B$11,Model!$B$20,0)-IF(118&lt;Model!$B$15,Model!$B$22,0))/(1-Model!$B$9)/(1+Model!$B$18)^118))</f>
        <v/>
      </c>
      <c r="EC4" s="7">
        <f>IF(A4="","",IF((A4+119)&gt;Model!$B$4,0,MAX(0,Model!$B$6-IF((A4+119)&gt;=Model!$B$11,Model!$B$20,0)-IF(119&lt;Model!$B$15,Model!$B$22,0))/(1-Model!$B$9)/(1+Model!$B$18)^119))</f>
        <v/>
      </c>
      <c r="ED4" s="7">
        <f>IF(A4="","",IF((A4+120)&gt;Model!$B$4,0,MAX(0,Model!$B$6-IF((A4+120)&gt;=Model!$B$11,Model!$B$20,0)-IF(120&lt;Model!$B$15,Model!$B$22,0))/(1-Model!$B$9)/(1+Model!$B$18)^120))</f>
        <v/>
      </c>
    </row>
    <row r="5">
      <c r="A5">
        <f>IF(Model!$B$10+ROW()-2&lt;=Model!$B$4,Model!$B$10+ROW()-2,"")</f>
        <v/>
      </c>
      <c r="B5">
        <f>IF(A5="","",A5-Model!$B$10)</f>
        <v/>
      </c>
      <c r="C5" s="7">
        <f>IF(A5="","",Model!$B$5*(1+Model!$B$18)^B5)</f>
        <v/>
      </c>
      <c r="D5" s="7">
        <f>IF(A5="","",SUM(N5:ED5))</f>
        <v/>
      </c>
      <c r="E5" s="7">
        <f>IF(A5="","",IF(A5&gt;=Model!$B$11,Model!$B$20,0))</f>
        <v/>
      </c>
      <c r="F5" s="7">
        <f>IF(A5="","",IF(Model!$B$15&gt;0,Model!$B$22,0))</f>
        <v/>
      </c>
      <c r="G5" s="7">
        <f>IF(A5="","",E5+F5)</f>
        <v/>
      </c>
      <c r="H5" s="7">
        <f>IF(A5="","",MAX(0,Model!$B$6-G5))</f>
        <v/>
      </c>
      <c r="I5" s="7">
        <f>IF(A5="","",H5/(1-Model!$B$9))</f>
        <v/>
      </c>
      <c r="J5" s="7">
        <f>IF(A5="","",C5-D5)</f>
        <v/>
      </c>
      <c r="K5">
        <f>IF(A5="","",C5&gt;=D5)</f>
        <v/>
      </c>
      <c r="L5" s="7">
        <f>IF(A5="","",IF(A5&gt;=Model!$B$11,Model!$B$19*(1+Model!$B$13)^B5,0))</f>
        <v/>
      </c>
      <c r="M5" s="7">
        <f>IF(A5="","",IF(Model!$B$15&gt;0,Model!$B$21*(1+Model!$B$13)^B5,0))</f>
        <v/>
      </c>
      <c r="N5" s="7">
        <f>IF(A5="","",IF((A5+0)&gt;Model!$B$4,0,MAX(0,Model!$B$6-IF((A5+0)&gt;=Model!$B$11,Model!$B$20,0)-IF(0&lt;Model!$B$15,Model!$B$22,0))/(1-Model!$B$9)/(1+Model!$B$18)^0))</f>
        <v/>
      </c>
      <c r="O5" s="7">
        <f>IF(A5="","",IF((A5+1)&gt;Model!$B$4,0,MAX(0,Model!$B$6-IF((A5+1)&gt;=Model!$B$11,Model!$B$20,0)-IF(1&lt;Model!$B$15,Model!$B$22,0))/(1-Model!$B$9)/(1+Model!$B$18)^1))</f>
        <v/>
      </c>
      <c r="P5" s="7">
        <f>IF(A5="","",IF((A5+2)&gt;Model!$B$4,0,MAX(0,Model!$B$6-IF((A5+2)&gt;=Model!$B$11,Model!$B$20,0)-IF(2&lt;Model!$B$15,Model!$B$22,0))/(1-Model!$B$9)/(1+Model!$B$18)^2))</f>
        <v/>
      </c>
      <c r="Q5" s="7">
        <f>IF(A5="","",IF((A5+3)&gt;Model!$B$4,0,MAX(0,Model!$B$6-IF((A5+3)&gt;=Model!$B$11,Model!$B$20,0)-IF(3&lt;Model!$B$15,Model!$B$22,0))/(1-Model!$B$9)/(1+Model!$B$18)^3))</f>
        <v/>
      </c>
      <c r="R5" s="7">
        <f>IF(A5="","",IF((A5+4)&gt;Model!$B$4,0,MAX(0,Model!$B$6-IF((A5+4)&gt;=Model!$B$11,Model!$B$20,0)-IF(4&lt;Model!$B$15,Model!$B$22,0))/(1-Model!$B$9)/(1+Model!$B$18)^4))</f>
        <v/>
      </c>
      <c r="S5" s="7">
        <f>IF(A5="","",IF((A5+5)&gt;Model!$B$4,0,MAX(0,Model!$B$6-IF((A5+5)&gt;=Model!$B$11,Model!$B$20,0)-IF(5&lt;Model!$B$15,Model!$B$22,0))/(1-Model!$B$9)/(1+Model!$B$18)^5))</f>
        <v/>
      </c>
      <c r="T5" s="7">
        <f>IF(A5="","",IF((A5+6)&gt;Model!$B$4,0,MAX(0,Model!$B$6-IF((A5+6)&gt;=Model!$B$11,Model!$B$20,0)-IF(6&lt;Model!$B$15,Model!$B$22,0))/(1-Model!$B$9)/(1+Model!$B$18)^6))</f>
        <v/>
      </c>
      <c r="U5" s="7">
        <f>IF(A5="","",IF((A5+7)&gt;Model!$B$4,0,MAX(0,Model!$B$6-IF((A5+7)&gt;=Model!$B$11,Model!$B$20,0)-IF(7&lt;Model!$B$15,Model!$B$22,0))/(1-Model!$B$9)/(1+Model!$B$18)^7))</f>
        <v/>
      </c>
      <c r="V5" s="7">
        <f>IF(A5="","",IF((A5+8)&gt;Model!$B$4,0,MAX(0,Model!$B$6-IF((A5+8)&gt;=Model!$B$11,Model!$B$20,0)-IF(8&lt;Model!$B$15,Model!$B$22,0))/(1-Model!$B$9)/(1+Model!$B$18)^8))</f>
        <v/>
      </c>
      <c r="W5" s="7">
        <f>IF(A5="","",IF((A5+9)&gt;Model!$B$4,0,MAX(0,Model!$B$6-IF((A5+9)&gt;=Model!$B$11,Model!$B$20,0)-IF(9&lt;Model!$B$15,Model!$B$22,0))/(1-Model!$B$9)/(1+Model!$B$18)^9))</f>
        <v/>
      </c>
      <c r="X5" s="7">
        <f>IF(A5="","",IF((A5+10)&gt;Model!$B$4,0,MAX(0,Model!$B$6-IF((A5+10)&gt;=Model!$B$11,Model!$B$20,0)-IF(10&lt;Model!$B$15,Model!$B$22,0))/(1-Model!$B$9)/(1+Model!$B$18)^10))</f>
        <v/>
      </c>
      <c r="Y5" s="7">
        <f>IF(A5="","",IF((A5+11)&gt;Model!$B$4,0,MAX(0,Model!$B$6-IF((A5+11)&gt;=Model!$B$11,Model!$B$20,0)-IF(11&lt;Model!$B$15,Model!$B$22,0))/(1-Model!$B$9)/(1+Model!$B$18)^11))</f>
        <v/>
      </c>
      <c r="Z5" s="7">
        <f>IF(A5="","",IF((A5+12)&gt;Model!$B$4,0,MAX(0,Model!$B$6-IF((A5+12)&gt;=Model!$B$11,Model!$B$20,0)-IF(12&lt;Model!$B$15,Model!$B$22,0))/(1-Model!$B$9)/(1+Model!$B$18)^12))</f>
        <v/>
      </c>
      <c r="AA5" s="7">
        <f>IF(A5="","",IF((A5+13)&gt;Model!$B$4,0,MAX(0,Model!$B$6-IF((A5+13)&gt;=Model!$B$11,Model!$B$20,0)-IF(13&lt;Model!$B$15,Model!$B$22,0))/(1-Model!$B$9)/(1+Model!$B$18)^13))</f>
        <v/>
      </c>
      <c r="AB5" s="7">
        <f>IF(A5="","",IF((A5+14)&gt;Model!$B$4,0,MAX(0,Model!$B$6-IF((A5+14)&gt;=Model!$B$11,Model!$B$20,0)-IF(14&lt;Model!$B$15,Model!$B$22,0))/(1-Model!$B$9)/(1+Model!$B$18)^14))</f>
        <v/>
      </c>
      <c r="AC5" s="7">
        <f>IF(A5="","",IF((A5+15)&gt;Model!$B$4,0,MAX(0,Model!$B$6-IF((A5+15)&gt;=Model!$B$11,Model!$B$20,0)-IF(15&lt;Model!$B$15,Model!$B$22,0))/(1-Model!$B$9)/(1+Model!$B$18)^15))</f>
        <v/>
      </c>
      <c r="AD5" s="7">
        <f>IF(A5="","",IF((A5+16)&gt;Model!$B$4,0,MAX(0,Model!$B$6-IF((A5+16)&gt;=Model!$B$11,Model!$B$20,0)-IF(16&lt;Model!$B$15,Model!$B$22,0))/(1-Model!$B$9)/(1+Model!$B$18)^16))</f>
        <v/>
      </c>
      <c r="AE5" s="7">
        <f>IF(A5="","",IF((A5+17)&gt;Model!$B$4,0,MAX(0,Model!$B$6-IF((A5+17)&gt;=Model!$B$11,Model!$B$20,0)-IF(17&lt;Model!$B$15,Model!$B$22,0))/(1-Model!$B$9)/(1+Model!$B$18)^17))</f>
        <v/>
      </c>
      <c r="AF5" s="7">
        <f>IF(A5="","",IF((A5+18)&gt;Model!$B$4,0,MAX(0,Model!$B$6-IF((A5+18)&gt;=Model!$B$11,Model!$B$20,0)-IF(18&lt;Model!$B$15,Model!$B$22,0))/(1-Model!$B$9)/(1+Model!$B$18)^18))</f>
        <v/>
      </c>
      <c r="AG5" s="7">
        <f>IF(A5="","",IF((A5+19)&gt;Model!$B$4,0,MAX(0,Model!$B$6-IF((A5+19)&gt;=Model!$B$11,Model!$B$20,0)-IF(19&lt;Model!$B$15,Model!$B$22,0))/(1-Model!$B$9)/(1+Model!$B$18)^19))</f>
        <v/>
      </c>
      <c r="AH5" s="7">
        <f>IF(A5="","",IF((A5+20)&gt;Model!$B$4,0,MAX(0,Model!$B$6-IF((A5+20)&gt;=Model!$B$11,Model!$B$20,0)-IF(20&lt;Model!$B$15,Model!$B$22,0))/(1-Model!$B$9)/(1+Model!$B$18)^20))</f>
        <v/>
      </c>
      <c r="AI5" s="7">
        <f>IF(A5="","",IF((A5+21)&gt;Model!$B$4,0,MAX(0,Model!$B$6-IF((A5+21)&gt;=Model!$B$11,Model!$B$20,0)-IF(21&lt;Model!$B$15,Model!$B$22,0))/(1-Model!$B$9)/(1+Model!$B$18)^21))</f>
        <v/>
      </c>
      <c r="AJ5" s="7">
        <f>IF(A5="","",IF((A5+22)&gt;Model!$B$4,0,MAX(0,Model!$B$6-IF((A5+22)&gt;=Model!$B$11,Model!$B$20,0)-IF(22&lt;Model!$B$15,Model!$B$22,0))/(1-Model!$B$9)/(1+Model!$B$18)^22))</f>
        <v/>
      </c>
      <c r="AK5" s="7">
        <f>IF(A5="","",IF((A5+23)&gt;Model!$B$4,0,MAX(0,Model!$B$6-IF((A5+23)&gt;=Model!$B$11,Model!$B$20,0)-IF(23&lt;Model!$B$15,Model!$B$22,0))/(1-Model!$B$9)/(1+Model!$B$18)^23))</f>
        <v/>
      </c>
      <c r="AL5" s="7">
        <f>IF(A5="","",IF((A5+24)&gt;Model!$B$4,0,MAX(0,Model!$B$6-IF((A5+24)&gt;=Model!$B$11,Model!$B$20,0)-IF(24&lt;Model!$B$15,Model!$B$22,0))/(1-Model!$B$9)/(1+Model!$B$18)^24))</f>
        <v/>
      </c>
      <c r="AM5" s="7">
        <f>IF(A5="","",IF((A5+25)&gt;Model!$B$4,0,MAX(0,Model!$B$6-IF((A5+25)&gt;=Model!$B$11,Model!$B$20,0)-IF(25&lt;Model!$B$15,Model!$B$22,0))/(1-Model!$B$9)/(1+Model!$B$18)^25))</f>
        <v/>
      </c>
      <c r="AN5" s="7">
        <f>IF(A5="","",IF((A5+26)&gt;Model!$B$4,0,MAX(0,Model!$B$6-IF((A5+26)&gt;=Model!$B$11,Model!$B$20,0)-IF(26&lt;Model!$B$15,Model!$B$22,0))/(1-Model!$B$9)/(1+Model!$B$18)^26))</f>
        <v/>
      </c>
      <c r="AO5" s="7">
        <f>IF(A5="","",IF((A5+27)&gt;Model!$B$4,0,MAX(0,Model!$B$6-IF((A5+27)&gt;=Model!$B$11,Model!$B$20,0)-IF(27&lt;Model!$B$15,Model!$B$22,0))/(1-Model!$B$9)/(1+Model!$B$18)^27))</f>
        <v/>
      </c>
      <c r="AP5" s="7">
        <f>IF(A5="","",IF((A5+28)&gt;Model!$B$4,0,MAX(0,Model!$B$6-IF((A5+28)&gt;=Model!$B$11,Model!$B$20,0)-IF(28&lt;Model!$B$15,Model!$B$22,0))/(1-Model!$B$9)/(1+Model!$B$18)^28))</f>
        <v/>
      </c>
      <c r="AQ5" s="7">
        <f>IF(A5="","",IF((A5+29)&gt;Model!$B$4,0,MAX(0,Model!$B$6-IF((A5+29)&gt;=Model!$B$11,Model!$B$20,0)-IF(29&lt;Model!$B$15,Model!$B$22,0))/(1-Model!$B$9)/(1+Model!$B$18)^29))</f>
        <v/>
      </c>
      <c r="AR5" s="7">
        <f>IF(A5="","",IF((A5+30)&gt;Model!$B$4,0,MAX(0,Model!$B$6-IF((A5+30)&gt;=Model!$B$11,Model!$B$20,0)-IF(30&lt;Model!$B$15,Model!$B$22,0))/(1-Model!$B$9)/(1+Model!$B$18)^30))</f>
        <v/>
      </c>
      <c r="AS5" s="7">
        <f>IF(A5="","",IF((A5+31)&gt;Model!$B$4,0,MAX(0,Model!$B$6-IF((A5+31)&gt;=Model!$B$11,Model!$B$20,0)-IF(31&lt;Model!$B$15,Model!$B$22,0))/(1-Model!$B$9)/(1+Model!$B$18)^31))</f>
        <v/>
      </c>
      <c r="AT5" s="7">
        <f>IF(A5="","",IF((A5+32)&gt;Model!$B$4,0,MAX(0,Model!$B$6-IF((A5+32)&gt;=Model!$B$11,Model!$B$20,0)-IF(32&lt;Model!$B$15,Model!$B$22,0))/(1-Model!$B$9)/(1+Model!$B$18)^32))</f>
        <v/>
      </c>
      <c r="AU5" s="7">
        <f>IF(A5="","",IF((A5+33)&gt;Model!$B$4,0,MAX(0,Model!$B$6-IF((A5+33)&gt;=Model!$B$11,Model!$B$20,0)-IF(33&lt;Model!$B$15,Model!$B$22,0))/(1-Model!$B$9)/(1+Model!$B$18)^33))</f>
        <v/>
      </c>
      <c r="AV5" s="7">
        <f>IF(A5="","",IF((A5+34)&gt;Model!$B$4,0,MAX(0,Model!$B$6-IF((A5+34)&gt;=Model!$B$11,Model!$B$20,0)-IF(34&lt;Model!$B$15,Model!$B$22,0))/(1-Model!$B$9)/(1+Model!$B$18)^34))</f>
        <v/>
      </c>
      <c r="AW5" s="7">
        <f>IF(A5="","",IF((A5+35)&gt;Model!$B$4,0,MAX(0,Model!$B$6-IF((A5+35)&gt;=Model!$B$11,Model!$B$20,0)-IF(35&lt;Model!$B$15,Model!$B$22,0))/(1-Model!$B$9)/(1+Model!$B$18)^35))</f>
        <v/>
      </c>
      <c r="AX5" s="7">
        <f>IF(A5="","",IF((A5+36)&gt;Model!$B$4,0,MAX(0,Model!$B$6-IF((A5+36)&gt;=Model!$B$11,Model!$B$20,0)-IF(36&lt;Model!$B$15,Model!$B$22,0))/(1-Model!$B$9)/(1+Model!$B$18)^36))</f>
        <v/>
      </c>
      <c r="AY5" s="7">
        <f>IF(A5="","",IF((A5+37)&gt;Model!$B$4,0,MAX(0,Model!$B$6-IF((A5+37)&gt;=Model!$B$11,Model!$B$20,0)-IF(37&lt;Model!$B$15,Model!$B$22,0))/(1-Model!$B$9)/(1+Model!$B$18)^37))</f>
        <v/>
      </c>
      <c r="AZ5" s="7">
        <f>IF(A5="","",IF((A5+38)&gt;Model!$B$4,0,MAX(0,Model!$B$6-IF((A5+38)&gt;=Model!$B$11,Model!$B$20,0)-IF(38&lt;Model!$B$15,Model!$B$22,0))/(1-Model!$B$9)/(1+Model!$B$18)^38))</f>
        <v/>
      </c>
      <c r="BA5" s="7">
        <f>IF(A5="","",IF((A5+39)&gt;Model!$B$4,0,MAX(0,Model!$B$6-IF((A5+39)&gt;=Model!$B$11,Model!$B$20,0)-IF(39&lt;Model!$B$15,Model!$B$22,0))/(1-Model!$B$9)/(1+Model!$B$18)^39))</f>
        <v/>
      </c>
      <c r="BB5" s="7">
        <f>IF(A5="","",IF((A5+40)&gt;Model!$B$4,0,MAX(0,Model!$B$6-IF((A5+40)&gt;=Model!$B$11,Model!$B$20,0)-IF(40&lt;Model!$B$15,Model!$B$22,0))/(1-Model!$B$9)/(1+Model!$B$18)^40))</f>
        <v/>
      </c>
      <c r="BC5" s="7">
        <f>IF(A5="","",IF((A5+41)&gt;Model!$B$4,0,MAX(0,Model!$B$6-IF((A5+41)&gt;=Model!$B$11,Model!$B$20,0)-IF(41&lt;Model!$B$15,Model!$B$22,0))/(1-Model!$B$9)/(1+Model!$B$18)^41))</f>
        <v/>
      </c>
      <c r="BD5" s="7">
        <f>IF(A5="","",IF((A5+42)&gt;Model!$B$4,0,MAX(0,Model!$B$6-IF((A5+42)&gt;=Model!$B$11,Model!$B$20,0)-IF(42&lt;Model!$B$15,Model!$B$22,0))/(1-Model!$B$9)/(1+Model!$B$18)^42))</f>
        <v/>
      </c>
      <c r="BE5" s="7">
        <f>IF(A5="","",IF((A5+43)&gt;Model!$B$4,0,MAX(0,Model!$B$6-IF((A5+43)&gt;=Model!$B$11,Model!$B$20,0)-IF(43&lt;Model!$B$15,Model!$B$22,0))/(1-Model!$B$9)/(1+Model!$B$18)^43))</f>
        <v/>
      </c>
      <c r="BF5" s="7">
        <f>IF(A5="","",IF((A5+44)&gt;Model!$B$4,0,MAX(0,Model!$B$6-IF((A5+44)&gt;=Model!$B$11,Model!$B$20,0)-IF(44&lt;Model!$B$15,Model!$B$22,0))/(1-Model!$B$9)/(1+Model!$B$18)^44))</f>
        <v/>
      </c>
      <c r="BG5" s="7">
        <f>IF(A5="","",IF((A5+45)&gt;Model!$B$4,0,MAX(0,Model!$B$6-IF((A5+45)&gt;=Model!$B$11,Model!$B$20,0)-IF(45&lt;Model!$B$15,Model!$B$22,0))/(1-Model!$B$9)/(1+Model!$B$18)^45))</f>
        <v/>
      </c>
      <c r="BH5" s="7">
        <f>IF(A5="","",IF((A5+46)&gt;Model!$B$4,0,MAX(0,Model!$B$6-IF((A5+46)&gt;=Model!$B$11,Model!$B$20,0)-IF(46&lt;Model!$B$15,Model!$B$22,0))/(1-Model!$B$9)/(1+Model!$B$18)^46))</f>
        <v/>
      </c>
      <c r="BI5" s="7">
        <f>IF(A5="","",IF((A5+47)&gt;Model!$B$4,0,MAX(0,Model!$B$6-IF((A5+47)&gt;=Model!$B$11,Model!$B$20,0)-IF(47&lt;Model!$B$15,Model!$B$22,0))/(1-Model!$B$9)/(1+Model!$B$18)^47))</f>
        <v/>
      </c>
      <c r="BJ5" s="7">
        <f>IF(A5="","",IF((A5+48)&gt;Model!$B$4,0,MAX(0,Model!$B$6-IF((A5+48)&gt;=Model!$B$11,Model!$B$20,0)-IF(48&lt;Model!$B$15,Model!$B$22,0))/(1-Model!$B$9)/(1+Model!$B$18)^48))</f>
        <v/>
      </c>
      <c r="BK5" s="7">
        <f>IF(A5="","",IF((A5+49)&gt;Model!$B$4,0,MAX(0,Model!$B$6-IF((A5+49)&gt;=Model!$B$11,Model!$B$20,0)-IF(49&lt;Model!$B$15,Model!$B$22,0))/(1-Model!$B$9)/(1+Model!$B$18)^49))</f>
        <v/>
      </c>
      <c r="BL5" s="7">
        <f>IF(A5="","",IF((A5+50)&gt;Model!$B$4,0,MAX(0,Model!$B$6-IF((A5+50)&gt;=Model!$B$11,Model!$B$20,0)-IF(50&lt;Model!$B$15,Model!$B$22,0))/(1-Model!$B$9)/(1+Model!$B$18)^50))</f>
        <v/>
      </c>
      <c r="BM5" s="7">
        <f>IF(A5="","",IF((A5+51)&gt;Model!$B$4,0,MAX(0,Model!$B$6-IF((A5+51)&gt;=Model!$B$11,Model!$B$20,0)-IF(51&lt;Model!$B$15,Model!$B$22,0))/(1-Model!$B$9)/(1+Model!$B$18)^51))</f>
        <v/>
      </c>
      <c r="BN5" s="7">
        <f>IF(A5="","",IF((A5+52)&gt;Model!$B$4,0,MAX(0,Model!$B$6-IF((A5+52)&gt;=Model!$B$11,Model!$B$20,0)-IF(52&lt;Model!$B$15,Model!$B$22,0))/(1-Model!$B$9)/(1+Model!$B$18)^52))</f>
        <v/>
      </c>
      <c r="BO5" s="7">
        <f>IF(A5="","",IF((A5+53)&gt;Model!$B$4,0,MAX(0,Model!$B$6-IF((A5+53)&gt;=Model!$B$11,Model!$B$20,0)-IF(53&lt;Model!$B$15,Model!$B$22,0))/(1-Model!$B$9)/(1+Model!$B$18)^53))</f>
        <v/>
      </c>
      <c r="BP5" s="7">
        <f>IF(A5="","",IF((A5+54)&gt;Model!$B$4,0,MAX(0,Model!$B$6-IF((A5+54)&gt;=Model!$B$11,Model!$B$20,0)-IF(54&lt;Model!$B$15,Model!$B$22,0))/(1-Model!$B$9)/(1+Model!$B$18)^54))</f>
        <v/>
      </c>
      <c r="BQ5" s="7">
        <f>IF(A5="","",IF((A5+55)&gt;Model!$B$4,0,MAX(0,Model!$B$6-IF((A5+55)&gt;=Model!$B$11,Model!$B$20,0)-IF(55&lt;Model!$B$15,Model!$B$22,0))/(1-Model!$B$9)/(1+Model!$B$18)^55))</f>
        <v/>
      </c>
      <c r="BR5" s="7">
        <f>IF(A5="","",IF((A5+56)&gt;Model!$B$4,0,MAX(0,Model!$B$6-IF((A5+56)&gt;=Model!$B$11,Model!$B$20,0)-IF(56&lt;Model!$B$15,Model!$B$22,0))/(1-Model!$B$9)/(1+Model!$B$18)^56))</f>
        <v/>
      </c>
      <c r="BS5" s="7">
        <f>IF(A5="","",IF((A5+57)&gt;Model!$B$4,0,MAX(0,Model!$B$6-IF((A5+57)&gt;=Model!$B$11,Model!$B$20,0)-IF(57&lt;Model!$B$15,Model!$B$22,0))/(1-Model!$B$9)/(1+Model!$B$18)^57))</f>
        <v/>
      </c>
      <c r="BT5" s="7">
        <f>IF(A5="","",IF((A5+58)&gt;Model!$B$4,0,MAX(0,Model!$B$6-IF((A5+58)&gt;=Model!$B$11,Model!$B$20,0)-IF(58&lt;Model!$B$15,Model!$B$22,0))/(1-Model!$B$9)/(1+Model!$B$18)^58))</f>
        <v/>
      </c>
      <c r="BU5" s="7">
        <f>IF(A5="","",IF((A5+59)&gt;Model!$B$4,0,MAX(0,Model!$B$6-IF((A5+59)&gt;=Model!$B$11,Model!$B$20,0)-IF(59&lt;Model!$B$15,Model!$B$22,0))/(1-Model!$B$9)/(1+Model!$B$18)^59))</f>
        <v/>
      </c>
      <c r="BV5" s="7">
        <f>IF(A5="","",IF((A5+60)&gt;Model!$B$4,0,MAX(0,Model!$B$6-IF((A5+60)&gt;=Model!$B$11,Model!$B$20,0)-IF(60&lt;Model!$B$15,Model!$B$22,0))/(1-Model!$B$9)/(1+Model!$B$18)^60))</f>
        <v/>
      </c>
      <c r="BW5" s="7">
        <f>IF(A5="","",IF((A5+61)&gt;Model!$B$4,0,MAX(0,Model!$B$6-IF((A5+61)&gt;=Model!$B$11,Model!$B$20,0)-IF(61&lt;Model!$B$15,Model!$B$22,0))/(1-Model!$B$9)/(1+Model!$B$18)^61))</f>
        <v/>
      </c>
      <c r="BX5" s="7">
        <f>IF(A5="","",IF((A5+62)&gt;Model!$B$4,0,MAX(0,Model!$B$6-IF((A5+62)&gt;=Model!$B$11,Model!$B$20,0)-IF(62&lt;Model!$B$15,Model!$B$22,0))/(1-Model!$B$9)/(1+Model!$B$18)^62))</f>
        <v/>
      </c>
      <c r="BY5" s="7">
        <f>IF(A5="","",IF((A5+63)&gt;Model!$B$4,0,MAX(0,Model!$B$6-IF((A5+63)&gt;=Model!$B$11,Model!$B$20,0)-IF(63&lt;Model!$B$15,Model!$B$22,0))/(1-Model!$B$9)/(1+Model!$B$18)^63))</f>
        <v/>
      </c>
      <c r="BZ5" s="7">
        <f>IF(A5="","",IF((A5+64)&gt;Model!$B$4,0,MAX(0,Model!$B$6-IF((A5+64)&gt;=Model!$B$11,Model!$B$20,0)-IF(64&lt;Model!$B$15,Model!$B$22,0))/(1-Model!$B$9)/(1+Model!$B$18)^64))</f>
        <v/>
      </c>
      <c r="CA5" s="7">
        <f>IF(A5="","",IF((A5+65)&gt;Model!$B$4,0,MAX(0,Model!$B$6-IF((A5+65)&gt;=Model!$B$11,Model!$B$20,0)-IF(65&lt;Model!$B$15,Model!$B$22,0))/(1-Model!$B$9)/(1+Model!$B$18)^65))</f>
        <v/>
      </c>
      <c r="CB5" s="7">
        <f>IF(A5="","",IF((A5+66)&gt;Model!$B$4,0,MAX(0,Model!$B$6-IF((A5+66)&gt;=Model!$B$11,Model!$B$20,0)-IF(66&lt;Model!$B$15,Model!$B$22,0))/(1-Model!$B$9)/(1+Model!$B$18)^66))</f>
        <v/>
      </c>
      <c r="CC5" s="7">
        <f>IF(A5="","",IF((A5+67)&gt;Model!$B$4,0,MAX(0,Model!$B$6-IF((A5+67)&gt;=Model!$B$11,Model!$B$20,0)-IF(67&lt;Model!$B$15,Model!$B$22,0))/(1-Model!$B$9)/(1+Model!$B$18)^67))</f>
        <v/>
      </c>
      <c r="CD5" s="7">
        <f>IF(A5="","",IF((A5+68)&gt;Model!$B$4,0,MAX(0,Model!$B$6-IF((A5+68)&gt;=Model!$B$11,Model!$B$20,0)-IF(68&lt;Model!$B$15,Model!$B$22,0))/(1-Model!$B$9)/(1+Model!$B$18)^68))</f>
        <v/>
      </c>
      <c r="CE5" s="7">
        <f>IF(A5="","",IF((A5+69)&gt;Model!$B$4,0,MAX(0,Model!$B$6-IF((A5+69)&gt;=Model!$B$11,Model!$B$20,0)-IF(69&lt;Model!$B$15,Model!$B$22,0))/(1-Model!$B$9)/(1+Model!$B$18)^69))</f>
        <v/>
      </c>
      <c r="CF5" s="7">
        <f>IF(A5="","",IF((A5+70)&gt;Model!$B$4,0,MAX(0,Model!$B$6-IF((A5+70)&gt;=Model!$B$11,Model!$B$20,0)-IF(70&lt;Model!$B$15,Model!$B$22,0))/(1-Model!$B$9)/(1+Model!$B$18)^70))</f>
        <v/>
      </c>
      <c r="CG5" s="7">
        <f>IF(A5="","",IF((A5+71)&gt;Model!$B$4,0,MAX(0,Model!$B$6-IF((A5+71)&gt;=Model!$B$11,Model!$B$20,0)-IF(71&lt;Model!$B$15,Model!$B$22,0))/(1-Model!$B$9)/(1+Model!$B$18)^71))</f>
        <v/>
      </c>
      <c r="CH5" s="7">
        <f>IF(A5="","",IF((A5+72)&gt;Model!$B$4,0,MAX(0,Model!$B$6-IF((A5+72)&gt;=Model!$B$11,Model!$B$20,0)-IF(72&lt;Model!$B$15,Model!$B$22,0))/(1-Model!$B$9)/(1+Model!$B$18)^72))</f>
        <v/>
      </c>
      <c r="CI5" s="7">
        <f>IF(A5="","",IF((A5+73)&gt;Model!$B$4,0,MAX(0,Model!$B$6-IF((A5+73)&gt;=Model!$B$11,Model!$B$20,0)-IF(73&lt;Model!$B$15,Model!$B$22,0))/(1-Model!$B$9)/(1+Model!$B$18)^73))</f>
        <v/>
      </c>
      <c r="CJ5" s="7">
        <f>IF(A5="","",IF((A5+74)&gt;Model!$B$4,0,MAX(0,Model!$B$6-IF((A5+74)&gt;=Model!$B$11,Model!$B$20,0)-IF(74&lt;Model!$B$15,Model!$B$22,0))/(1-Model!$B$9)/(1+Model!$B$18)^74))</f>
        <v/>
      </c>
      <c r="CK5" s="7">
        <f>IF(A5="","",IF((A5+75)&gt;Model!$B$4,0,MAX(0,Model!$B$6-IF((A5+75)&gt;=Model!$B$11,Model!$B$20,0)-IF(75&lt;Model!$B$15,Model!$B$22,0))/(1-Model!$B$9)/(1+Model!$B$18)^75))</f>
        <v/>
      </c>
      <c r="CL5" s="7">
        <f>IF(A5="","",IF((A5+76)&gt;Model!$B$4,0,MAX(0,Model!$B$6-IF((A5+76)&gt;=Model!$B$11,Model!$B$20,0)-IF(76&lt;Model!$B$15,Model!$B$22,0))/(1-Model!$B$9)/(1+Model!$B$18)^76))</f>
        <v/>
      </c>
      <c r="CM5" s="7">
        <f>IF(A5="","",IF((A5+77)&gt;Model!$B$4,0,MAX(0,Model!$B$6-IF((A5+77)&gt;=Model!$B$11,Model!$B$20,0)-IF(77&lt;Model!$B$15,Model!$B$22,0))/(1-Model!$B$9)/(1+Model!$B$18)^77))</f>
        <v/>
      </c>
      <c r="CN5" s="7">
        <f>IF(A5="","",IF((A5+78)&gt;Model!$B$4,0,MAX(0,Model!$B$6-IF((A5+78)&gt;=Model!$B$11,Model!$B$20,0)-IF(78&lt;Model!$B$15,Model!$B$22,0))/(1-Model!$B$9)/(1+Model!$B$18)^78))</f>
        <v/>
      </c>
      <c r="CO5" s="7">
        <f>IF(A5="","",IF((A5+79)&gt;Model!$B$4,0,MAX(0,Model!$B$6-IF((A5+79)&gt;=Model!$B$11,Model!$B$20,0)-IF(79&lt;Model!$B$15,Model!$B$22,0))/(1-Model!$B$9)/(1+Model!$B$18)^79))</f>
        <v/>
      </c>
      <c r="CP5" s="7">
        <f>IF(A5="","",IF((A5+80)&gt;Model!$B$4,0,MAX(0,Model!$B$6-IF((A5+80)&gt;=Model!$B$11,Model!$B$20,0)-IF(80&lt;Model!$B$15,Model!$B$22,0))/(1-Model!$B$9)/(1+Model!$B$18)^80))</f>
        <v/>
      </c>
      <c r="CQ5" s="7">
        <f>IF(A5="","",IF((A5+81)&gt;Model!$B$4,0,MAX(0,Model!$B$6-IF((A5+81)&gt;=Model!$B$11,Model!$B$20,0)-IF(81&lt;Model!$B$15,Model!$B$22,0))/(1-Model!$B$9)/(1+Model!$B$18)^81))</f>
        <v/>
      </c>
      <c r="CR5" s="7">
        <f>IF(A5="","",IF((A5+82)&gt;Model!$B$4,0,MAX(0,Model!$B$6-IF((A5+82)&gt;=Model!$B$11,Model!$B$20,0)-IF(82&lt;Model!$B$15,Model!$B$22,0))/(1-Model!$B$9)/(1+Model!$B$18)^82))</f>
        <v/>
      </c>
      <c r="CS5" s="7">
        <f>IF(A5="","",IF((A5+83)&gt;Model!$B$4,0,MAX(0,Model!$B$6-IF((A5+83)&gt;=Model!$B$11,Model!$B$20,0)-IF(83&lt;Model!$B$15,Model!$B$22,0))/(1-Model!$B$9)/(1+Model!$B$18)^83))</f>
        <v/>
      </c>
      <c r="CT5" s="7">
        <f>IF(A5="","",IF((A5+84)&gt;Model!$B$4,0,MAX(0,Model!$B$6-IF((A5+84)&gt;=Model!$B$11,Model!$B$20,0)-IF(84&lt;Model!$B$15,Model!$B$22,0))/(1-Model!$B$9)/(1+Model!$B$18)^84))</f>
        <v/>
      </c>
      <c r="CU5" s="7">
        <f>IF(A5="","",IF((A5+85)&gt;Model!$B$4,0,MAX(0,Model!$B$6-IF((A5+85)&gt;=Model!$B$11,Model!$B$20,0)-IF(85&lt;Model!$B$15,Model!$B$22,0))/(1-Model!$B$9)/(1+Model!$B$18)^85))</f>
        <v/>
      </c>
      <c r="CV5" s="7">
        <f>IF(A5="","",IF((A5+86)&gt;Model!$B$4,0,MAX(0,Model!$B$6-IF((A5+86)&gt;=Model!$B$11,Model!$B$20,0)-IF(86&lt;Model!$B$15,Model!$B$22,0))/(1-Model!$B$9)/(1+Model!$B$18)^86))</f>
        <v/>
      </c>
      <c r="CW5" s="7">
        <f>IF(A5="","",IF((A5+87)&gt;Model!$B$4,0,MAX(0,Model!$B$6-IF((A5+87)&gt;=Model!$B$11,Model!$B$20,0)-IF(87&lt;Model!$B$15,Model!$B$22,0))/(1-Model!$B$9)/(1+Model!$B$18)^87))</f>
        <v/>
      </c>
      <c r="CX5" s="7">
        <f>IF(A5="","",IF((A5+88)&gt;Model!$B$4,0,MAX(0,Model!$B$6-IF((A5+88)&gt;=Model!$B$11,Model!$B$20,0)-IF(88&lt;Model!$B$15,Model!$B$22,0))/(1-Model!$B$9)/(1+Model!$B$18)^88))</f>
        <v/>
      </c>
      <c r="CY5" s="7">
        <f>IF(A5="","",IF((A5+89)&gt;Model!$B$4,0,MAX(0,Model!$B$6-IF((A5+89)&gt;=Model!$B$11,Model!$B$20,0)-IF(89&lt;Model!$B$15,Model!$B$22,0))/(1-Model!$B$9)/(1+Model!$B$18)^89))</f>
        <v/>
      </c>
      <c r="CZ5" s="7">
        <f>IF(A5="","",IF((A5+90)&gt;Model!$B$4,0,MAX(0,Model!$B$6-IF((A5+90)&gt;=Model!$B$11,Model!$B$20,0)-IF(90&lt;Model!$B$15,Model!$B$22,0))/(1-Model!$B$9)/(1+Model!$B$18)^90))</f>
        <v/>
      </c>
      <c r="DA5" s="7">
        <f>IF(A5="","",IF((A5+91)&gt;Model!$B$4,0,MAX(0,Model!$B$6-IF((A5+91)&gt;=Model!$B$11,Model!$B$20,0)-IF(91&lt;Model!$B$15,Model!$B$22,0))/(1-Model!$B$9)/(1+Model!$B$18)^91))</f>
        <v/>
      </c>
      <c r="DB5" s="7">
        <f>IF(A5="","",IF((A5+92)&gt;Model!$B$4,0,MAX(0,Model!$B$6-IF((A5+92)&gt;=Model!$B$11,Model!$B$20,0)-IF(92&lt;Model!$B$15,Model!$B$22,0))/(1-Model!$B$9)/(1+Model!$B$18)^92))</f>
        <v/>
      </c>
      <c r="DC5" s="7">
        <f>IF(A5="","",IF((A5+93)&gt;Model!$B$4,0,MAX(0,Model!$B$6-IF((A5+93)&gt;=Model!$B$11,Model!$B$20,0)-IF(93&lt;Model!$B$15,Model!$B$22,0))/(1-Model!$B$9)/(1+Model!$B$18)^93))</f>
        <v/>
      </c>
      <c r="DD5" s="7">
        <f>IF(A5="","",IF((A5+94)&gt;Model!$B$4,0,MAX(0,Model!$B$6-IF((A5+94)&gt;=Model!$B$11,Model!$B$20,0)-IF(94&lt;Model!$B$15,Model!$B$22,0))/(1-Model!$B$9)/(1+Model!$B$18)^94))</f>
        <v/>
      </c>
      <c r="DE5" s="7">
        <f>IF(A5="","",IF((A5+95)&gt;Model!$B$4,0,MAX(0,Model!$B$6-IF((A5+95)&gt;=Model!$B$11,Model!$B$20,0)-IF(95&lt;Model!$B$15,Model!$B$22,0))/(1-Model!$B$9)/(1+Model!$B$18)^95))</f>
        <v/>
      </c>
      <c r="DF5" s="7">
        <f>IF(A5="","",IF((A5+96)&gt;Model!$B$4,0,MAX(0,Model!$B$6-IF((A5+96)&gt;=Model!$B$11,Model!$B$20,0)-IF(96&lt;Model!$B$15,Model!$B$22,0))/(1-Model!$B$9)/(1+Model!$B$18)^96))</f>
        <v/>
      </c>
      <c r="DG5" s="7">
        <f>IF(A5="","",IF((A5+97)&gt;Model!$B$4,0,MAX(0,Model!$B$6-IF((A5+97)&gt;=Model!$B$11,Model!$B$20,0)-IF(97&lt;Model!$B$15,Model!$B$22,0))/(1-Model!$B$9)/(1+Model!$B$18)^97))</f>
        <v/>
      </c>
      <c r="DH5" s="7">
        <f>IF(A5="","",IF((A5+98)&gt;Model!$B$4,0,MAX(0,Model!$B$6-IF((A5+98)&gt;=Model!$B$11,Model!$B$20,0)-IF(98&lt;Model!$B$15,Model!$B$22,0))/(1-Model!$B$9)/(1+Model!$B$18)^98))</f>
        <v/>
      </c>
      <c r="DI5" s="7">
        <f>IF(A5="","",IF((A5+99)&gt;Model!$B$4,0,MAX(0,Model!$B$6-IF((A5+99)&gt;=Model!$B$11,Model!$B$20,0)-IF(99&lt;Model!$B$15,Model!$B$22,0))/(1-Model!$B$9)/(1+Model!$B$18)^99))</f>
        <v/>
      </c>
      <c r="DJ5" s="7">
        <f>IF(A5="","",IF((A5+100)&gt;Model!$B$4,0,MAX(0,Model!$B$6-IF((A5+100)&gt;=Model!$B$11,Model!$B$20,0)-IF(100&lt;Model!$B$15,Model!$B$22,0))/(1-Model!$B$9)/(1+Model!$B$18)^100))</f>
        <v/>
      </c>
      <c r="DK5" s="7">
        <f>IF(A5="","",IF((A5+101)&gt;Model!$B$4,0,MAX(0,Model!$B$6-IF((A5+101)&gt;=Model!$B$11,Model!$B$20,0)-IF(101&lt;Model!$B$15,Model!$B$22,0))/(1-Model!$B$9)/(1+Model!$B$18)^101))</f>
        <v/>
      </c>
      <c r="DL5" s="7">
        <f>IF(A5="","",IF((A5+102)&gt;Model!$B$4,0,MAX(0,Model!$B$6-IF((A5+102)&gt;=Model!$B$11,Model!$B$20,0)-IF(102&lt;Model!$B$15,Model!$B$22,0))/(1-Model!$B$9)/(1+Model!$B$18)^102))</f>
        <v/>
      </c>
      <c r="DM5" s="7">
        <f>IF(A5="","",IF((A5+103)&gt;Model!$B$4,0,MAX(0,Model!$B$6-IF((A5+103)&gt;=Model!$B$11,Model!$B$20,0)-IF(103&lt;Model!$B$15,Model!$B$22,0))/(1-Model!$B$9)/(1+Model!$B$18)^103))</f>
        <v/>
      </c>
      <c r="DN5" s="7">
        <f>IF(A5="","",IF((A5+104)&gt;Model!$B$4,0,MAX(0,Model!$B$6-IF((A5+104)&gt;=Model!$B$11,Model!$B$20,0)-IF(104&lt;Model!$B$15,Model!$B$22,0))/(1-Model!$B$9)/(1+Model!$B$18)^104))</f>
        <v/>
      </c>
      <c r="DO5" s="7">
        <f>IF(A5="","",IF((A5+105)&gt;Model!$B$4,0,MAX(0,Model!$B$6-IF((A5+105)&gt;=Model!$B$11,Model!$B$20,0)-IF(105&lt;Model!$B$15,Model!$B$22,0))/(1-Model!$B$9)/(1+Model!$B$18)^105))</f>
        <v/>
      </c>
      <c r="DP5" s="7">
        <f>IF(A5="","",IF((A5+106)&gt;Model!$B$4,0,MAX(0,Model!$B$6-IF((A5+106)&gt;=Model!$B$11,Model!$B$20,0)-IF(106&lt;Model!$B$15,Model!$B$22,0))/(1-Model!$B$9)/(1+Model!$B$18)^106))</f>
        <v/>
      </c>
      <c r="DQ5" s="7">
        <f>IF(A5="","",IF((A5+107)&gt;Model!$B$4,0,MAX(0,Model!$B$6-IF((A5+107)&gt;=Model!$B$11,Model!$B$20,0)-IF(107&lt;Model!$B$15,Model!$B$22,0))/(1-Model!$B$9)/(1+Model!$B$18)^107))</f>
        <v/>
      </c>
      <c r="DR5" s="7">
        <f>IF(A5="","",IF((A5+108)&gt;Model!$B$4,0,MAX(0,Model!$B$6-IF((A5+108)&gt;=Model!$B$11,Model!$B$20,0)-IF(108&lt;Model!$B$15,Model!$B$22,0))/(1-Model!$B$9)/(1+Model!$B$18)^108))</f>
        <v/>
      </c>
      <c r="DS5" s="7">
        <f>IF(A5="","",IF((A5+109)&gt;Model!$B$4,0,MAX(0,Model!$B$6-IF((A5+109)&gt;=Model!$B$11,Model!$B$20,0)-IF(109&lt;Model!$B$15,Model!$B$22,0))/(1-Model!$B$9)/(1+Model!$B$18)^109))</f>
        <v/>
      </c>
      <c r="DT5" s="7">
        <f>IF(A5="","",IF((A5+110)&gt;Model!$B$4,0,MAX(0,Model!$B$6-IF((A5+110)&gt;=Model!$B$11,Model!$B$20,0)-IF(110&lt;Model!$B$15,Model!$B$22,0))/(1-Model!$B$9)/(1+Model!$B$18)^110))</f>
        <v/>
      </c>
      <c r="DU5" s="7">
        <f>IF(A5="","",IF((A5+111)&gt;Model!$B$4,0,MAX(0,Model!$B$6-IF((A5+111)&gt;=Model!$B$11,Model!$B$20,0)-IF(111&lt;Model!$B$15,Model!$B$22,0))/(1-Model!$B$9)/(1+Model!$B$18)^111))</f>
        <v/>
      </c>
      <c r="DV5" s="7">
        <f>IF(A5="","",IF((A5+112)&gt;Model!$B$4,0,MAX(0,Model!$B$6-IF((A5+112)&gt;=Model!$B$11,Model!$B$20,0)-IF(112&lt;Model!$B$15,Model!$B$22,0))/(1-Model!$B$9)/(1+Model!$B$18)^112))</f>
        <v/>
      </c>
      <c r="DW5" s="7">
        <f>IF(A5="","",IF((A5+113)&gt;Model!$B$4,0,MAX(0,Model!$B$6-IF((A5+113)&gt;=Model!$B$11,Model!$B$20,0)-IF(113&lt;Model!$B$15,Model!$B$22,0))/(1-Model!$B$9)/(1+Model!$B$18)^113))</f>
        <v/>
      </c>
      <c r="DX5" s="7">
        <f>IF(A5="","",IF((A5+114)&gt;Model!$B$4,0,MAX(0,Model!$B$6-IF((A5+114)&gt;=Model!$B$11,Model!$B$20,0)-IF(114&lt;Model!$B$15,Model!$B$22,0))/(1-Model!$B$9)/(1+Model!$B$18)^114))</f>
        <v/>
      </c>
      <c r="DY5" s="7">
        <f>IF(A5="","",IF((A5+115)&gt;Model!$B$4,0,MAX(0,Model!$B$6-IF((A5+115)&gt;=Model!$B$11,Model!$B$20,0)-IF(115&lt;Model!$B$15,Model!$B$22,0))/(1-Model!$B$9)/(1+Model!$B$18)^115))</f>
        <v/>
      </c>
      <c r="DZ5" s="7">
        <f>IF(A5="","",IF((A5+116)&gt;Model!$B$4,0,MAX(0,Model!$B$6-IF((A5+116)&gt;=Model!$B$11,Model!$B$20,0)-IF(116&lt;Model!$B$15,Model!$B$22,0))/(1-Model!$B$9)/(1+Model!$B$18)^116))</f>
        <v/>
      </c>
      <c r="EA5" s="7">
        <f>IF(A5="","",IF((A5+117)&gt;Model!$B$4,0,MAX(0,Model!$B$6-IF((A5+117)&gt;=Model!$B$11,Model!$B$20,0)-IF(117&lt;Model!$B$15,Model!$B$22,0))/(1-Model!$B$9)/(1+Model!$B$18)^117))</f>
        <v/>
      </c>
      <c r="EB5" s="7">
        <f>IF(A5="","",IF((A5+118)&gt;Model!$B$4,0,MAX(0,Model!$B$6-IF((A5+118)&gt;=Model!$B$11,Model!$B$20,0)-IF(118&lt;Model!$B$15,Model!$B$22,0))/(1-Model!$B$9)/(1+Model!$B$18)^118))</f>
        <v/>
      </c>
      <c r="EC5" s="7">
        <f>IF(A5="","",IF((A5+119)&gt;Model!$B$4,0,MAX(0,Model!$B$6-IF((A5+119)&gt;=Model!$B$11,Model!$B$20,0)-IF(119&lt;Model!$B$15,Model!$B$22,0))/(1-Model!$B$9)/(1+Model!$B$18)^119))</f>
        <v/>
      </c>
      <c r="ED5" s="7">
        <f>IF(A5="","",IF((A5+120)&gt;Model!$B$4,0,MAX(0,Model!$B$6-IF((A5+120)&gt;=Model!$B$11,Model!$B$20,0)-IF(120&lt;Model!$B$15,Model!$B$22,0))/(1-Model!$B$9)/(1+Model!$B$18)^120))</f>
        <v/>
      </c>
    </row>
    <row r="6">
      <c r="A6">
        <f>IF(Model!$B$10+ROW()-2&lt;=Model!$B$4,Model!$B$10+ROW()-2,"")</f>
        <v/>
      </c>
      <c r="B6">
        <f>IF(A6="","",A6-Model!$B$10)</f>
        <v/>
      </c>
      <c r="C6" s="7">
        <f>IF(A6="","",Model!$B$5*(1+Model!$B$18)^B6)</f>
        <v/>
      </c>
      <c r="D6" s="7">
        <f>IF(A6="","",SUM(N6:ED6))</f>
        <v/>
      </c>
      <c r="E6" s="7">
        <f>IF(A6="","",IF(A6&gt;=Model!$B$11,Model!$B$20,0))</f>
        <v/>
      </c>
      <c r="F6" s="7">
        <f>IF(A6="","",IF(Model!$B$15&gt;0,Model!$B$22,0))</f>
        <v/>
      </c>
      <c r="G6" s="7">
        <f>IF(A6="","",E6+F6)</f>
        <v/>
      </c>
      <c r="H6" s="7">
        <f>IF(A6="","",MAX(0,Model!$B$6-G6))</f>
        <v/>
      </c>
      <c r="I6" s="7">
        <f>IF(A6="","",H6/(1-Model!$B$9))</f>
        <v/>
      </c>
      <c r="J6" s="7">
        <f>IF(A6="","",C6-D6)</f>
        <v/>
      </c>
      <c r="K6">
        <f>IF(A6="","",C6&gt;=D6)</f>
        <v/>
      </c>
      <c r="L6" s="7">
        <f>IF(A6="","",IF(A6&gt;=Model!$B$11,Model!$B$19*(1+Model!$B$13)^B6,0))</f>
        <v/>
      </c>
      <c r="M6" s="7">
        <f>IF(A6="","",IF(Model!$B$15&gt;0,Model!$B$21*(1+Model!$B$13)^B6,0))</f>
        <v/>
      </c>
      <c r="N6" s="7">
        <f>IF(A6="","",IF((A6+0)&gt;Model!$B$4,0,MAX(0,Model!$B$6-IF((A6+0)&gt;=Model!$B$11,Model!$B$20,0)-IF(0&lt;Model!$B$15,Model!$B$22,0))/(1-Model!$B$9)/(1+Model!$B$18)^0))</f>
        <v/>
      </c>
      <c r="O6" s="7">
        <f>IF(A6="","",IF((A6+1)&gt;Model!$B$4,0,MAX(0,Model!$B$6-IF((A6+1)&gt;=Model!$B$11,Model!$B$20,0)-IF(1&lt;Model!$B$15,Model!$B$22,0))/(1-Model!$B$9)/(1+Model!$B$18)^1))</f>
        <v/>
      </c>
      <c r="P6" s="7">
        <f>IF(A6="","",IF((A6+2)&gt;Model!$B$4,0,MAX(0,Model!$B$6-IF((A6+2)&gt;=Model!$B$11,Model!$B$20,0)-IF(2&lt;Model!$B$15,Model!$B$22,0))/(1-Model!$B$9)/(1+Model!$B$18)^2))</f>
        <v/>
      </c>
      <c r="Q6" s="7">
        <f>IF(A6="","",IF((A6+3)&gt;Model!$B$4,0,MAX(0,Model!$B$6-IF((A6+3)&gt;=Model!$B$11,Model!$B$20,0)-IF(3&lt;Model!$B$15,Model!$B$22,0))/(1-Model!$B$9)/(1+Model!$B$18)^3))</f>
        <v/>
      </c>
      <c r="R6" s="7">
        <f>IF(A6="","",IF((A6+4)&gt;Model!$B$4,0,MAX(0,Model!$B$6-IF((A6+4)&gt;=Model!$B$11,Model!$B$20,0)-IF(4&lt;Model!$B$15,Model!$B$22,0))/(1-Model!$B$9)/(1+Model!$B$18)^4))</f>
        <v/>
      </c>
      <c r="S6" s="7">
        <f>IF(A6="","",IF((A6+5)&gt;Model!$B$4,0,MAX(0,Model!$B$6-IF((A6+5)&gt;=Model!$B$11,Model!$B$20,0)-IF(5&lt;Model!$B$15,Model!$B$22,0))/(1-Model!$B$9)/(1+Model!$B$18)^5))</f>
        <v/>
      </c>
      <c r="T6" s="7">
        <f>IF(A6="","",IF((A6+6)&gt;Model!$B$4,0,MAX(0,Model!$B$6-IF((A6+6)&gt;=Model!$B$11,Model!$B$20,0)-IF(6&lt;Model!$B$15,Model!$B$22,0))/(1-Model!$B$9)/(1+Model!$B$18)^6))</f>
        <v/>
      </c>
      <c r="U6" s="7">
        <f>IF(A6="","",IF((A6+7)&gt;Model!$B$4,0,MAX(0,Model!$B$6-IF((A6+7)&gt;=Model!$B$11,Model!$B$20,0)-IF(7&lt;Model!$B$15,Model!$B$22,0))/(1-Model!$B$9)/(1+Model!$B$18)^7))</f>
        <v/>
      </c>
      <c r="V6" s="7">
        <f>IF(A6="","",IF((A6+8)&gt;Model!$B$4,0,MAX(0,Model!$B$6-IF((A6+8)&gt;=Model!$B$11,Model!$B$20,0)-IF(8&lt;Model!$B$15,Model!$B$22,0))/(1-Model!$B$9)/(1+Model!$B$18)^8))</f>
        <v/>
      </c>
      <c r="W6" s="7">
        <f>IF(A6="","",IF((A6+9)&gt;Model!$B$4,0,MAX(0,Model!$B$6-IF((A6+9)&gt;=Model!$B$11,Model!$B$20,0)-IF(9&lt;Model!$B$15,Model!$B$22,0))/(1-Model!$B$9)/(1+Model!$B$18)^9))</f>
        <v/>
      </c>
      <c r="X6" s="7">
        <f>IF(A6="","",IF((A6+10)&gt;Model!$B$4,0,MAX(0,Model!$B$6-IF((A6+10)&gt;=Model!$B$11,Model!$B$20,0)-IF(10&lt;Model!$B$15,Model!$B$22,0))/(1-Model!$B$9)/(1+Model!$B$18)^10))</f>
        <v/>
      </c>
      <c r="Y6" s="7">
        <f>IF(A6="","",IF((A6+11)&gt;Model!$B$4,0,MAX(0,Model!$B$6-IF((A6+11)&gt;=Model!$B$11,Model!$B$20,0)-IF(11&lt;Model!$B$15,Model!$B$22,0))/(1-Model!$B$9)/(1+Model!$B$18)^11))</f>
        <v/>
      </c>
      <c r="Z6" s="7">
        <f>IF(A6="","",IF((A6+12)&gt;Model!$B$4,0,MAX(0,Model!$B$6-IF((A6+12)&gt;=Model!$B$11,Model!$B$20,0)-IF(12&lt;Model!$B$15,Model!$B$22,0))/(1-Model!$B$9)/(1+Model!$B$18)^12))</f>
        <v/>
      </c>
      <c r="AA6" s="7">
        <f>IF(A6="","",IF((A6+13)&gt;Model!$B$4,0,MAX(0,Model!$B$6-IF((A6+13)&gt;=Model!$B$11,Model!$B$20,0)-IF(13&lt;Model!$B$15,Model!$B$22,0))/(1-Model!$B$9)/(1+Model!$B$18)^13))</f>
        <v/>
      </c>
      <c r="AB6" s="7">
        <f>IF(A6="","",IF((A6+14)&gt;Model!$B$4,0,MAX(0,Model!$B$6-IF((A6+14)&gt;=Model!$B$11,Model!$B$20,0)-IF(14&lt;Model!$B$15,Model!$B$22,0))/(1-Model!$B$9)/(1+Model!$B$18)^14))</f>
        <v/>
      </c>
      <c r="AC6" s="7">
        <f>IF(A6="","",IF((A6+15)&gt;Model!$B$4,0,MAX(0,Model!$B$6-IF((A6+15)&gt;=Model!$B$11,Model!$B$20,0)-IF(15&lt;Model!$B$15,Model!$B$22,0))/(1-Model!$B$9)/(1+Model!$B$18)^15))</f>
        <v/>
      </c>
      <c r="AD6" s="7">
        <f>IF(A6="","",IF((A6+16)&gt;Model!$B$4,0,MAX(0,Model!$B$6-IF((A6+16)&gt;=Model!$B$11,Model!$B$20,0)-IF(16&lt;Model!$B$15,Model!$B$22,0))/(1-Model!$B$9)/(1+Model!$B$18)^16))</f>
        <v/>
      </c>
      <c r="AE6" s="7">
        <f>IF(A6="","",IF((A6+17)&gt;Model!$B$4,0,MAX(0,Model!$B$6-IF((A6+17)&gt;=Model!$B$11,Model!$B$20,0)-IF(17&lt;Model!$B$15,Model!$B$22,0))/(1-Model!$B$9)/(1+Model!$B$18)^17))</f>
        <v/>
      </c>
      <c r="AF6" s="7">
        <f>IF(A6="","",IF((A6+18)&gt;Model!$B$4,0,MAX(0,Model!$B$6-IF((A6+18)&gt;=Model!$B$11,Model!$B$20,0)-IF(18&lt;Model!$B$15,Model!$B$22,0))/(1-Model!$B$9)/(1+Model!$B$18)^18))</f>
        <v/>
      </c>
      <c r="AG6" s="7">
        <f>IF(A6="","",IF((A6+19)&gt;Model!$B$4,0,MAX(0,Model!$B$6-IF((A6+19)&gt;=Model!$B$11,Model!$B$20,0)-IF(19&lt;Model!$B$15,Model!$B$22,0))/(1-Model!$B$9)/(1+Model!$B$18)^19))</f>
        <v/>
      </c>
      <c r="AH6" s="7">
        <f>IF(A6="","",IF((A6+20)&gt;Model!$B$4,0,MAX(0,Model!$B$6-IF((A6+20)&gt;=Model!$B$11,Model!$B$20,0)-IF(20&lt;Model!$B$15,Model!$B$22,0))/(1-Model!$B$9)/(1+Model!$B$18)^20))</f>
        <v/>
      </c>
      <c r="AI6" s="7">
        <f>IF(A6="","",IF((A6+21)&gt;Model!$B$4,0,MAX(0,Model!$B$6-IF((A6+21)&gt;=Model!$B$11,Model!$B$20,0)-IF(21&lt;Model!$B$15,Model!$B$22,0))/(1-Model!$B$9)/(1+Model!$B$18)^21))</f>
        <v/>
      </c>
      <c r="AJ6" s="7">
        <f>IF(A6="","",IF((A6+22)&gt;Model!$B$4,0,MAX(0,Model!$B$6-IF((A6+22)&gt;=Model!$B$11,Model!$B$20,0)-IF(22&lt;Model!$B$15,Model!$B$22,0))/(1-Model!$B$9)/(1+Model!$B$18)^22))</f>
        <v/>
      </c>
      <c r="AK6" s="7">
        <f>IF(A6="","",IF((A6+23)&gt;Model!$B$4,0,MAX(0,Model!$B$6-IF((A6+23)&gt;=Model!$B$11,Model!$B$20,0)-IF(23&lt;Model!$B$15,Model!$B$22,0))/(1-Model!$B$9)/(1+Model!$B$18)^23))</f>
        <v/>
      </c>
      <c r="AL6" s="7">
        <f>IF(A6="","",IF((A6+24)&gt;Model!$B$4,0,MAX(0,Model!$B$6-IF((A6+24)&gt;=Model!$B$11,Model!$B$20,0)-IF(24&lt;Model!$B$15,Model!$B$22,0))/(1-Model!$B$9)/(1+Model!$B$18)^24))</f>
        <v/>
      </c>
      <c r="AM6" s="7">
        <f>IF(A6="","",IF((A6+25)&gt;Model!$B$4,0,MAX(0,Model!$B$6-IF((A6+25)&gt;=Model!$B$11,Model!$B$20,0)-IF(25&lt;Model!$B$15,Model!$B$22,0))/(1-Model!$B$9)/(1+Model!$B$18)^25))</f>
        <v/>
      </c>
      <c r="AN6" s="7">
        <f>IF(A6="","",IF((A6+26)&gt;Model!$B$4,0,MAX(0,Model!$B$6-IF((A6+26)&gt;=Model!$B$11,Model!$B$20,0)-IF(26&lt;Model!$B$15,Model!$B$22,0))/(1-Model!$B$9)/(1+Model!$B$18)^26))</f>
        <v/>
      </c>
      <c r="AO6" s="7">
        <f>IF(A6="","",IF((A6+27)&gt;Model!$B$4,0,MAX(0,Model!$B$6-IF((A6+27)&gt;=Model!$B$11,Model!$B$20,0)-IF(27&lt;Model!$B$15,Model!$B$22,0))/(1-Model!$B$9)/(1+Model!$B$18)^27))</f>
        <v/>
      </c>
      <c r="AP6" s="7">
        <f>IF(A6="","",IF((A6+28)&gt;Model!$B$4,0,MAX(0,Model!$B$6-IF((A6+28)&gt;=Model!$B$11,Model!$B$20,0)-IF(28&lt;Model!$B$15,Model!$B$22,0))/(1-Model!$B$9)/(1+Model!$B$18)^28))</f>
        <v/>
      </c>
      <c r="AQ6" s="7">
        <f>IF(A6="","",IF((A6+29)&gt;Model!$B$4,0,MAX(0,Model!$B$6-IF((A6+29)&gt;=Model!$B$11,Model!$B$20,0)-IF(29&lt;Model!$B$15,Model!$B$22,0))/(1-Model!$B$9)/(1+Model!$B$18)^29))</f>
        <v/>
      </c>
      <c r="AR6" s="7">
        <f>IF(A6="","",IF((A6+30)&gt;Model!$B$4,0,MAX(0,Model!$B$6-IF((A6+30)&gt;=Model!$B$11,Model!$B$20,0)-IF(30&lt;Model!$B$15,Model!$B$22,0))/(1-Model!$B$9)/(1+Model!$B$18)^30))</f>
        <v/>
      </c>
      <c r="AS6" s="7">
        <f>IF(A6="","",IF((A6+31)&gt;Model!$B$4,0,MAX(0,Model!$B$6-IF((A6+31)&gt;=Model!$B$11,Model!$B$20,0)-IF(31&lt;Model!$B$15,Model!$B$22,0))/(1-Model!$B$9)/(1+Model!$B$18)^31))</f>
        <v/>
      </c>
      <c r="AT6" s="7">
        <f>IF(A6="","",IF((A6+32)&gt;Model!$B$4,0,MAX(0,Model!$B$6-IF((A6+32)&gt;=Model!$B$11,Model!$B$20,0)-IF(32&lt;Model!$B$15,Model!$B$22,0))/(1-Model!$B$9)/(1+Model!$B$18)^32))</f>
        <v/>
      </c>
      <c r="AU6" s="7">
        <f>IF(A6="","",IF((A6+33)&gt;Model!$B$4,0,MAX(0,Model!$B$6-IF((A6+33)&gt;=Model!$B$11,Model!$B$20,0)-IF(33&lt;Model!$B$15,Model!$B$22,0))/(1-Model!$B$9)/(1+Model!$B$18)^33))</f>
        <v/>
      </c>
      <c r="AV6" s="7">
        <f>IF(A6="","",IF((A6+34)&gt;Model!$B$4,0,MAX(0,Model!$B$6-IF((A6+34)&gt;=Model!$B$11,Model!$B$20,0)-IF(34&lt;Model!$B$15,Model!$B$22,0))/(1-Model!$B$9)/(1+Model!$B$18)^34))</f>
        <v/>
      </c>
      <c r="AW6" s="7">
        <f>IF(A6="","",IF((A6+35)&gt;Model!$B$4,0,MAX(0,Model!$B$6-IF((A6+35)&gt;=Model!$B$11,Model!$B$20,0)-IF(35&lt;Model!$B$15,Model!$B$22,0))/(1-Model!$B$9)/(1+Model!$B$18)^35))</f>
        <v/>
      </c>
      <c r="AX6" s="7">
        <f>IF(A6="","",IF((A6+36)&gt;Model!$B$4,0,MAX(0,Model!$B$6-IF((A6+36)&gt;=Model!$B$11,Model!$B$20,0)-IF(36&lt;Model!$B$15,Model!$B$22,0))/(1-Model!$B$9)/(1+Model!$B$18)^36))</f>
        <v/>
      </c>
      <c r="AY6" s="7">
        <f>IF(A6="","",IF((A6+37)&gt;Model!$B$4,0,MAX(0,Model!$B$6-IF((A6+37)&gt;=Model!$B$11,Model!$B$20,0)-IF(37&lt;Model!$B$15,Model!$B$22,0))/(1-Model!$B$9)/(1+Model!$B$18)^37))</f>
        <v/>
      </c>
      <c r="AZ6" s="7">
        <f>IF(A6="","",IF((A6+38)&gt;Model!$B$4,0,MAX(0,Model!$B$6-IF((A6+38)&gt;=Model!$B$11,Model!$B$20,0)-IF(38&lt;Model!$B$15,Model!$B$22,0))/(1-Model!$B$9)/(1+Model!$B$18)^38))</f>
        <v/>
      </c>
      <c r="BA6" s="7">
        <f>IF(A6="","",IF((A6+39)&gt;Model!$B$4,0,MAX(0,Model!$B$6-IF((A6+39)&gt;=Model!$B$11,Model!$B$20,0)-IF(39&lt;Model!$B$15,Model!$B$22,0))/(1-Model!$B$9)/(1+Model!$B$18)^39))</f>
        <v/>
      </c>
      <c r="BB6" s="7">
        <f>IF(A6="","",IF((A6+40)&gt;Model!$B$4,0,MAX(0,Model!$B$6-IF((A6+40)&gt;=Model!$B$11,Model!$B$20,0)-IF(40&lt;Model!$B$15,Model!$B$22,0))/(1-Model!$B$9)/(1+Model!$B$18)^40))</f>
        <v/>
      </c>
      <c r="BC6" s="7">
        <f>IF(A6="","",IF((A6+41)&gt;Model!$B$4,0,MAX(0,Model!$B$6-IF((A6+41)&gt;=Model!$B$11,Model!$B$20,0)-IF(41&lt;Model!$B$15,Model!$B$22,0))/(1-Model!$B$9)/(1+Model!$B$18)^41))</f>
        <v/>
      </c>
      <c r="BD6" s="7">
        <f>IF(A6="","",IF((A6+42)&gt;Model!$B$4,0,MAX(0,Model!$B$6-IF((A6+42)&gt;=Model!$B$11,Model!$B$20,0)-IF(42&lt;Model!$B$15,Model!$B$22,0))/(1-Model!$B$9)/(1+Model!$B$18)^42))</f>
        <v/>
      </c>
      <c r="BE6" s="7">
        <f>IF(A6="","",IF((A6+43)&gt;Model!$B$4,0,MAX(0,Model!$B$6-IF((A6+43)&gt;=Model!$B$11,Model!$B$20,0)-IF(43&lt;Model!$B$15,Model!$B$22,0))/(1-Model!$B$9)/(1+Model!$B$18)^43))</f>
        <v/>
      </c>
      <c r="BF6" s="7">
        <f>IF(A6="","",IF((A6+44)&gt;Model!$B$4,0,MAX(0,Model!$B$6-IF((A6+44)&gt;=Model!$B$11,Model!$B$20,0)-IF(44&lt;Model!$B$15,Model!$B$22,0))/(1-Model!$B$9)/(1+Model!$B$18)^44))</f>
        <v/>
      </c>
      <c r="BG6" s="7">
        <f>IF(A6="","",IF((A6+45)&gt;Model!$B$4,0,MAX(0,Model!$B$6-IF((A6+45)&gt;=Model!$B$11,Model!$B$20,0)-IF(45&lt;Model!$B$15,Model!$B$22,0))/(1-Model!$B$9)/(1+Model!$B$18)^45))</f>
        <v/>
      </c>
      <c r="BH6" s="7">
        <f>IF(A6="","",IF((A6+46)&gt;Model!$B$4,0,MAX(0,Model!$B$6-IF((A6+46)&gt;=Model!$B$11,Model!$B$20,0)-IF(46&lt;Model!$B$15,Model!$B$22,0))/(1-Model!$B$9)/(1+Model!$B$18)^46))</f>
        <v/>
      </c>
      <c r="BI6" s="7">
        <f>IF(A6="","",IF((A6+47)&gt;Model!$B$4,0,MAX(0,Model!$B$6-IF((A6+47)&gt;=Model!$B$11,Model!$B$20,0)-IF(47&lt;Model!$B$15,Model!$B$22,0))/(1-Model!$B$9)/(1+Model!$B$18)^47))</f>
        <v/>
      </c>
      <c r="BJ6" s="7">
        <f>IF(A6="","",IF((A6+48)&gt;Model!$B$4,0,MAX(0,Model!$B$6-IF((A6+48)&gt;=Model!$B$11,Model!$B$20,0)-IF(48&lt;Model!$B$15,Model!$B$22,0))/(1-Model!$B$9)/(1+Model!$B$18)^48))</f>
        <v/>
      </c>
      <c r="BK6" s="7">
        <f>IF(A6="","",IF((A6+49)&gt;Model!$B$4,0,MAX(0,Model!$B$6-IF((A6+49)&gt;=Model!$B$11,Model!$B$20,0)-IF(49&lt;Model!$B$15,Model!$B$22,0))/(1-Model!$B$9)/(1+Model!$B$18)^49))</f>
        <v/>
      </c>
      <c r="BL6" s="7">
        <f>IF(A6="","",IF((A6+50)&gt;Model!$B$4,0,MAX(0,Model!$B$6-IF((A6+50)&gt;=Model!$B$11,Model!$B$20,0)-IF(50&lt;Model!$B$15,Model!$B$22,0))/(1-Model!$B$9)/(1+Model!$B$18)^50))</f>
        <v/>
      </c>
      <c r="BM6" s="7">
        <f>IF(A6="","",IF((A6+51)&gt;Model!$B$4,0,MAX(0,Model!$B$6-IF((A6+51)&gt;=Model!$B$11,Model!$B$20,0)-IF(51&lt;Model!$B$15,Model!$B$22,0))/(1-Model!$B$9)/(1+Model!$B$18)^51))</f>
        <v/>
      </c>
      <c r="BN6" s="7">
        <f>IF(A6="","",IF((A6+52)&gt;Model!$B$4,0,MAX(0,Model!$B$6-IF((A6+52)&gt;=Model!$B$11,Model!$B$20,0)-IF(52&lt;Model!$B$15,Model!$B$22,0))/(1-Model!$B$9)/(1+Model!$B$18)^52))</f>
        <v/>
      </c>
      <c r="BO6" s="7">
        <f>IF(A6="","",IF((A6+53)&gt;Model!$B$4,0,MAX(0,Model!$B$6-IF((A6+53)&gt;=Model!$B$11,Model!$B$20,0)-IF(53&lt;Model!$B$15,Model!$B$22,0))/(1-Model!$B$9)/(1+Model!$B$18)^53))</f>
        <v/>
      </c>
      <c r="BP6" s="7">
        <f>IF(A6="","",IF((A6+54)&gt;Model!$B$4,0,MAX(0,Model!$B$6-IF((A6+54)&gt;=Model!$B$11,Model!$B$20,0)-IF(54&lt;Model!$B$15,Model!$B$22,0))/(1-Model!$B$9)/(1+Model!$B$18)^54))</f>
        <v/>
      </c>
      <c r="BQ6" s="7">
        <f>IF(A6="","",IF((A6+55)&gt;Model!$B$4,0,MAX(0,Model!$B$6-IF((A6+55)&gt;=Model!$B$11,Model!$B$20,0)-IF(55&lt;Model!$B$15,Model!$B$22,0))/(1-Model!$B$9)/(1+Model!$B$18)^55))</f>
        <v/>
      </c>
      <c r="BR6" s="7">
        <f>IF(A6="","",IF((A6+56)&gt;Model!$B$4,0,MAX(0,Model!$B$6-IF((A6+56)&gt;=Model!$B$11,Model!$B$20,0)-IF(56&lt;Model!$B$15,Model!$B$22,0))/(1-Model!$B$9)/(1+Model!$B$18)^56))</f>
        <v/>
      </c>
      <c r="BS6" s="7">
        <f>IF(A6="","",IF((A6+57)&gt;Model!$B$4,0,MAX(0,Model!$B$6-IF((A6+57)&gt;=Model!$B$11,Model!$B$20,0)-IF(57&lt;Model!$B$15,Model!$B$22,0))/(1-Model!$B$9)/(1+Model!$B$18)^57))</f>
        <v/>
      </c>
      <c r="BT6" s="7">
        <f>IF(A6="","",IF((A6+58)&gt;Model!$B$4,0,MAX(0,Model!$B$6-IF((A6+58)&gt;=Model!$B$11,Model!$B$20,0)-IF(58&lt;Model!$B$15,Model!$B$22,0))/(1-Model!$B$9)/(1+Model!$B$18)^58))</f>
        <v/>
      </c>
      <c r="BU6" s="7">
        <f>IF(A6="","",IF((A6+59)&gt;Model!$B$4,0,MAX(0,Model!$B$6-IF((A6+59)&gt;=Model!$B$11,Model!$B$20,0)-IF(59&lt;Model!$B$15,Model!$B$22,0))/(1-Model!$B$9)/(1+Model!$B$18)^59))</f>
        <v/>
      </c>
      <c r="BV6" s="7">
        <f>IF(A6="","",IF((A6+60)&gt;Model!$B$4,0,MAX(0,Model!$B$6-IF((A6+60)&gt;=Model!$B$11,Model!$B$20,0)-IF(60&lt;Model!$B$15,Model!$B$22,0))/(1-Model!$B$9)/(1+Model!$B$18)^60))</f>
        <v/>
      </c>
      <c r="BW6" s="7">
        <f>IF(A6="","",IF((A6+61)&gt;Model!$B$4,0,MAX(0,Model!$B$6-IF((A6+61)&gt;=Model!$B$11,Model!$B$20,0)-IF(61&lt;Model!$B$15,Model!$B$22,0))/(1-Model!$B$9)/(1+Model!$B$18)^61))</f>
        <v/>
      </c>
      <c r="BX6" s="7">
        <f>IF(A6="","",IF((A6+62)&gt;Model!$B$4,0,MAX(0,Model!$B$6-IF((A6+62)&gt;=Model!$B$11,Model!$B$20,0)-IF(62&lt;Model!$B$15,Model!$B$22,0))/(1-Model!$B$9)/(1+Model!$B$18)^62))</f>
        <v/>
      </c>
      <c r="BY6" s="7">
        <f>IF(A6="","",IF((A6+63)&gt;Model!$B$4,0,MAX(0,Model!$B$6-IF((A6+63)&gt;=Model!$B$11,Model!$B$20,0)-IF(63&lt;Model!$B$15,Model!$B$22,0))/(1-Model!$B$9)/(1+Model!$B$18)^63))</f>
        <v/>
      </c>
      <c r="BZ6" s="7">
        <f>IF(A6="","",IF((A6+64)&gt;Model!$B$4,0,MAX(0,Model!$B$6-IF((A6+64)&gt;=Model!$B$11,Model!$B$20,0)-IF(64&lt;Model!$B$15,Model!$B$22,0))/(1-Model!$B$9)/(1+Model!$B$18)^64))</f>
        <v/>
      </c>
      <c r="CA6" s="7">
        <f>IF(A6="","",IF((A6+65)&gt;Model!$B$4,0,MAX(0,Model!$B$6-IF((A6+65)&gt;=Model!$B$11,Model!$B$20,0)-IF(65&lt;Model!$B$15,Model!$B$22,0))/(1-Model!$B$9)/(1+Model!$B$18)^65))</f>
        <v/>
      </c>
      <c r="CB6" s="7">
        <f>IF(A6="","",IF((A6+66)&gt;Model!$B$4,0,MAX(0,Model!$B$6-IF((A6+66)&gt;=Model!$B$11,Model!$B$20,0)-IF(66&lt;Model!$B$15,Model!$B$22,0))/(1-Model!$B$9)/(1+Model!$B$18)^66))</f>
        <v/>
      </c>
      <c r="CC6" s="7">
        <f>IF(A6="","",IF((A6+67)&gt;Model!$B$4,0,MAX(0,Model!$B$6-IF((A6+67)&gt;=Model!$B$11,Model!$B$20,0)-IF(67&lt;Model!$B$15,Model!$B$22,0))/(1-Model!$B$9)/(1+Model!$B$18)^67))</f>
        <v/>
      </c>
      <c r="CD6" s="7">
        <f>IF(A6="","",IF((A6+68)&gt;Model!$B$4,0,MAX(0,Model!$B$6-IF((A6+68)&gt;=Model!$B$11,Model!$B$20,0)-IF(68&lt;Model!$B$15,Model!$B$22,0))/(1-Model!$B$9)/(1+Model!$B$18)^68))</f>
        <v/>
      </c>
      <c r="CE6" s="7">
        <f>IF(A6="","",IF((A6+69)&gt;Model!$B$4,0,MAX(0,Model!$B$6-IF((A6+69)&gt;=Model!$B$11,Model!$B$20,0)-IF(69&lt;Model!$B$15,Model!$B$22,0))/(1-Model!$B$9)/(1+Model!$B$18)^69))</f>
        <v/>
      </c>
      <c r="CF6" s="7">
        <f>IF(A6="","",IF((A6+70)&gt;Model!$B$4,0,MAX(0,Model!$B$6-IF((A6+70)&gt;=Model!$B$11,Model!$B$20,0)-IF(70&lt;Model!$B$15,Model!$B$22,0))/(1-Model!$B$9)/(1+Model!$B$18)^70))</f>
        <v/>
      </c>
      <c r="CG6" s="7">
        <f>IF(A6="","",IF((A6+71)&gt;Model!$B$4,0,MAX(0,Model!$B$6-IF((A6+71)&gt;=Model!$B$11,Model!$B$20,0)-IF(71&lt;Model!$B$15,Model!$B$22,0))/(1-Model!$B$9)/(1+Model!$B$18)^71))</f>
        <v/>
      </c>
      <c r="CH6" s="7">
        <f>IF(A6="","",IF((A6+72)&gt;Model!$B$4,0,MAX(0,Model!$B$6-IF((A6+72)&gt;=Model!$B$11,Model!$B$20,0)-IF(72&lt;Model!$B$15,Model!$B$22,0))/(1-Model!$B$9)/(1+Model!$B$18)^72))</f>
        <v/>
      </c>
      <c r="CI6" s="7">
        <f>IF(A6="","",IF((A6+73)&gt;Model!$B$4,0,MAX(0,Model!$B$6-IF((A6+73)&gt;=Model!$B$11,Model!$B$20,0)-IF(73&lt;Model!$B$15,Model!$B$22,0))/(1-Model!$B$9)/(1+Model!$B$18)^73))</f>
        <v/>
      </c>
      <c r="CJ6" s="7">
        <f>IF(A6="","",IF((A6+74)&gt;Model!$B$4,0,MAX(0,Model!$B$6-IF((A6+74)&gt;=Model!$B$11,Model!$B$20,0)-IF(74&lt;Model!$B$15,Model!$B$22,0))/(1-Model!$B$9)/(1+Model!$B$18)^74))</f>
        <v/>
      </c>
      <c r="CK6" s="7">
        <f>IF(A6="","",IF((A6+75)&gt;Model!$B$4,0,MAX(0,Model!$B$6-IF((A6+75)&gt;=Model!$B$11,Model!$B$20,0)-IF(75&lt;Model!$B$15,Model!$B$22,0))/(1-Model!$B$9)/(1+Model!$B$18)^75))</f>
        <v/>
      </c>
      <c r="CL6" s="7">
        <f>IF(A6="","",IF((A6+76)&gt;Model!$B$4,0,MAX(0,Model!$B$6-IF((A6+76)&gt;=Model!$B$11,Model!$B$20,0)-IF(76&lt;Model!$B$15,Model!$B$22,0))/(1-Model!$B$9)/(1+Model!$B$18)^76))</f>
        <v/>
      </c>
      <c r="CM6" s="7">
        <f>IF(A6="","",IF((A6+77)&gt;Model!$B$4,0,MAX(0,Model!$B$6-IF((A6+77)&gt;=Model!$B$11,Model!$B$20,0)-IF(77&lt;Model!$B$15,Model!$B$22,0))/(1-Model!$B$9)/(1+Model!$B$18)^77))</f>
        <v/>
      </c>
      <c r="CN6" s="7">
        <f>IF(A6="","",IF((A6+78)&gt;Model!$B$4,0,MAX(0,Model!$B$6-IF((A6+78)&gt;=Model!$B$11,Model!$B$20,0)-IF(78&lt;Model!$B$15,Model!$B$22,0))/(1-Model!$B$9)/(1+Model!$B$18)^78))</f>
        <v/>
      </c>
      <c r="CO6" s="7">
        <f>IF(A6="","",IF((A6+79)&gt;Model!$B$4,0,MAX(0,Model!$B$6-IF((A6+79)&gt;=Model!$B$11,Model!$B$20,0)-IF(79&lt;Model!$B$15,Model!$B$22,0))/(1-Model!$B$9)/(1+Model!$B$18)^79))</f>
        <v/>
      </c>
      <c r="CP6" s="7">
        <f>IF(A6="","",IF((A6+80)&gt;Model!$B$4,0,MAX(0,Model!$B$6-IF((A6+80)&gt;=Model!$B$11,Model!$B$20,0)-IF(80&lt;Model!$B$15,Model!$B$22,0))/(1-Model!$B$9)/(1+Model!$B$18)^80))</f>
        <v/>
      </c>
      <c r="CQ6" s="7">
        <f>IF(A6="","",IF((A6+81)&gt;Model!$B$4,0,MAX(0,Model!$B$6-IF((A6+81)&gt;=Model!$B$11,Model!$B$20,0)-IF(81&lt;Model!$B$15,Model!$B$22,0))/(1-Model!$B$9)/(1+Model!$B$18)^81))</f>
        <v/>
      </c>
      <c r="CR6" s="7">
        <f>IF(A6="","",IF((A6+82)&gt;Model!$B$4,0,MAX(0,Model!$B$6-IF((A6+82)&gt;=Model!$B$11,Model!$B$20,0)-IF(82&lt;Model!$B$15,Model!$B$22,0))/(1-Model!$B$9)/(1+Model!$B$18)^82))</f>
        <v/>
      </c>
      <c r="CS6" s="7">
        <f>IF(A6="","",IF((A6+83)&gt;Model!$B$4,0,MAX(0,Model!$B$6-IF((A6+83)&gt;=Model!$B$11,Model!$B$20,0)-IF(83&lt;Model!$B$15,Model!$B$22,0))/(1-Model!$B$9)/(1+Model!$B$18)^83))</f>
        <v/>
      </c>
      <c r="CT6" s="7">
        <f>IF(A6="","",IF((A6+84)&gt;Model!$B$4,0,MAX(0,Model!$B$6-IF((A6+84)&gt;=Model!$B$11,Model!$B$20,0)-IF(84&lt;Model!$B$15,Model!$B$22,0))/(1-Model!$B$9)/(1+Model!$B$18)^84))</f>
        <v/>
      </c>
      <c r="CU6" s="7">
        <f>IF(A6="","",IF((A6+85)&gt;Model!$B$4,0,MAX(0,Model!$B$6-IF((A6+85)&gt;=Model!$B$11,Model!$B$20,0)-IF(85&lt;Model!$B$15,Model!$B$22,0))/(1-Model!$B$9)/(1+Model!$B$18)^85))</f>
        <v/>
      </c>
      <c r="CV6" s="7">
        <f>IF(A6="","",IF((A6+86)&gt;Model!$B$4,0,MAX(0,Model!$B$6-IF((A6+86)&gt;=Model!$B$11,Model!$B$20,0)-IF(86&lt;Model!$B$15,Model!$B$22,0))/(1-Model!$B$9)/(1+Model!$B$18)^86))</f>
        <v/>
      </c>
      <c r="CW6" s="7">
        <f>IF(A6="","",IF((A6+87)&gt;Model!$B$4,0,MAX(0,Model!$B$6-IF((A6+87)&gt;=Model!$B$11,Model!$B$20,0)-IF(87&lt;Model!$B$15,Model!$B$22,0))/(1-Model!$B$9)/(1+Model!$B$18)^87))</f>
        <v/>
      </c>
      <c r="CX6" s="7">
        <f>IF(A6="","",IF((A6+88)&gt;Model!$B$4,0,MAX(0,Model!$B$6-IF((A6+88)&gt;=Model!$B$11,Model!$B$20,0)-IF(88&lt;Model!$B$15,Model!$B$22,0))/(1-Model!$B$9)/(1+Model!$B$18)^88))</f>
        <v/>
      </c>
      <c r="CY6" s="7">
        <f>IF(A6="","",IF((A6+89)&gt;Model!$B$4,0,MAX(0,Model!$B$6-IF((A6+89)&gt;=Model!$B$11,Model!$B$20,0)-IF(89&lt;Model!$B$15,Model!$B$22,0))/(1-Model!$B$9)/(1+Model!$B$18)^89))</f>
        <v/>
      </c>
      <c r="CZ6" s="7">
        <f>IF(A6="","",IF((A6+90)&gt;Model!$B$4,0,MAX(0,Model!$B$6-IF((A6+90)&gt;=Model!$B$11,Model!$B$20,0)-IF(90&lt;Model!$B$15,Model!$B$22,0))/(1-Model!$B$9)/(1+Model!$B$18)^90))</f>
        <v/>
      </c>
      <c r="DA6" s="7">
        <f>IF(A6="","",IF((A6+91)&gt;Model!$B$4,0,MAX(0,Model!$B$6-IF((A6+91)&gt;=Model!$B$11,Model!$B$20,0)-IF(91&lt;Model!$B$15,Model!$B$22,0))/(1-Model!$B$9)/(1+Model!$B$18)^91))</f>
        <v/>
      </c>
      <c r="DB6" s="7">
        <f>IF(A6="","",IF((A6+92)&gt;Model!$B$4,0,MAX(0,Model!$B$6-IF((A6+92)&gt;=Model!$B$11,Model!$B$20,0)-IF(92&lt;Model!$B$15,Model!$B$22,0))/(1-Model!$B$9)/(1+Model!$B$18)^92))</f>
        <v/>
      </c>
      <c r="DC6" s="7">
        <f>IF(A6="","",IF((A6+93)&gt;Model!$B$4,0,MAX(0,Model!$B$6-IF((A6+93)&gt;=Model!$B$11,Model!$B$20,0)-IF(93&lt;Model!$B$15,Model!$B$22,0))/(1-Model!$B$9)/(1+Model!$B$18)^93))</f>
        <v/>
      </c>
      <c r="DD6" s="7">
        <f>IF(A6="","",IF((A6+94)&gt;Model!$B$4,0,MAX(0,Model!$B$6-IF((A6+94)&gt;=Model!$B$11,Model!$B$20,0)-IF(94&lt;Model!$B$15,Model!$B$22,0))/(1-Model!$B$9)/(1+Model!$B$18)^94))</f>
        <v/>
      </c>
      <c r="DE6" s="7">
        <f>IF(A6="","",IF((A6+95)&gt;Model!$B$4,0,MAX(0,Model!$B$6-IF((A6+95)&gt;=Model!$B$11,Model!$B$20,0)-IF(95&lt;Model!$B$15,Model!$B$22,0))/(1-Model!$B$9)/(1+Model!$B$18)^95))</f>
        <v/>
      </c>
      <c r="DF6" s="7">
        <f>IF(A6="","",IF((A6+96)&gt;Model!$B$4,0,MAX(0,Model!$B$6-IF((A6+96)&gt;=Model!$B$11,Model!$B$20,0)-IF(96&lt;Model!$B$15,Model!$B$22,0))/(1-Model!$B$9)/(1+Model!$B$18)^96))</f>
        <v/>
      </c>
      <c r="DG6" s="7">
        <f>IF(A6="","",IF((A6+97)&gt;Model!$B$4,0,MAX(0,Model!$B$6-IF((A6+97)&gt;=Model!$B$11,Model!$B$20,0)-IF(97&lt;Model!$B$15,Model!$B$22,0))/(1-Model!$B$9)/(1+Model!$B$18)^97))</f>
        <v/>
      </c>
      <c r="DH6" s="7">
        <f>IF(A6="","",IF((A6+98)&gt;Model!$B$4,0,MAX(0,Model!$B$6-IF((A6+98)&gt;=Model!$B$11,Model!$B$20,0)-IF(98&lt;Model!$B$15,Model!$B$22,0))/(1-Model!$B$9)/(1+Model!$B$18)^98))</f>
        <v/>
      </c>
      <c r="DI6" s="7">
        <f>IF(A6="","",IF((A6+99)&gt;Model!$B$4,0,MAX(0,Model!$B$6-IF((A6+99)&gt;=Model!$B$11,Model!$B$20,0)-IF(99&lt;Model!$B$15,Model!$B$22,0))/(1-Model!$B$9)/(1+Model!$B$18)^99))</f>
        <v/>
      </c>
      <c r="DJ6" s="7">
        <f>IF(A6="","",IF((A6+100)&gt;Model!$B$4,0,MAX(0,Model!$B$6-IF((A6+100)&gt;=Model!$B$11,Model!$B$20,0)-IF(100&lt;Model!$B$15,Model!$B$22,0))/(1-Model!$B$9)/(1+Model!$B$18)^100))</f>
        <v/>
      </c>
      <c r="DK6" s="7">
        <f>IF(A6="","",IF((A6+101)&gt;Model!$B$4,0,MAX(0,Model!$B$6-IF((A6+101)&gt;=Model!$B$11,Model!$B$20,0)-IF(101&lt;Model!$B$15,Model!$B$22,0))/(1-Model!$B$9)/(1+Model!$B$18)^101))</f>
        <v/>
      </c>
      <c r="DL6" s="7">
        <f>IF(A6="","",IF((A6+102)&gt;Model!$B$4,0,MAX(0,Model!$B$6-IF((A6+102)&gt;=Model!$B$11,Model!$B$20,0)-IF(102&lt;Model!$B$15,Model!$B$22,0))/(1-Model!$B$9)/(1+Model!$B$18)^102))</f>
        <v/>
      </c>
      <c r="DM6" s="7">
        <f>IF(A6="","",IF((A6+103)&gt;Model!$B$4,0,MAX(0,Model!$B$6-IF((A6+103)&gt;=Model!$B$11,Model!$B$20,0)-IF(103&lt;Model!$B$15,Model!$B$22,0))/(1-Model!$B$9)/(1+Model!$B$18)^103))</f>
        <v/>
      </c>
      <c r="DN6" s="7">
        <f>IF(A6="","",IF((A6+104)&gt;Model!$B$4,0,MAX(0,Model!$B$6-IF((A6+104)&gt;=Model!$B$11,Model!$B$20,0)-IF(104&lt;Model!$B$15,Model!$B$22,0))/(1-Model!$B$9)/(1+Model!$B$18)^104))</f>
        <v/>
      </c>
      <c r="DO6" s="7">
        <f>IF(A6="","",IF((A6+105)&gt;Model!$B$4,0,MAX(0,Model!$B$6-IF((A6+105)&gt;=Model!$B$11,Model!$B$20,0)-IF(105&lt;Model!$B$15,Model!$B$22,0))/(1-Model!$B$9)/(1+Model!$B$18)^105))</f>
        <v/>
      </c>
      <c r="DP6" s="7">
        <f>IF(A6="","",IF((A6+106)&gt;Model!$B$4,0,MAX(0,Model!$B$6-IF((A6+106)&gt;=Model!$B$11,Model!$B$20,0)-IF(106&lt;Model!$B$15,Model!$B$22,0))/(1-Model!$B$9)/(1+Model!$B$18)^106))</f>
        <v/>
      </c>
      <c r="DQ6" s="7">
        <f>IF(A6="","",IF((A6+107)&gt;Model!$B$4,0,MAX(0,Model!$B$6-IF((A6+107)&gt;=Model!$B$11,Model!$B$20,0)-IF(107&lt;Model!$B$15,Model!$B$22,0))/(1-Model!$B$9)/(1+Model!$B$18)^107))</f>
        <v/>
      </c>
      <c r="DR6" s="7">
        <f>IF(A6="","",IF((A6+108)&gt;Model!$B$4,0,MAX(0,Model!$B$6-IF((A6+108)&gt;=Model!$B$11,Model!$B$20,0)-IF(108&lt;Model!$B$15,Model!$B$22,0))/(1-Model!$B$9)/(1+Model!$B$18)^108))</f>
        <v/>
      </c>
      <c r="DS6" s="7">
        <f>IF(A6="","",IF((A6+109)&gt;Model!$B$4,0,MAX(0,Model!$B$6-IF((A6+109)&gt;=Model!$B$11,Model!$B$20,0)-IF(109&lt;Model!$B$15,Model!$B$22,0))/(1-Model!$B$9)/(1+Model!$B$18)^109))</f>
        <v/>
      </c>
      <c r="DT6" s="7">
        <f>IF(A6="","",IF((A6+110)&gt;Model!$B$4,0,MAX(0,Model!$B$6-IF((A6+110)&gt;=Model!$B$11,Model!$B$20,0)-IF(110&lt;Model!$B$15,Model!$B$22,0))/(1-Model!$B$9)/(1+Model!$B$18)^110))</f>
        <v/>
      </c>
      <c r="DU6" s="7">
        <f>IF(A6="","",IF((A6+111)&gt;Model!$B$4,0,MAX(0,Model!$B$6-IF((A6+111)&gt;=Model!$B$11,Model!$B$20,0)-IF(111&lt;Model!$B$15,Model!$B$22,0))/(1-Model!$B$9)/(1+Model!$B$18)^111))</f>
        <v/>
      </c>
      <c r="DV6" s="7">
        <f>IF(A6="","",IF((A6+112)&gt;Model!$B$4,0,MAX(0,Model!$B$6-IF((A6+112)&gt;=Model!$B$11,Model!$B$20,0)-IF(112&lt;Model!$B$15,Model!$B$22,0))/(1-Model!$B$9)/(1+Model!$B$18)^112))</f>
        <v/>
      </c>
      <c r="DW6" s="7">
        <f>IF(A6="","",IF((A6+113)&gt;Model!$B$4,0,MAX(0,Model!$B$6-IF((A6+113)&gt;=Model!$B$11,Model!$B$20,0)-IF(113&lt;Model!$B$15,Model!$B$22,0))/(1-Model!$B$9)/(1+Model!$B$18)^113))</f>
        <v/>
      </c>
      <c r="DX6" s="7">
        <f>IF(A6="","",IF((A6+114)&gt;Model!$B$4,0,MAX(0,Model!$B$6-IF((A6+114)&gt;=Model!$B$11,Model!$B$20,0)-IF(114&lt;Model!$B$15,Model!$B$22,0))/(1-Model!$B$9)/(1+Model!$B$18)^114))</f>
        <v/>
      </c>
      <c r="DY6" s="7">
        <f>IF(A6="","",IF((A6+115)&gt;Model!$B$4,0,MAX(0,Model!$B$6-IF((A6+115)&gt;=Model!$B$11,Model!$B$20,0)-IF(115&lt;Model!$B$15,Model!$B$22,0))/(1-Model!$B$9)/(1+Model!$B$18)^115))</f>
        <v/>
      </c>
      <c r="DZ6" s="7">
        <f>IF(A6="","",IF((A6+116)&gt;Model!$B$4,0,MAX(0,Model!$B$6-IF((A6+116)&gt;=Model!$B$11,Model!$B$20,0)-IF(116&lt;Model!$B$15,Model!$B$22,0))/(1-Model!$B$9)/(1+Model!$B$18)^116))</f>
        <v/>
      </c>
      <c r="EA6" s="7">
        <f>IF(A6="","",IF((A6+117)&gt;Model!$B$4,0,MAX(0,Model!$B$6-IF((A6+117)&gt;=Model!$B$11,Model!$B$20,0)-IF(117&lt;Model!$B$15,Model!$B$22,0))/(1-Model!$B$9)/(1+Model!$B$18)^117))</f>
        <v/>
      </c>
      <c r="EB6" s="7">
        <f>IF(A6="","",IF((A6+118)&gt;Model!$B$4,0,MAX(0,Model!$B$6-IF((A6+118)&gt;=Model!$B$11,Model!$B$20,0)-IF(118&lt;Model!$B$15,Model!$B$22,0))/(1-Model!$B$9)/(1+Model!$B$18)^118))</f>
        <v/>
      </c>
      <c r="EC6" s="7">
        <f>IF(A6="","",IF((A6+119)&gt;Model!$B$4,0,MAX(0,Model!$B$6-IF((A6+119)&gt;=Model!$B$11,Model!$B$20,0)-IF(119&lt;Model!$B$15,Model!$B$22,0))/(1-Model!$B$9)/(1+Model!$B$18)^119))</f>
        <v/>
      </c>
      <c r="ED6" s="7">
        <f>IF(A6="","",IF((A6+120)&gt;Model!$B$4,0,MAX(0,Model!$B$6-IF((A6+120)&gt;=Model!$B$11,Model!$B$20,0)-IF(120&lt;Model!$B$15,Model!$B$22,0))/(1-Model!$B$9)/(1+Model!$B$18)^120))</f>
        <v/>
      </c>
    </row>
    <row r="7">
      <c r="A7">
        <f>IF(Model!$B$10+ROW()-2&lt;=Model!$B$4,Model!$B$10+ROW()-2,"")</f>
        <v/>
      </c>
      <c r="B7">
        <f>IF(A7="","",A7-Model!$B$10)</f>
        <v/>
      </c>
      <c r="C7" s="7">
        <f>IF(A7="","",Model!$B$5*(1+Model!$B$18)^B7)</f>
        <v/>
      </c>
      <c r="D7" s="7">
        <f>IF(A7="","",SUM(N7:ED7))</f>
        <v/>
      </c>
      <c r="E7" s="7">
        <f>IF(A7="","",IF(A7&gt;=Model!$B$11,Model!$B$20,0))</f>
        <v/>
      </c>
      <c r="F7" s="7">
        <f>IF(A7="","",IF(Model!$B$15&gt;0,Model!$B$22,0))</f>
        <v/>
      </c>
      <c r="G7" s="7">
        <f>IF(A7="","",E7+F7)</f>
        <v/>
      </c>
      <c r="H7" s="7">
        <f>IF(A7="","",MAX(0,Model!$B$6-G7))</f>
        <v/>
      </c>
      <c r="I7" s="7">
        <f>IF(A7="","",H7/(1-Model!$B$9))</f>
        <v/>
      </c>
      <c r="J7" s="7">
        <f>IF(A7="","",C7-D7)</f>
        <v/>
      </c>
      <c r="K7">
        <f>IF(A7="","",C7&gt;=D7)</f>
        <v/>
      </c>
      <c r="L7" s="7">
        <f>IF(A7="","",IF(A7&gt;=Model!$B$11,Model!$B$19*(1+Model!$B$13)^B7,0))</f>
        <v/>
      </c>
      <c r="M7" s="7">
        <f>IF(A7="","",IF(Model!$B$15&gt;0,Model!$B$21*(1+Model!$B$13)^B7,0))</f>
        <v/>
      </c>
      <c r="N7" s="7">
        <f>IF(A7="","",IF((A7+0)&gt;Model!$B$4,0,MAX(0,Model!$B$6-IF((A7+0)&gt;=Model!$B$11,Model!$B$20,0)-IF(0&lt;Model!$B$15,Model!$B$22,0))/(1-Model!$B$9)/(1+Model!$B$18)^0))</f>
        <v/>
      </c>
      <c r="O7" s="7">
        <f>IF(A7="","",IF((A7+1)&gt;Model!$B$4,0,MAX(0,Model!$B$6-IF((A7+1)&gt;=Model!$B$11,Model!$B$20,0)-IF(1&lt;Model!$B$15,Model!$B$22,0))/(1-Model!$B$9)/(1+Model!$B$18)^1))</f>
        <v/>
      </c>
      <c r="P7" s="7">
        <f>IF(A7="","",IF((A7+2)&gt;Model!$B$4,0,MAX(0,Model!$B$6-IF((A7+2)&gt;=Model!$B$11,Model!$B$20,0)-IF(2&lt;Model!$B$15,Model!$B$22,0))/(1-Model!$B$9)/(1+Model!$B$18)^2))</f>
        <v/>
      </c>
      <c r="Q7" s="7">
        <f>IF(A7="","",IF((A7+3)&gt;Model!$B$4,0,MAX(0,Model!$B$6-IF((A7+3)&gt;=Model!$B$11,Model!$B$20,0)-IF(3&lt;Model!$B$15,Model!$B$22,0))/(1-Model!$B$9)/(1+Model!$B$18)^3))</f>
        <v/>
      </c>
      <c r="R7" s="7">
        <f>IF(A7="","",IF((A7+4)&gt;Model!$B$4,0,MAX(0,Model!$B$6-IF((A7+4)&gt;=Model!$B$11,Model!$B$20,0)-IF(4&lt;Model!$B$15,Model!$B$22,0))/(1-Model!$B$9)/(1+Model!$B$18)^4))</f>
        <v/>
      </c>
      <c r="S7" s="7">
        <f>IF(A7="","",IF((A7+5)&gt;Model!$B$4,0,MAX(0,Model!$B$6-IF((A7+5)&gt;=Model!$B$11,Model!$B$20,0)-IF(5&lt;Model!$B$15,Model!$B$22,0))/(1-Model!$B$9)/(1+Model!$B$18)^5))</f>
        <v/>
      </c>
      <c r="T7" s="7">
        <f>IF(A7="","",IF((A7+6)&gt;Model!$B$4,0,MAX(0,Model!$B$6-IF((A7+6)&gt;=Model!$B$11,Model!$B$20,0)-IF(6&lt;Model!$B$15,Model!$B$22,0))/(1-Model!$B$9)/(1+Model!$B$18)^6))</f>
        <v/>
      </c>
      <c r="U7" s="7">
        <f>IF(A7="","",IF((A7+7)&gt;Model!$B$4,0,MAX(0,Model!$B$6-IF((A7+7)&gt;=Model!$B$11,Model!$B$20,0)-IF(7&lt;Model!$B$15,Model!$B$22,0))/(1-Model!$B$9)/(1+Model!$B$18)^7))</f>
        <v/>
      </c>
      <c r="V7" s="7">
        <f>IF(A7="","",IF((A7+8)&gt;Model!$B$4,0,MAX(0,Model!$B$6-IF((A7+8)&gt;=Model!$B$11,Model!$B$20,0)-IF(8&lt;Model!$B$15,Model!$B$22,0))/(1-Model!$B$9)/(1+Model!$B$18)^8))</f>
        <v/>
      </c>
      <c r="W7" s="7">
        <f>IF(A7="","",IF((A7+9)&gt;Model!$B$4,0,MAX(0,Model!$B$6-IF((A7+9)&gt;=Model!$B$11,Model!$B$20,0)-IF(9&lt;Model!$B$15,Model!$B$22,0))/(1-Model!$B$9)/(1+Model!$B$18)^9))</f>
        <v/>
      </c>
      <c r="X7" s="7">
        <f>IF(A7="","",IF((A7+10)&gt;Model!$B$4,0,MAX(0,Model!$B$6-IF((A7+10)&gt;=Model!$B$11,Model!$B$20,0)-IF(10&lt;Model!$B$15,Model!$B$22,0))/(1-Model!$B$9)/(1+Model!$B$18)^10))</f>
        <v/>
      </c>
      <c r="Y7" s="7">
        <f>IF(A7="","",IF((A7+11)&gt;Model!$B$4,0,MAX(0,Model!$B$6-IF((A7+11)&gt;=Model!$B$11,Model!$B$20,0)-IF(11&lt;Model!$B$15,Model!$B$22,0))/(1-Model!$B$9)/(1+Model!$B$18)^11))</f>
        <v/>
      </c>
      <c r="Z7" s="7">
        <f>IF(A7="","",IF((A7+12)&gt;Model!$B$4,0,MAX(0,Model!$B$6-IF((A7+12)&gt;=Model!$B$11,Model!$B$20,0)-IF(12&lt;Model!$B$15,Model!$B$22,0))/(1-Model!$B$9)/(1+Model!$B$18)^12))</f>
        <v/>
      </c>
      <c r="AA7" s="7">
        <f>IF(A7="","",IF((A7+13)&gt;Model!$B$4,0,MAX(0,Model!$B$6-IF((A7+13)&gt;=Model!$B$11,Model!$B$20,0)-IF(13&lt;Model!$B$15,Model!$B$22,0))/(1-Model!$B$9)/(1+Model!$B$18)^13))</f>
        <v/>
      </c>
      <c r="AB7" s="7">
        <f>IF(A7="","",IF((A7+14)&gt;Model!$B$4,0,MAX(0,Model!$B$6-IF((A7+14)&gt;=Model!$B$11,Model!$B$20,0)-IF(14&lt;Model!$B$15,Model!$B$22,0))/(1-Model!$B$9)/(1+Model!$B$18)^14))</f>
        <v/>
      </c>
      <c r="AC7" s="7">
        <f>IF(A7="","",IF((A7+15)&gt;Model!$B$4,0,MAX(0,Model!$B$6-IF((A7+15)&gt;=Model!$B$11,Model!$B$20,0)-IF(15&lt;Model!$B$15,Model!$B$22,0))/(1-Model!$B$9)/(1+Model!$B$18)^15))</f>
        <v/>
      </c>
      <c r="AD7" s="7">
        <f>IF(A7="","",IF((A7+16)&gt;Model!$B$4,0,MAX(0,Model!$B$6-IF((A7+16)&gt;=Model!$B$11,Model!$B$20,0)-IF(16&lt;Model!$B$15,Model!$B$22,0))/(1-Model!$B$9)/(1+Model!$B$18)^16))</f>
        <v/>
      </c>
      <c r="AE7" s="7">
        <f>IF(A7="","",IF((A7+17)&gt;Model!$B$4,0,MAX(0,Model!$B$6-IF((A7+17)&gt;=Model!$B$11,Model!$B$20,0)-IF(17&lt;Model!$B$15,Model!$B$22,0))/(1-Model!$B$9)/(1+Model!$B$18)^17))</f>
        <v/>
      </c>
      <c r="AF7" s="7">
        <f>IF(A7="","",IF((A7+18)&gt;Model!$B$4,0,MAX(0,Model!$B$6-IF((A7+18)&gt;=Model!$B$11,Model!$B$20,0)-IF(18&lt;Model!$B$15,Model!$B$22,0))/(1-Model!$B$9)/(1+Model!$B$18)^18))</f>
        <v/>
      </c>
      <c r="AG7" s="7">
        <f>IF(A7="","",IF((A7+19)&gt;Model!$B$4,0,MAX(0,Model!$B$6-IF((A7+19)&gt;=Model!$B$11,Model!$B$20,0)-IF(19&lt;Model!$B$15,Model!$B$22,0))/(1-Model!$B$9)/(1+Model!$B$18)^19))</f>
        <v/>
      </c>
      <c r="AH7" s="7">
        <f>IF(A7="","",IF((A7+20)&gt;Model!$B$4,0,MAX(0,Model!$B$6-IF((A7+20)&gt;=Model!$B$11,Model!$B$20,0)-IF(20&lt;Model!$B$15,Model!$B$22,0))/(1-Model!$B$9)/(1+Model!$B$18)^20))</f>
        <v/>
      </c>
      <c r="AI7" s="7">
        <f>IF(A7="","",IF((A7+21)&gt;Model!$B$4,0,MAX(0,Model!$B$6-IF((A7+21)&gt;=Model!$B$11,Model!$B$20,0)-IF(21&lt;Model!$B$15,Model!$B$22,0))/(1-Model!$B$9)/(1+Model!$B$18)^21))</f>
        <v/>
      </c>
      <c r="AJ7" s="7">
        <f>IF(A7="","",IF((A7+22)&gt;Model!$B$4,0,MAX(0,Model!$B$6-IF((A7+22)&gt;=Model!$B$11,Model!$B$20,0)-IF(22&lt;Model!$B$15,Model!$B$22,0))/(1-Model!$B$9)/(1+Model!$B$18)^22))</f>
        <v/>
      </c>
      <c r="AK7" s="7">
        <f>IF(A7="","",IF((A7+23)&gt;Model!$B$4,0,MAX(0,Model!$B$6-IF((A7+23)&gt;=Model!$B$11,Model!$B$20,0)-IF(23&lt;Model!$B$15,Model!$B$22,0))/(1-Model!$B$9)/(1+Model!$B$18)^23))</f>
        <v/>
      </c>
      <c r="AL7" s="7">
        <f>IF(A7="","",IF((A7+24)&gt;Model!$B$4,0,MAX(0,Model!$B$6-IF((A7+24)&gt;=Model!$B$11,Model!$B$20,0)-IF(24&lt;Model!$B$15,Model!$B$22,0))/(1-Model!$B$9)/(1+Model!$B$18)^24))</f>
        <v/>
      </c>
      <c r="AM7" s="7">
        <f>IF(A7="","",IF((A7+25)&gt;Model!$B$4,0,MAX(0,Model!$B$6-IF((A7+25)&gt;=Model!$B$11,Model!$B$20,0)-IF(25&lt;Model!$B$15,Model!$B$22,0))/(1-Model!$B$9)/(1+Model!$B$18)^25))</f>
        <v/>
      </c>
      <c r="AN7" s="7">
        <f>IF(A7="","",IF((A7+26)&gt;Model!$B$4,0,MAX(0,Model!$B$6-IF((A7+26)&gt;=Model!$B$11,Model!$B$20,0)-IF(26&lt;Model!$B$15,Model!$B$22,0))/(1-Model!$B$9)/(1+Model!$B$18)^26))</f>
        <v/>
      </c>
      <c r="AO7" s="7">
        <f>IF(A7="","",IF((A7+27)&gt;Model!$B$4,0,MAX(0,Model!$B$6-IF((A7+27)&gt;=Model!$B$11,Model!$B$20,0)-IF(27&lt;Model!$B$15,Model!$B$22,0))/(1-Model!$B$9)/(1+Model!$B$18)^27))</f>
        <v/>
      </c>
      <c r="AP7" s="7">
        <f>IF(A7="","",IF((A7+28)&gt;Model!$B$4,0,MAX(0,Model!$B$6-IF((A7+28)&gt;=Model!$B$11,Model!$B$20,0)-IF(28&lt;Model!$B$15,Model!$B$22,0))/(1-Model!$B$9)/(1+Model!$B$18)^28))</f>
        <v/>
      </c>
      <c r="AQ7" s="7">
        <f>IF(A7="","",IF((A7+29)&gt;Model!$B$4,0,MAX(0,Model!$B$6-IF((A7+29)&gt;=Model!$B$11,Model!$B$20,0)-IF(29&lt;Model!$B$15,Model!$B$22,0))/(1-Model!$B$9)/(1+Model!$B$18)^29))</f>
        <v/>
      </c>
      <c r="AR7" s="7">
        <f>IF(A7="","",IF((A7+30)&gt;Model!$B$4,0,MAX(0,Model!$B$6-IF((A7+30)&gt;=Model!$B$11,Model!$B$20,0)-IF(30&lt;Model!$B$15,Model!$B$22,0))/(1-Model!$B$9)/(1+Model!$B$18)^30))</f>
        <v/>
      </c>
      <c r="AS7" s="7">
        <f>IF(A7="","",IF((A7+31)&gt;Model!$B$4,0,MAX(0,Model!$B$6-IF((A7+31)&gt;=Model!$B$11,Model!$B$20,0)-IF(31&lt;Model!$B$15,Model!$B$22,0))/(1-Model!$B$9)/(1+Model!$B$18)^31))</f>
        <v/>
      </c>
      <c r="AT7" s="7">
        <f>IF(A7="","",IF((A7+32)&gt;Model!$B$4,0,MAX(0,Model!$B$6-IF((A7+32)&gt;=Model!$B$11,Model!$B$20,0)-IF(32&lt;Model!$B$15,Model!$B$22,0))/(1-Model!$B$9)/(1+Model!$B$18)^32))</f>
        <v/>
      </c>
      <c r="AU7" s="7">
        <f>IF(A7="","",IF((A7+33)&gt;Model!$B$4,0,MAX(0,Model!$B$6-IF((A7+33)&gt;=Model!$B$11,Model!$B$20,0)-IF(33&lt;Model!$B$15,Model!$B$22,0))/(1-Model!$B$9)/(1+Model!$B$18)^33))</f>
        <v/>
      </c>
      <c r="AV7" s="7">
        <f>IF(A7="","",IF((A7+34)&gt;Model!$B$4,0,MAX(0,Model!$B$6-IF((A7+34)&gt;=Model!$B$11,Model!$B$20,0)-IF(34&lt;Model!$B$15,Model!$B$22,0))/(1-Model!$B$9)/(1+Model!$B$18)^34))</f>
        <v/>
      </c>
      <c r="AW7" s="7">
        <f>IF(A7="","",IF((A7+35)&gt;Model!$B$4,0,MAX(0,Model!$B$6-IF((A7+35)&gt;=Model!$B$11,Model!$B$20,0)-IF(35&lt;Model!$B$15,Model!$B$22,0))/(1-Model!$B$9)/(1+Model!$B$18)^35))</f>
        <v/>
      </c>
      <c r="AX7" s="7">
        <f>IF(A7="","",IF((A7+36)&gt;Model!$B$4,0,MAX(0,Model!$B$6-IF((A7+36)&gt;=Model!$B$11,Model!$B$20,0)-IF(36&lt;Model!$B$15,Model!$B$22,0))/(1-Model!$B$9)/(1+Model!$B$18)^36))</f>
        <v/>
      </c>
      <c r="AY7" s="7">
        <f>IF(A7="","",IF((A7+37)&gt;Model!$B$4,0,MAX(0,Model!$B$6-IF((A7+37)&gt;=Model!$B$11,Model!$B$20,0)-IF(37&lt;Model!$B$15,Model!$B$22,0))/(1-Model!$B$9)/(1+Model!$B$18)^37))</f>
        <v/>
      </c>
      <c r="AZ7" s="7">
        <f>IF(A7="","",IF((A7+38)&gt;Model!$B$4,0,MAX(0,Model!$B$6-IF((A7+38)&gt;=Model!$B$11,Model!$B$20,0)-IF(38&lt;Model!$B$15,Model!$B$22,0))/(1-Model!$B$9)/(1+Model!$B$18)^38))</f>
        <v/>
      </c>
      <c r="BA7" s="7">
        <f>IF(A7="","",IF((A7+39)&gt;Model!$B$4,0,MAX(0,Model!$B$6-IF((A7+39)&gt;=Model!$B$11,Model!$B$20,0)-IF(39&lt;Model!$B$15,Model!$B$22,0))/(1-Model!$B$9)/(1+Model!$B$18)^39))</f>
        <v/>
      </c>
      <c r="BB7" s="7">
        <f>IF(A7="","",IF((A7+40)&gt;Model!$B$4,0,MAX(0,Model!$B$6-IF((A7+40)&gt;=Model!$B$11,Model!$B$20,0)-IF(40&lt;Model!$B$15,Model!$B$22,0))/(1-Model!$B$9)/(1+Model!$B$18)^40))</f>
        <v/>
      </c>
      <c r="BC7" s="7">
        <f>IF(A7="","",IF((A7+41)&gt;Model!$B$4,0,MAX(0,Model!$B$6-IF((A7+41)&gt;=Model!$B$11,Model!$B$20,0)-IF(41&lt;Model!$B$15,Model!$B$22,0))/(1-Model!$B$9)/(1+Model!$B$18)^41))</f>
        <v/>
      </c>
      <c r="BD7" s="7">
        <f>IF(A7="","",IF((A7+42)&gt;Model!$B$4,0,MAX(0,Model!$B$6-IF((A7+42)&gt;=Model!$B$11,Model!$B$20,0)-IF(42&lt;Model!$B$15,Model!$B$22,0))/(1-Model!$B$9)/(1+Model!$B$18)^42))</f>
        <v/>
      </c>
      <c r="BE7" s="7">
        <f>IF(A7="","",IF((A7+43)&gt;Model!$B$4,0,MAX(0,Model!$B$6-IF((A7+43)&gt;=Model!$B$11,Model!$B$20,0)-IF(43&lt;Model!$B$15,Model!$B$22,0))/(1-Model!$B$9)/(1+Model!$B$18)^43))</f>
        <v/>
      </c>
      <c r="BF7" s="7">
        <f>IF(A7="","",IF((A7+44)&gt;Model!$B$4,0,MAX(0,Model!$B$6-IF((A7+44)&gt;=Model!$B$11,Model!$B$20,0)-IF(44&lt;Model!$B$15,Model!$B$22,0))/(1-Model!$B$9)/(1+Model!$B$18)^44))</f>
        <v/>
      </c>
      <c r="BG7" s="7">
        <f>IF(A7="","",IF((A7+45)&gt;Model!$B$4,0,MAX(0,Model!$B$6-IF((A7+45)&gt;=Model!$B$11,Model!$B$20,0)-IF(45&lt;Model!$B$15,Model!$B$22,0))/(1-Model!$B$9)/(1+Model!$B$18)^45))</f>
        <v/>
      </c>
      <c r="BH7" s="7">
        <f>IF(A7="","",IF((A7+46)&gt;Model!$B$4,0,MAX(0,Model!$B$6-IF((A7+46)&gt;=Model!$B$11,Model!$B$20,0)-IF(46&lt;Model!$B$15,Model!$B$22,0))/(1-Model!$B$9)/(1+Model!$B$18)^46))</f>
        <v/>
      </c>
      <c r="BI7" s="7">
        <f>IF(A7="","",IF((A7+47)&gt;Model!$B$4,0,MAX(0,Model!$B$6-IF((A7+47)&gt;=Model!$B$11,Model!$B$20,0)-IF(47&lt;Model!$B$15,Model!$B$22,0))/(1-Model!$B$9)/(1+Model!$B$18)^47))</f>
        <v/>
      </c>
      <c r="BJ7" s="7">
        <f>IF(A7="","",IF((A7+48)&gt;Model!$B$4,0,MAX(0,Model!$B$6-IF((A7+48)&gt;=Model!$B$11,Model!$B$20,0)-IF(48&lt;Model!$B$15,Model!$B$22,0))/(1-Model!$B$9)/(1+Model!$B$18)^48))</f>
        <v/>
      </c>
      <c r="BK7" s="7">
        <f>IF(A7="","",IF((A7+49)&gt;Model!$B$4,0,MAX(0,Model!$B$6-IF((A7+49)&gt;=Model!$B$11,Model!$B$20,0)-IF(49&lt;Model!$B$15,Model!$B$22,0))/(1-Model!$B$9)/(1+Model!$B$18)^49))</f>
        <v/>
      </c>
      <c r="BL7" s="7">
        <f>IF(A7="","",IF((A7+50)&gt;Model!$B$4,0,MAX(0,Model!$B$6-IF((A7+50)&gt;=Model!$B$11,Model!$B$20,0)-IF(50&lt;Model!$B$15,Model!$B$22,0))/(1-Model!$B$9)/(1+Model!$B$18)^50))</f>
        <v/>
      </c>
      <c r="BM7" s="7">
        <f>IF(A7="","",IF((A7+51)&gt;Model!$B$4,0,MAX(0,Model!$B$6-IF((A7+51)&gt;=Model!$B$11,Model!$B$20,0)-IF(51&lt;Model!$B$15,Model!$B$22,0))/(1-Model!$B$9)/(1+Model!$B$18)^51))</f>
        <v/>
      </c>
      <c r="BN7" s="7">
        <f>IF(A7="","",IF((A7+52)&gt;Model!$B$4,0,MAX(0,Model!$B$6-IF((A7+52)&gt;=Model!$B$11,Model!$B$20,0)-IF(52&lt;Model!$B$15,Model!$B$22,0))/(1-Model!$B$9)/(1+Model!$B$18)^52))</f>
        <v/>
      </c>
      <c r="BO7" s="7">
        <f>IF(A7="","",IF((A7+53)&gt;Model!$B$4,0,MAX(0,Model!$B$6-IF((A7+53)&gt;=Model!$B$11,Model!$B$20,0)-IF(53&lt;Model!$B$15,Model!$B$22,0))/(1-Model!$B$9)/(1+Model!$B$18)^53))</f>
        <v/>
      </c>
      <c r="BP7" s="7">
        <f>IF(A7="","",IF((A7+54)&gt;Model!$B$4,0,MAX(0,Model!$B$6-IF((A7+54)&gt;=Model!$B$11,Model!$B$20,0)-IF(54&lt;Model!$B$15,Model!$B$22,0))/(1-Model!$B$9)/(1+Model!$B$18)^54))</f>
        <v/>
      </c>
      <c r="BQ7" s="7">
        <f>IF(A7="","",IF((A7+55)&gt;Model!$B$4,0,MAX(0,Model!$B$6-IF((A7+55)&gt;=Model!$B$11,Model!$B$20,0)-IF(55&lt;Model!$B$15,Model!$B$22,0))/(1-Model!$B$9)/(1+Model!$B$18)^55))</f>
        <v/>
      </c>
      <c r="BR7" s="7">
        <f>IF(A7="","",IF((A7+56)&gt;Model!$B$4,0,MAX(0,Model!$B$6-IF((A7+56)&gt;=Model!$B$11,Model!$B$20,0)-IF(56&lt;Model!$B$15,Model!$B$22,0))/(1-Model!$B$9)/(1+Model!$B$18)^56))</f>
        <v/>
      </c>
      <c r="BS7" s="7">
        <f>IF(A7="","",IF((A7+57)&gt;Model!$B$4,0,MAX(0,Model!$B$6-IF((A7+57)&gt;=Model!$B$11,Model!$B$20,0)-IF(57&lt;Model!$B$15,Model!$B$22,0))/(1-Model!$B$9)/(1+Model!$B$18)^57))</f>
        <v/>
      </c>
      <c r="BT7" s="7">
        <f>IF(A7="","",IF((A7+58)&gt;Model!$B$4,0,MAX(0,Model!$B$6-IF((A7+58)&gt;=Model!$B$11,Model!$B$20,0)-IF(58&lt;Model!$B$15,Model!$B$22,0))/(1-Model!$B$9)/(1+Model!$B$18)^58))</f>
        <v/>
      </c>
      <c r="BU7" s="7">
        <f>IF(A7="","",IF((A7+59)&gt;Model!$B$4,0,MAX(0,Model!$B$6-IF((A7+59)&gt;=Model!$B$11,Model!$B$20,0)-IF(59&lt;Model!$B$15,Model!$B$22,0))/(1-Model!$B$9)/(1+Model!$B$18)^59))</f>
        <v/>
      </c>
      <c r="BV7" s="7">
        <f>IF(A7="","",IF((A7+60)&gt;Model!$B$4,0,MAX(0,Model!$B$6-IF((A7+60)&gt;=Model!$B$11,Model!$B$20,0)-IF(60&lt;Model!$B$15,Model!$B$22,0))/(1-Model!$B$9)/(1+Model!$B$18)^60))</f>
        <v/>
      </c>
      <c r="BW7" s="7">
        <f>IF(A7="","",IF((A7+61)&gt;Model!$B$4,0,MAX(0,Model!$B$6-IF((A7+61)&gt;=Model!$B$11,Model!$B$20,0)-IF(61&lt;Model!$B$15,Model!$B$22,0))/(1-Model!$B$9)/(1+Model!$B$18)^61))</f>
        <v/>
      </c>
      <c r="BX7" s="7">
        <f>IF(A7="","",IF((A7+62)&gt;Model!$B$4,0,MAX(0,Model!$B$6-IF((A7+62)&gt;=Model!$B$11,Model!$B$20,0)-IF(62&lt;Model!$B$15,Model!$B$22,0))/(1-Model!$B$9)/(1+Model!$B$18)^62))</f>
        <v/>
      </c>
      <c r="BY7" s="7">
        <f>IF(A7="","",IF((A7+63)&gt;Model!$B$4,0,MAX(0,Model!$B$6-IF((A7+63)&gt;=Model!$B$11,Model!$B$20,0)-IF(63&lt;Model!$B$15,Model!$B$22,0))/(1-Model!$B$9)/(1+Model!$B$18)^63))</f>
        <v/>
      </c>
      <c r="BZ7" s="7">
        <f>IF(A7="","",IF((A7+64)&gt;Model!$B$4,0,MAX(0,Model!$B$6-IF((A7+64)&gt;=Model!$B$11,Model!$B$20,0)-IF(64&lt;Model!$B$15,Model!$B$22,0))/(1-Model!$B$9)/(1+Model!$B$18)^64))</f>
        <v/>
      </c>
      <c r="CA7" s="7">
        <f>IF(A7="","",IF((A7+65)&gt;Model!$B$4,0,MAX(0,Model!$B$6-IF((A7+65)&gt;=Model!$B$11,Model!$B$20,0)-IF(65&lt;Model!$B$15,Model!$B$22,0))/(1-Model!$B$9)/(1+Model!$B$18)^65))</f>
        <v/>
      </c>
      <c r="CB7" s="7">
        <f>IF(A7="","",IF((A7+66)&gt;Model!$B$4,0,MAX(0,Model!$B$6-IF((A7+66)&gt;=Model!$B$11,Model!$B$20,0)-IF(66&lt;Model!$B$15,Model!$B$22,0))/(1-Model!$B$9)/(1+Model!$B$18)^66))</f>
        <v/>
      </c>
      <c r="CC7" s="7">
        <f>IF(A7="","",IF((A7+67)&gt;Model!$B$4,0,MAX(0,Model!$B$6-IF((A7+67)&gt;=Model!$B$11,Model!$B$20,0)-IF(67&lt;Model!$B$15,Model!$B$22,0))/(1-Model!$B$9)/(1+Model!$B$18)^67))</f>
        <v/>
      </c>
      <c r="CD7" s="7">
        <f>IF(A7="","",IF((A7+68)&gt;Model!$B$4,0,MAX(0,Model!$B$6-IF((A7+68)&gt;=Model!$B$11,Model!$B$20,0)-IF(68&lt;Model!$B$15,Model!$B$22,0))/(1-Model!$B$9)/(1+Model!$B$18)^68))</f>
        <v/>
      </c>
      <c r="CE7" s="7">
        <f>IF(A7="","",IF((A7+69)&gt;Model!$B$4,0,MAX(0,Model!$B$6-IF((A7+69)&gt;=Model!$B$11,Model!$B$20,0)-IF(69&lt;Model!$B$15,Model!$B$22,0))/(1-Model!$B$9)/(1+Model!$B$18)^69))</f>
        <v/>
      </c>
      <c r="CF7" s="7">
        <f>IF(A7="","",IF((A7+70)&gt;Model!$B$4,0,MAX(0,Model!$B$6-IF((A7+70)&gt;=Model!$B$11,Model!$B$20,0)-IF(70&lt;Model!$B$15,Model!$B$22,0))/(1-Model!$B$9)/(1+Model!$B$18)^70))</f>
        <v/>
      </c>
      <c r="CG7" s="7">
        <f>IF(A7="","",IF((A7+71)&gt;Model!$B$4,0,MAX(0,Model!$B$6-IF((A7+71)&gt;=Model!$B$11,Model!$B$20,0)-IF(71&lt;Model!$B$15,Model!$B$22,0))/(1-Model!$B$9)/(1+Model!$B$18)^71))</f>
        <v/>
      </c>
      <c r="CH7" s="7">
        <f>IF(A7="","",IF((A7+72)&gt;Model!$B$4,0,MAX(0,Model!$B$6-IF((A7+72)&gt;=Model!$B$11,Model!$B$20,0)-IF(72&lt;Model!$B$15,Model!$B$22,0))/(1-Model!$B$9)/(1+Model!$B$18)^72))</f>
        <v/>
      </c>
      <c r="CI7" s="7">
        <f>IF(A7="","",IF((A7+73)&gt;Model!$B$4,0,MAX(0,Model!$B$6-IF((A7+73)&gt;=Model!$B$11,Model!$B$20,0)-IF(73&lt;Model!$B$15,Model!$B$22,0))/(1-Model!$B$9)/(1+Model!$B$18)^73))</f>
        <v/>
      </c>
      <c r="CJ7" s="7">
        <f>IF(A7="","",IF((A7+74)&gt;Model!$B$4,0,MAX(0,Model!$B$6-IF((A7+74)&gt;=Model!$B$11,Model!$B$20,0)-IF(74&lt;Model!$B$15,Model!$B$22,0))/(1-Model!$B$9)/(1+Model!$B$18)^74))</f>
        <v/>
      </c>
      <c r="CK7" s="7">
        <f>IF(A7="","",IF((A7+75)&gt;Model!$B$4,0,MAX(0,Model!$B$6-IF((A7+75)&gt;=Model!$B$11,Model!$B$20,0)-IF(75&lt;Model!$B$15,Model!$B$22,0))/(1-Model!$B$9)/(1+Model!$B$18)^75))</f>
        <v/>
      </c>
      <c r="CL7" s="7">
        <f>IF(A7="","",IF((A7+76)&gt;Model!$B$4,0,MAX(0,Model!$B$6-IF((A7+76)&gt;=Model!$B$11,Model!$B$20,0)-IF(76&lt;Model!$B$15,Model!$B$22,0))/(1-Model!$B$9)/(1+Model!$B$18)^76))</f>
        <v/>
      </c>
      <c r="CM7" s="7">
        <f>IF(A7="","",IF((A7+77)&gt;Model!$B$4,0,MAX(0,Model!$B$6-IF((A7+77)&gt;=Model!$B$11,Model!$B$20,0)-IF(77&lt;Model!$B$15,Model!$B$22,0))/(1-Model!$B$9)/(1+Model!$B$18)^77))</f>
        <v/>
      </c>
      <c r="CN7" s="7">
        <f>IF(A7="","",IF((A7+78)&gt;Model!$B$4,0,MAX(0,Model!$B$6-IF((A7+78)&gt;=Model!$B$11,Model!$B$20,0)-IF(78&lt;Model!$B$15,Model!$B$22,0))/(1-Model!$B$9)/(1+Model!$B$18)^78))</f>
        <v/>
      </c>
      <c r="CO7" s="7">
        <f>IF(A7="","",IF((A7+79)&gt;Model!$B$4,0,MAX(0,Model!$B$6-IF((A7+79)&gt;=Model!$B$11,Model!$B$20,0)-IF(79&lt;Model!$B$15,Model!$B$22,0))/(1-Model!$B$9)/(1+Model!$B$18)^79))</f>
        <v/>
      </c>
      <c r="CP7" s="7">
        <f>IF(A7="","",IF((A7+80)&gt;Model!$B$4,0,MAX(0,Model!$B$6-IF((A7+80)&gt;=Model!$B$11,Model!$B$20,0)-IF(80&lt;Model!$B$15,Model!$B$22,0))/(1-Model!$B$9)/(1+Model!$B$18)^80))</f>
        <v/>
      </c>
      <c r="CQ7" s="7">
        <f>IF(A7="","",IF((A7+81)&gt;Model!$B$4,0,MAX(0,Model!$B$6-IF((A7+81)&gt;=Model!$B$11,Model!$B$20,0)-IF(81&lt;Model!$B$15,Model!$B$22,0))/(1-Model!$B$9)/(1+Model!$B$18)^81))</f>
        <v/>
      </c>
      <c r="CR7" s="7">
        <f>IF(A7="","",IF((A7+82)&gt;Model!$B$4,0,MAX(0,Model!$B$6-IF((A7+82)&gt;=Model!$B$11,Model!$B$20,0)-IF(82&lt;Model!$B$15,Model!$B$22,0))/(1-Model!$B$9)/(1+Model!$B$18)^82))</f>
        <v/>
      </c>
      <c r="CS7" s="7">
        <f>IF(A7="","",IF((A7+83)&gt;Model!$B$4,0,MAX(0,Model!$B$6-IF((A7+83)&gt;=Model!$B$11,Model!$B$20,0)-IF(83&lt;Model!$B$15,Model!$B$22,0))/(1-Model!$B$9)/(1+Model!$B$18)^83))</f>
        <v/>
      </c>
      <c r="CT7" s="7">
        <f>IF(A7="","",IF((A7+84)&gt;Model!$B$4,0,MAX(0,Model!$B$6-IF((A7+84)&gt;=Model!$B$11,Model!$B$20,0)-IF(84&lt;Model!$B$15,Model!$B$22,0))/(1-Model!$B$9)/(1+Model!$B$18)^84))</f>
        <v/>
      </c>
      <c r="CU7" s="7">
        <f>IF(A7="","",IF((A7+85)&gt;Model!$B$4,0,MAX(0,Model!$B$6-IF((A7+85)&gt;=Model!$B$11,Model!$B$20,0)-IF(85&lt;Model!$B$15,Model!$B$22,0))/(1-Model!$B$9)/(1+Model!$B$18)^85))</f>
        <v/>
      </c>
      <c r="CV7" s="7">
        <f>IF(A7="","",IF((A7+86)&gt;Model!$B$4,0,MAX(0,Model!$B$6-IF((A7+86)&gt;=Model!$B$11,Model!$B$20,0)-IF(86&lt;Model!$B$15,Model!$B$22,0))/(1-Model!$B$9)/(1+Model!$B$18)^86))</f>
        <v/>
      </c>
      <c r="CW7" s="7">
        <f>IF(A7="","",IF((A7+87)&gt;Model!$B$4,0,MAX(0,Model!$B$6-IF((A7+87)&gt;=Model!$B$11,Model!$B$20,0)-IF(87&lt;Model!$B$15,Model!$B$22,0))/(1-Model!$B$9)/(1+Model!$B$18)^87))</f>
        <v/>
      </c>
      <c r="CX7" s="7">
        <f>IF(A7="","",IF((A7+88)&gt;Model!$B$4,0,MAX(0,Model!$B$6-IF((A7+88)&gt;=Model!$B$11,Model!$B$20,0)-IF(88&lt;Model!$B$15,Model!$B$22,0))/(1-Model!$B$9)/(1+Model!$B$18)^88))</f>
        <v/>
      </c>
      <c r="CY7" s="7">
        <f>IF(A7="","",IF((A7+89)&gt;Model!$B$4,0,MAX(0,Model!$B$6-IF((A7+89)&gt;=Model!$B$11,Model!$B$20,0)-IF(89&lt;Model!$B$15,Model!$B$22,0))/(1-Model!$B$9)/(1+Model!$B$18)^89))</f>
        <v/>
      </c>
      <c r="CZ7" s="7">
        <f>IF(A7="","",IF((A7+90)&gt;Model!$B$4,0,MAX(0,Model!$B$6-IF((A7+90)&gt;=Model!$B$11,Model!$B$20,0)-IF(90&lt;Model!$B$15,Model!$B$22,0))/(1-Model!$B$9)/(1+Model!$B$18)^90))</f>
        <v/>
      </c>
      <c r="DA7" s="7">
        <f>IF(A7="","",IF((A7+91)&gt;Model!$B$4,0,MAX(0,Model!$B$6-IF((A7+91)&gt;=Model!$B$11,Model!$B$20,0)-IF(91&lt;Model!$B$15,Model!$B$22,0))/(1-Model!$B$9)/(1+Model!$B$18)^91))</f>
        <v/>
      </c>
      <c r="DB7" s="7">
        <f>IF(A7="","",IF((A7+92)&gt;Model!$B$4,0,MAX(0,Model!$B$6-IF((A7+92)&gt;=Model!$B$11,Model!$B$20,0)-IF(92&lt;Model!$B$15,Model!$B$22,0))/(1-Model!$B$9)/(1+Model!$B$18)^92))</f>
        <v/>
      </c>
      <c r="DC7" s="7">
        <f>IF(A7="","",IF((A7+93)&gt;Model!$B$4,0,MAX(0,Model!$B$6-IF((A7+93)&gt;=Model!$B$11,Model!$B$20,0)-IF(93&lt;Model!$B$15,Model!$B$22,0))/(1-Model!$B$9)/(1+Model!$B$18)^93))</f>
        <v/>
      </c>
      <c r="DD7" s="7">
        <f>IF(A7="","",IF((A7+94)&gt;Model!$B$4,0,MAX(0,Model!$B$6-IF((A7+94)&gt;=Model!$B$11,Model!$B$20,0)-IF(94&lt;Model!$B$15,Model!$B$22,0))/(1-Model!$B$9)/(1+Model!$B$18)^94))</f>
        <v/>
      </c>
      <c r="DE7" s="7">
        <f>IF(A7="","",IF((A7+95)&gt;Model!$B$4,0,MAX(0,Model!$B$6-IF((A7+95)&gt;=Model!$B$11,Model!$B$20,0)-IF(95&lt;Model!$B$15,Model!$B$22,0))/(1-Model!$B$9)/(1+Model!$B$18)^95))</f>
        <v/>
      </c>
      <c r="DF7" s="7">
        <f>IF(A7="","",IF((A7+96)&gt;Model!$B$4,0,MAX(0,Model!$B$6-IF((A7+96)&gt;=Model!$B$11,Model!$B$20,0)-IF(96&lt;Model!$B$15,Model!$B$22,0))/(1-Model!$B$9)/(1+Model!$B$18)^96))</f>
        <v/>
      </c>
      <c r="DG7" s="7">
        <f>IF(A7="","",IF((A7+97)&gt;Model!$B$4,0,MAX(0,Model!$B$6-IF((A7+97)&gt;=Model!$B$11,Model!$B$20,0)-IF(97&lt;Model!$B$15,Model!$B$22,0))/(1-Model!$B$9)/(1+Model!$B$18)^97))</f>
        <v/>
      </c>
      <c r="DH7" s="7">
        <f>IF(A7="","",IF((A7+98)&gt;Model!$B$4,0,MAX(0,Model!$B$6-IF((A7+98)&gt;=Model!$B$11,Model!$B$20,0)-IF(98&lt;Model!$B$15,Model!$B$22,0))/(1-Model!$B$9)/(1+Model!$B$18)^98))</f>
        <v/>
      </c>
      <c r="DI7" s="7">
        <f>IF(A7="","",IF((A7+99)&gt;Model!$B$4,0,MAX(0,Model!$B$6-IF((A7+99)&gt;=Model!$B$11,Model!$B$20,0)-IF(99&lt;Model!$B$15,Model!$B$22,0))/(1-Model!$B$9)/(1+Model!$B$18)^99))</f>
        <v/>
      </c>
      <c r="DJ7" s="7">
        <f>IF(A7="","",IF((A7+100)&gt;Model!$B$4,0,MAX(0,Model!$B$6-IF((A7+100)&gt;=Model!$B$11,Model!$B$20,0)-IF(100&lt;Model!$B$15,Model!$B$22,0))/(1-Model!$B$9)/(1+Model!$B$18)^100))</f>
        <v/>
      </c>
      <c r="DK7" s="7">
        <f>IF(A7="","",IF((A7+101)&gt;Model!$B$4,0,MAX(0,Model!$B$6-IF((A7+101)&gt;=Model!$B$11,Model!$B$20,0)-IF(101&lt;Model!$B$15,Model!$B$22,0))/(1-Model!$B$9)/(1+Model!$B$18)^101))</f>
        <v/>
      </c>
      <c r="DL7" s="7">
        <f>IF(A7="","",IF((A7+102)&gt;Model!$B$4,0,MAX(0,Model!$B$6-IF((A7+102)&gt;=Model!$B$11,Model!$B$20,0)-IF(102&lt;Model!$B$15,Model!$B$22,0))/(1-Model!$B$9)/(1+Model!$B$18)^102))</f>
        <v/>
      </c>
      <c r="DM7" s="7">
        <f>IF(A7="","",IF((A7+103)&gt;Model!$B$4,0,MAX(0,Model!$B$6-IF((A7+103)&gt;=Model!$B$11,Model!$B$20,0)-IF(103&lt;Model!$B$15,Model!$B$22,0))/(1-Model!$B$9)/(1+Model!$B$18)^103))</f>
        <v/>
      </c>
      <c r="DN7" s="7">
        <f>IF(A7="","",IF((A7+104)&gt;Model!$B$4,0,MAX(0,Model!$B$6-IF((A7+104)&gt;=Model!$B$11,Model!$B$20,0)-IF(104&lt;Model!$B$15,Model!$B$22,0))/(1-Model!$B$9)/(1+Model!$B$18)^104))</f>
        <v/>
      </c>
      <c r="DO7" s="7">
        <f>IF(A7="","",IF((A7+105)&gt;Model!$B$4,0,MAX(0,Model!$B$6-IF((A7+105)&gt;=Model!$B$11,Model!$B$20,0)-IF(105&lt;Model!$B$15,Model!$B$22,0))/(1-Model!$B$9)/(1+Model!$B$18)^105))</f>
        <v/>
      </c>
      <c r="DP7" s="7">
        <f>IF(A7="","",IF((A7+106)&gt;Model!$B$4,0,MAX(0,Model!$B$6-IF((A7+106)&gt;=Model!$B$11,Model!$B$20,0)-IF(106&lt;Model!$B$15,Model!$B$22,0))/(1-Model!$B$9)/(1+Model!$B$18)^106))</f>
        <v/>
      </c>
      <c r="DQ7" s="7">
        <f>IF(A7="","",IF((A7+107)&gt;Model!$B$4,0,MAX(0,Model!$B$6-IF((A7+107)&gt;=Model!$B$11,Model!$B$20,0)-IF(107&lt;Model!$B$15,Model!$B$22,0))/(1-Model!$B$9)/(1+Model!$B$18)^107))</f>
        <v/>
      </c>
      <c r="DR7" s="7">
        <f>IF(A7="","",IF((A7+108)&gt;Model!$B$4,0,MAX(0,Model!$B$6-IF((A7+108)&gt;=Model!$B$11,Model!$B$20,0)-IF(108&lt;Model!$B$15,Model!$B$22,0))/(1-Model!$B$9)/(1+Model!$B$18)^108))</f>
        <v/>
      </c>
      <c r="DS7" s="7">
        <f>IF(A7="","",IF((A7+109)&gt;Model!$B$4,0,MAX(0,Model!$B$6-IF((A7+109)&gt;=Model!$B$11,Model!$B$20,0)-IF(109&lt;Model!$B$15,Model!$B$22,0))/(1-Model!$B$9)/(1+Model!$B$18)^109))</f>
        <v/>
      </c>
      <c r="DT7" s="7">
        <f>IF(A7="","",IF((A7+110)&gt;Model!$B$4,0,MAX(0,Model!$B$6-IF((A7+110)&gt;=Model!$B$11,Model!$B$20,0)-IF(110&lt;Model!$B$15,Model!$B$22,0))/(1-Model!$B$9)/(1+Model!$B$18)^110))</f>
        <v/>
      </c>
      <c r="DU7" s="7">
        <f>IF(A7="","",IF((A7+111)&gt;Model!$B$4,0,MAX(0,Model!$B$6-IF((A7+111)&gt;=Model!$B$11,Model!$B$20,0)-IF(111&lt;Model!$B$15,Model!$B$22,0))/(1-Model!$B$9)/(1+Model!$B$18)^111))</f>
        <v/>
      </c>
      <c r="DV7" s="7">
        <f>IF(A7="","",IF((A7+112)&gt;Model!$B$4,0,MAX(0,Model!$B$6-IF((A7+112)&gt;=Model!$B$11,Model!$B$20,0)-IF(112&lt;Model!$B$15,Model!$B$22,0))/(1-Model!$B$9)/(1+Model!$B$18)^112))</f>
        <v/>
      </c>
      <c r="DW7" s="7">
        <f>IF(A7="","",IF((A7+113)&gt;Model!$B$4,0,MAX(0,Model!$B$6-IF((A7+113)&gt;=Model!$B$11,Model!$B$20,0)-IF(113&lt;Model!$B$15,Model!$B$22,0))/(1-Model!$B$9)/(1+Model!$B$18)^113))</f>
        <v/>
      </c>
      <c r="DX7" s="7">
        <f>IF(A7="","",IF((A7+114)&gt;Model!$B$4,0,MAX(0,Model!$B$6-IF((A7+114)&gt;=Model!$B$11,Model!$B$20,0)-IF(114&lt;Model!$B$15,Model!$B$22,0))/(1-Model!$B$9)/(1+Model!$B$18)^114))</f>
        <v/>
      </c>
      <c r="DY7" s="7">
        <f>IF(A7="","",IF((A7+115)&gt;Model!$B$4,0,MAX(0,Model!$B$6-IF((A7+115)&gt;=Model!$B$11,Model!$B$20,0)-IF(115&lt;Model!$B$15,Model!$B$22,0))/(1-Model!$B$9)/(1+Model!$B$18)^115))</f>
        <v/>
      </c>
      <c r="DZ7" s="7">
        <f>IF(A7="","",IF((A7+116)&gt;Model!$B$4,0,MAX(0,Model!$B$6-IF((A7+116)&gt;=Model!$B$11,Model!$B$20,0)-IF(116&lt;Model!$B$15,Model!$B$22,0))/(1-Model!$B$9)/(1+Model!$B$18)^116))</f>
        <v/>
      </c>
      <c r="EA7" s="7">
        <f>IF(A7="","",IF((A7+117)&gt;Model!$B$4,0,MAX(0,Model!$B$6-IF((A7+117)&gt;=Model!$B$11,Model!$B$20,0)-IF(117&lt;Model!$B$15,Model!$B$22,0))/(1-Model!$B$9)/(1+Model!$B$18)^117))</f>
        <v/>
      </c>
      <c r="EB7" s="7">
        <f>IF(A7="","",IF((A7+118)&gt;Model!$B$4,0,MAX(0,Model!$B$6-IF((A7+118)&gt;=Model!$B$11,Model!$B$20,0)-IF(118&lt;Model!$B$15,Model!$B$22,0))/(1-Model!$B$9)/(1+Model!$B$18)^118))</f>
        <v/>
      </c>
      <c r="EC7" s="7">
        <f>IF(A7="","",IF((A7+119)&gt;Model!$B$4,0,MAX(0,Model!$B$6-IF((A7+119)&gt;=Model!$B$11,Model!$B$20,0)-IF(119&lt;Model!$B$15,Model!$B$22,0))/(1-Model!$B$9)/(1+Model!$B$18)^119))</f>
        <v/>
      </c>
      <c r="ED7" s="7">
        <f>IF(A7="","",IF((A7+120)&gt;Model!$B$4,0,MAX(0,Model!$B$6-IF((A7+120)&gt;=Model!$B$11,Model!$B$20,0)-IF(120&lt;Model!$B$15,Model!$B$22,0))/(1-Model!$B$9)/(1+Model!$B$18)^120))</f>
        <v/>
      </c>
    </row>
    <row r="8">
      <c r="A8">
        <f>IF(Model!$B$10+ROW()-2&lt;=Model!$B$4,Model!$B$10+ROW()-2,"")</f>
        <v/>
      </c>
      <c r="B8">
        <f>IF(A8="","",A8-Model!$B$10)</f>
        <v/>
      </c>
      <c r="C8" s="7">
        <f>IF(A8="","",Model!$B$5*(1+Model!$B$18)^B8)</f>
        <v/>
      </c>
      <c r="D8" s="7">
        <f>IF(A8="","",SUM(N8:ED8))</f>
        <v/>
      </c>
      <c r="E8" s="7">
        <f>IF(A8="","",IF(A8&gt;=Model!$B$11,Model!$B$20,0))</f>
        <v/>
      </c>
      <c r="F8" s="7">
        <f>IF(A8="","",IF(Model!$B$15&gt;0,Model!$B$22,0))</f>
        <v/>
      </c>
      <c r="G8" s="7">
        <f>IF(A8="","",E8+F8)</f>
        <v/>
      </c>
      <c r="H8" s="7">
        <f>IF(A8="","",MAX(0,Model!$B$6-G8))</f>
        <v/>
      </c>
      <c r="I8" s="7">
        <f>IF(A8="","",H8/(1-Model!$B$9))</f>
        <v/>
      </c>
      <c r="J8" s="7">
        <f>IF(A8="","",C8-D8)</f>
        <v/>
      </c>
      <c r="K8">
        <f>IF(A8="","",C8&gt;=D8)</f>
        <v/>
      </c>
      <c r="L8" s="7">
        <f>IF(A8="","",IF(A8&gt;=Model!$B$11,Model!$B$19*(1+Model!$B$13)^B8,0))</f>
        <v/>
      </c>
      <c r="M8" s="7">
        <f>IF(A8="","",IF(Model!$B$15&gt;0,Model!$B$21*(1+Model!$B$13)^B8,0))</f>
        <v/>
      </c>
      <c r="N8" s="7">
        <f>IF(A8="","",IF((A8+0)&gt;Model!$B$4,0,MAX(0,Model!$B$6-IF((A8+0)&gt;=Model!$B$11,Model!$B$20,0)-IF(0&lt;Model!$B$15,Model!$B$22,0))/(1-Model!$B$9)/(1+Model!$B$18)^0))</f>
        <v/>
      </c>
      <c r="O8" s="7">
        <f>IF(A8="","",IF((A8+1)&gt;Model!$B$4,0,MAX(0,Model!$B$6-IF((A8+1)&gt;=Model!$B$11,Model!$B$20,0)-IF(1&lt;Model!$B$15,Model!$B$22,0))/(1-Model!$B$9)/(1+Model!$B$18)^1))</f>
        <v/>
      </c>
      <c r="P8" s="7">
        <f>IF(A8="","",IF((A8+2)&gt;Model!$B$4,0,MAX(0,Model!$B$6-IF((A8+2)&gt;=Model!$B$11,Model!$B$20,0)-IF(2&lt;Model!$B$15,Model!$B$22,0))/(1-Model!$B$9)/(1+Model!$B$18)^2))</f>
        <v/>
      </c>
      <c r="Q8" s="7">
        <f>IF(A8="","",IF((A8+3)&gt;Model!$B$4,0,MAX(0,Model!$B$6-IF((A8+3)&gt;=Model!$B$11,Model!$B$20,0)-IF(3&lt;Model!$B$15,Model!$B$22,0))/(1-Model!$B$9)/(1+Model!$B$18)^3))</f>
        <v/>
      </c>
      <c r="R8" s="7">
        <f>IF(A8="","",IF((A8+4)&gt;Model!$B$4,0,MAX(0,Model!$B$6-IF((A8+4)&gt;=Model!$B$11,Model!$B$20,0)-IF(4&lt;Model!$B$15,Model!$B$22,0))/(1-Model!$B$9)/(1+Model!$B$18)^4))</f>
        <v/>
      </c>
      <c r="S8" s="7">
        <f>IF(A8="","",IF((A8+5)&gt;Model!$B$4,0,MAX(0,Model!$B$6-IF((A8+5)&gt;=Model!$B$11,Model!$B$20,0)-IF(5&lt;Model!$B$15,Model!$B$22,0))/(1-Model!$B$9)/(1+Model!$B$18)^5))</f>
        <v/>
      </c>
      <c r="T8" s="7">
        <f>IF(A8="","",IF((A8+6)&gt;Model!$B$4,0,MAX(0,Model!$B$6-IF((A8+6)&gt;=Model!$B$11,Model!$B$20,0)-IF(6&lt;Model!$B$15,Model!$B$22,0))/(1-Model!$B$9)/(1+Model!$B$18)^6))</f>
        <v/>
      </c>
      <c r="U8" s="7">
        <f>IF(A8="","",IF((A8+7)&gt;Model!$B$4,0,MAX(0,Model!$B$6-IF((A8+7)&gt;=Model!$B$11,Model!$B$20,0)-IF(7&lt;Model!$B$15,Model!$B$22,0))/(1-Model!$B$9)/(1+Model!$B$18)^7))</f>
        <v/>
      </c>
      <c r="V8" s="7">
        <f>IF(A8="","",IF((A8+8)&gt;Model!$B$4,0,MAX(0,Model!$B$6-IF((A8+8)&gt;=Model!$B$11,Model!$B$20,0)-IF(8&lt;Model!$B$15,Model!$B$22,0))/(1-Model!$B$9)/(1+Model!$B$18)^8))</f>
        <v/>
      </c>
      <c r="W8" s="7">
        <f>IF(A8="","",IF((A8+9)&gt;Model!$B$4,0,MAX(0,Model!$B$6-IF((A8+9)&gt;=Model!$B$11,Model!$B$20,0)-IF(9&lt;Model!$B$15,Model!$B$22,0))/(1-Model!$B$9)/(1+Model!$B$18)^9))</f>
        <v/>
      </c>
      <c r="X8" s="7">
        <f>IF(A8="","",IF((A8+10)&gt;Model!$B$4,0,MAX(0,Model!$B$6-IF((A8+10)&gt;=Model!$B$11,Model!$B$20,0)-IF(10&lt;Model!$B$15,Model!$B$22,0))/(1-Model!$B$9)/(1+Model!$B$18)^10))</f>
        <v/>
      </c>
      <c r="Y8" s="7">
        <f>IF(A8="","",IF((A8+11)&gt;Model!$B$4,0,MAX(0,Model!$B$6-IF((A8+11)&gt;=Model!$B$11,Model!$B$20,0)-IF(11&lt;Model!$B$15,Model!$B$22,0))/(1-Model!$B$9)/(1+Model!$B$18)^11))</f>
        <v/>
      </c>
      <c r="Z8" s="7">
        <f>IF(A8="","",IF((A8+12)&gt;Model!$B$4,0,MAX(0,Model!$B$6-IF((A8+12)&gt;=Model!$B$11,Model!$B$20,0)-IF(12&lt;Model!$B$15,Model!$B$22,0))/(1-Model!$B$9)/(1+Model!$B$18)^12))</f>
        <v/>
      </c>
      <c r="AA8" s="7">
        <f>IF(A8="","",IF((A8+13)&gt;Model!$B$4,0,MAX(0,Model!$B$6-IF((A8+13)&gt;=Model!$B$11,Model!$B$20,0)-IF(13&lt;Model!$B$15,Model!$B$22,0))/(1-Model!$B$9)/(1+Model!$B$18)^13))</f>
        <v/>
      </c>
      <c r="AB8" s="7">
        <f>IF(A8="","",IF((A8+14)&gt;Model!$B$4,0,MAX(0,Model!$B$6-IF((A8+14)&gt;=Model!$B$11,Model!$B$20,0)-IF(14&lt;Model!$B$15,Model!$B$22,0))/(1-Model!$B$9)/(1+Model!$B$18)^14))</f>
        <v/>
      </c>
      <c r="AC8" s="7">
        <f>IF(A8="","",IF((A8+15)&gt;Model!$B$4,0,MAX(0,Model!$B$6-IF((A8+15)&gt;=Model!$B$11,Model!$B$20,0)-IF(15&lt;Model!$B$15,Model!$B$22,0))/(1-Model!$B$9)/(1+Model!$B$18)^15))</f>
        <v/>
      </c>
      <c r="AD8" s="7">
        <f>IF(A8="","",IF((A8+16)&gt;Model!$B$4,0,MAX(0,Model!$B$6-IF((A8+16)&gt;=Model!$B$11,Model!$B$20,0)-IF(16&lt;Model!$B$15,Model!$B$22,0))/(1-Model!$B$9)/(1+Model!$B$18)^16))</f>
        <v/>
      </c>
      <c r="AE8" s="7">
        <f>IF(A8="","",IF((A8+17)&gt;Model!$B$4,0,MAX(0,Model!$B$6-IF((A8+17)&gt;=Model!$B$11,Model!$B$20,0)-IF(17&lt;Model!$B$15,Model!$B$22,0))/(1-Model!$B$9)/(1+Model!$B$18)^17))</f>
        <v/>
      </c>
      <c r="AF8" s="7">
        <f>IF(A8="","",IF((A8+18)&gt;Model!$B$4,0,MAX(0,Model!$B$6-IF((A8+18)&gt;=Model!$B$11,Model!$B$20,0)-IF(18&lt;Model!$B$15,Model!$B$22,0))/(1-Model!$B$9)/(1+Model!$B$18)^18))</f>
        <v/>
      </c>
      <c r="AG8" s="7">
        <f>IF(A8="","",IF((A8+19)&gt;Model!$B$4,0,MAX(0,Model!$B$6-IF((A8+19)&gt;=Model!$B$11,Model!$B$20,0)-IF(19&lt;Model!$B$15,Model!$B$22,0))/(1-Model!$B$9)/(1+Model!$B$18)^19))</f>
        <v/>
      </c>
      <c r="AH8" s="7">
        <f>IF(A8="","",IF((A8+20)&gt;Model!$B$4,0,MAX(0,Model!$B$6-IF((A8+20)&gt;=Model!$B$11,Model!$B$20,0)-IF(20&lt;Model!$B$15,Model!$B$22,0))/(1-Model!$B$9)/(1+Model!$B$18)^20))</f>
        <v/>
      </c>
      <c r="AI8" s="7">
        <f>IF(A8="","",IF((A8+21)&gt;Model!$B$4,0,MAX(0,Model!$B$6-IF((A8+21)&gt;=Model!$B$11,Model!$B$20,0)-IF(21&lt;Model!$B$15,Model!$B$22,0))/(1-Model!$B$9)/(1+Model!$B$18)^21))</f>
        <v/>
      </c>
      <c r="AJ8" s="7">
        <f>IF(A8="","",IF((A8+22)&gt;Model!$B$4,0,MAX(0,Model!$B$6-IF((A8+22)&gt;=Model!$B$11,Model!$B$20,0)-IF(22&lt;Model!$B$15,Model!$B$22,0))/(1-Model!$B$9)/(1+Model!$B$18)^22))</f>
        <v/>
      </c>
      <c r="AK8" s="7">
        <f>IF(A8="","",IF((A8+23)&gt;Model!$B$4,0,MAX(0,Model!$B$6-IF((A8+23)&gt;=Model!$B$11,Model!$B$20,0)-IF(23&lt;Model!$B$15,Model!$B$22,0))/(1-Model!$B$9)/(1+Model!$B$18)^23))</f>
        <v/>
      </c>
      <c r="AL8" s="7">
        <f>IF(A8="","",IF((A8+24)&gt;Model!$B$4,0,MAX(0,Model!$B$6-IF((A8+24)&gt;=Model!$B$11,Model!$B$20,0)-IF(24&lt;Model!$B$15,Model!$B$22,0))/(1-Model!$B$9)/(1+Model!$B$18)^24))</f>
        <v/>
      </c>
      <c r="AM8" s="7">
        <f>IF(A8="","",IF((A8+25)&gt;Model!$B$4,0,MAX(0,Model!$B$6-IF((A8+25)&gt;=Model!$B$11,Model!$B$20,0)-IF(25&lt;Model!$B$15,Model!$B$22,0))/(1-Model!$B$9)/(1+Model!$B$18)^25))</f>
        <v/>
      </c>
      <c r="AN8" s="7">
        <f>IF(A8="","",IF((A8+26)&gt;Model!$B$4,0,MAX(0,Model!$B$6-IF((A8+26)&gt;=Model!$B$11,Model!$B$20,0)-IF(26&lt;Model!$B$15,Model!$B$22,0))/(1-Model!$B$9)/(1+Model!$B$18)^26))</f>
        <v/>
      </c>
      <c r="AO8" s="7">
        <f>IF(A8="","",IF((A8+27)&gt;Model!$B$4,0,MAX(0,Model!$B$6-IF((A8+27)&gt;=Model!$B$11,Model!$B$20,0)-IF(27&lt;Model!$B$15,Model!$B$22,0))/(1-Model!$B$9)/(1+Model!$B$18)^27))</f>
        <v/>
      </c>
      <c r="AP8" s="7">
        <f>IF(A8="","",IF((A8+28)&gt;Model!$B$4,0,MAX(0,Model!$B$6-IF((A8+28)&gt;=Model!$B$11,Model!$B$20,0)-IF(28&lt;Model!$B$15,Model!$B$22,0))/(1-Model!$B$9)/(1+Model!$B$18)^28))</f>
        <v/>
      </c>
      <c r="AQ8" s="7">
        <f>IF(A8="","",IF((A8+29)&gt;Model!$B$4,0,MAX(0,Model!$B$6-IF((A8+29)&gt;=Model!$B$11,Model!$B$20,0)-IF(29&lt;Model!$B$15,Model!$B$22,0))/(1-Model!$B$9)/(1+Model!$B$18)^29))</f>
        <v/>
      </c>
      <c r="AR8" s="7">
        <f>IF(A8="","",IF((A8+30)&gt;Model!$B$4,0,MAX(0,Model!$B$6-IF((A8+30)&gt;=Model!$B$11,Model!$B$20,0)-IF(30&lt;Model!$B$15,Model!$B$22,0))/(1-Model!$B$9)/(1+Model!$B$18)^30))</f>
        <v/>
      </c>
      <c r="AS8" s="7">
        <f>IF(A8="","",IF((A8+31)&gt;Model!$B$4,0,MAX(0,Model!$B$6-IF((A8+31)&gt;=Model!$B$11,Model!$B$20,0)-IF(31&lt;Model!$B$15,Model!$B$22,0))/(1-Model!$B$9)/(1+Model!$B$18)^31))</f>
        <v/>
      </c>
      <c r="AT8" s="7">
        <f>IF(A8="","",IF((A8+32)&gt;Model!$B$4,0,MAX(0,Model!$B$6-IF((A8+32)&gt;=Model!$B$11,Model!$B$20,0)-IF(32&lt;Model!$B$15,Model!$B$22,0))/(1-Model!$B$9)/(1+Model!$B$18)^32))</f>
        <v/>
      </c>
      <c r="AU8" s="7">
        <f>IF(A8="","",IF((A8+33)&gt;Model!$B$4,0,MAX(0,Model!$B$6-IF((A8+33)&gt;=Model!$B$11,Model!$B$20,0)-IF(33&lt;Model!$B$15,Model!$B$22,0))/(1-Model!$B$9)/(1+Model!$B$18)^33))</f>
        <v/>
      </c>
      <c r="AV8" s="7">
        <f>IF(A8="","",IF((A8+34)&gt;Model!$B$4,0,MAX(0,Model!$B$6-IF((A8+34)&gt;=Model!$B$11,Model!$B$20,0)-IF(34&lt;Model!$B$15,Model!$B$22,0))/(1-Model!$B$9)/(1+Model!$B$18)^34))</f>
        <v/>
      </c>
      <c r="AW8" s="7">
        <f>IF(A8="","",IF((A8+35)&gt;Model!$B$4,0,MAX(0,Model!$B$6-IF((A8+35)&gt;=Model!$B$11,Model!$B$20,0)-IF(35&lt;Model!$B$15,Model!$B$22,0))/(1-Model!$B$9)/(1+Model!$B$18)^35))</f>
        <v/>
      </c>
      <c r="AX8" s="7">
        <f>IF(A8="","",IF((A8+36)&gt;Model!$B$4,0,MAX(0,Model!$B$6-IF((A8+36)&gt;=Model!$B$11,Model!$B$20,0)-IF(36&lt;Model!$B$15,Model!$B$22,0))/(1-Model!$B$9)/(1+Model!$B$18)^36))</f>
        <v/>
      </c>
      <c r="AY8" s="7">
        <f>IF(A8="","",IF((A8+37)&gt;Model!$B$4,0,MAX(0,Model!$B$6-IF((A8+37)&gt;=Model!$B$11,Model!$B$20,0)-IF(37&lt;Model!$B$15,Model!$B$22,0))/(1-Model!$B$9)/(1+Model!$B$18)^37))</f>
        <v/>
      </c>
      <c r="AZ8" s="7">
        <f>IF(A8="","",IF((A8+38)&gt;Model!$B$4,0,MAX(0,Model!$B$6-IF((A8+38)&gt;=Model!$B$11,Model!$B$20,0)-IF(38&lt;Model!$B$15,Model!$B$22,0))/(1-Model!$B$9)/(1+Model!$B$18)^38))</f>
        <v/>
      </c>
      <c r="BA8" s="7">
        <f>IF(A8="","",IF((A8+39)&gt;Model!$B$4,0,MAX(0,Model!$B$6-IF((A8+39)&gt;=Model!$B$11,Model!$B$20,0)-IF(39&lt;Model!$B$15,Model!$B$22,0))/(1-Model!$B$9)/(1+Model!$B$18)^39))</f>
        <v/>
      </c>
      <c r="BB8" s="7">
        <f>IF(A8="","",IF((A8+40)&gt;Model!$B$4,0,MAX(0,Model!$B$6-IF((A8+40)&gt;=Model!$B$11,Model!$B$20,0)-IF(40&lt;Model!$B$15,Model!$B$22,0))/(1-Model!$B$9)/(1+Model!$B$18)^40))</f>
        <v/>
      </c>
      <c r="BC8" s="7">
        <f>IF(A8="","",IF((A8+41)&gt;Model!$B$4,0,MAX(0,Model!$B$6-IF((A8+41)&gt;=Model!$B$11,Model!$B$20,0)-IF(41&lt;Model!$B$15,Model!$B$22,0))/(1-Model!$B$9)/(1+Model!$B$18)^41))</f>
        <v/>
      </c>
      <c r="BD8" s="7">
        <f>IF(A8="","",IF((A8+42)&gt;Model!$B$4,0,MAX(0,Model!$B$6-IF((A8+42)&gt;=Model!$B$11,Model!$B$20,0)-IF(42&lt;Model!$B$15,Model!$B$22,0))/(1-Model!$B$9)/(1+Model!$B$18)^42))</f>
        <v/>
      </c>
      <c r="BE8" s="7">
        <f>IF(A8="","",IF((A8+43)&gt;Model!$B$4,0,MAX(0,Model!$B$6-IF((A8+43)&gt;=Model!$B$11,Model!$B$20,0)-IF(43&lt;Model!$B$15,Model!$B$22,0))/(1-Model!$B$9)/(1+Model!$B$18)^43))</f>
        <v/>
      </c>
      <c r="BF8" s="7">
        <f>IF(A8="","",IF((A8+44)&gt;Model!$B$4,0,MAX(0,Model!$B$6-IF((A8+44)&gt;=Model!$B$11,Model!$B$20,0)-IF(44&lt;Model!$B$15,Model!$B$22,0))/(1-Model!$B$9)/(1+Model!$B$18)^44))</f>
        <v/>
      </c>
      <c r="BG8" s="7">
        <f>IF(A8="","",IF((A8+45)&gt;Model!$B$4,0,MAX(0,Model!$B$6-IF((A8+45)&gt;=Model!$B$11,Model!$B$20,0)-IF(45&lt;Model!$B$15,Model!$B$22,0))/(1-Model!$B$9)/(1+Model!$B$18)^45))</f>
        <v/>
      </c>
      <c r="BH8" s="7">
        <f>IF(A8="","",IF((A8+46)&gt;Model!$B$4,0,MAX(0,Model!$B$6-IF((A8+46)&gt;=Model!$B$11,Model!$B$20,0)-IF(46&lt;Model!$B$15,Model!$B$22,0))/(1-Model!$B$9)/(1+Model!$B$18)^46))</f>
        <v/>
      </c>
      <c r="BI8" s="7">
        <f>IF(A8="","",IF((A8+47)&gt;Model!$B$4,0,MAX(0,Model!$B$6-IF((A8+47)&gt;=Model!$B$11,Model!$B$20,0)-IF(47&lt;Model!$B$15,Model!$B$22,0))/(1-Model!$B$9)/(1+Model!$B$18)^47))</f>
        <v/>
      </c>
      <c r="BJ8" s="7">
        <f>IF(A8="","",IF((A8+48)&gt;Model!$B$4,0,MAX(0,Model!$B$6-IF((A8+48)&gt;=Model!$B$11,Model!$B$20,0)-IF(48&lt;Model!$B$15,Model!$B$22,0))/(1-Model!$B$9)/(1+Model!$B$18)^48))</f>
        <v/>
      </c>
      <c r="BK8" s="7">
        <f>IF(A8="","",IF((A8+49)&gt;Model!$B$4,0,MAX(0,Model!$B$6-IF((A8+49)&gt;=Model!$B$11,Model!$B$20,0)-IF(49&lt;Model!$B$15,Model!$B$22,0))/(1-Model!$B$9)/(1+Model!$B$18)^49))</f>
        <v/>
      </c>
      <c r="BL8" s="7">
        <f>IF(A8="","",IF((A8+50)&gt;Model!$B$4,0,MAX(0,Model!$B$6-IF((A8+50)&gt;=Model!$B$11,Model!$B$20,0)-IF(50&lt;Model!$B$15,Model!$B$22,0))/(1-Model!$B$9)/(1+Model!$B$18)^50))</f>
        <v/>
      </c>
      <c r="BM8" s="7">
        <f>IF(A8="","",IF((A8+51)&gt;Model!$B$4,0,MAX(0,Model!$B$6-IF((A8+51)&gt;=Model!$B$11,Model!$B$20,0)-IF(51&lt;Model!$B$15,Model!$B$22,0))/(1-Model!$B$9)/(1+Model!$B$18)^51))</f>
        <v/>
      </c>
      <c r="BN8" s="7">
        <f>IF(A8="","",IF((A8+52)&gt;Model!$B$4,0,MAX(0,Model!$B$6-IF((A8+52)&gt;=Model!$B$11,Model!$B$20,0)-IF(52&lt;Model!$B$15,Model!$B$22,0))/(1-Model!$B$9)/(1+Model!$B$18)^52))</f>
        <v/>
      </c>
      <c r="BO8" s="7">
        <f>IF(A8="","",IF((A8+53)&gt;Model!$B$4,0,MAX(0,Model!$B$6-IF((A8+53)&gt;=Model!$B$11,Model!$B$20,0)-IF(53&lt;Model!$B$15,Model!$B$22,0))/(1-Model!$B$9)/(1+Model!$B$18)^53))</f>
        <v/>
      </c>
      <c r="BP8" s="7">
        <f>IF(A8="","",IF((A8+54)&gt;Model!$B$4,0,MAX(0,Model!$B$6-IF((A8+54)&gt;=Model!$B$11,Model!$B$20,0)-IF(54&lt;Model!$B$15,Model!$B$22,0))/(1-Model!$B$9)/(1+Model!$B$18)^54))</f>
        <v/>
      </c>
      <c r="BQ8" s="7">
        <f>IF(A8="","",IF((A8+55)&gt;Model!$B$4,0,MAX(0,Model!$B$6-IF((A8+55)&gt;=Model!$B$11,Model!$B$20,0)-IF(55&lt;Model!$B$15,Model!$B$22,0))/(1-Model!$B$9)/(1+Model!$B$18)^55))</f>
        <v/>
      </c>
      <c r="BR8" s="7">
        <f>IF(A8="","",IF((A8+56)&gt;Model!$B$4,0,MAX(0,Model!$B$6-IF((A8+56)&gt;=Model!$B$11,Model!$B$20,0)-IF(56&lt;Model!$B$15,Model!$B$22,0))/(1-Model!$B$9)/(1+Model!$B$18)^56))</f>
        <v/>
      </c>
      <c r="BS8" s="7">
        <f>IF(A8="","",IF((A8+57)&gt;Model!$B$4,0,MAX(0,Model!$B$6-IF((A8+57)&gt;=Model!$B$11,Model!$B$20,0)-IF(57&lt;Model!$B$15,Model!$B$22,0))/(1-Model!$B$9)/(1+Model!$B$18)^57))</f>
        <v/>
      </c>
      <c r="BT8" s="7">
        <f>IF(A8="","",IF((A8+58)&gt;Model!$B$4,0,MAX(0,Model!$B$6-IF((A8+58)&gt;=Model!$B$11,Model!$B$20,0)-IF(58&lt;Model!$B$15,Model!$B$22,0))/(1-Model!$B$9)/(1+Model!$B$18)^58))</f>
        <v/>
      </c>
      <c r="BU8" s="7">
        <f>IF(A8="","",IF((A8+59)&gt;Model!$B$4,0,MAX(0,Model!$B$6-IF((A8+59)&gt;=Model!$B$11,Model!$B$20,0)-IF(59&lt;Model!$B$15,Model!$B$22,0))/(1-Model!$B$9)/(1+Model!$B$18)^59))</f>
        <v/>
      </c>
      <c r="BV8" s="7">
        <f>IF(A8="","",IF((A8+60)&gt;Model!$B$4,0,MAX(0,Model!$B$6-IF((A8+60)&gt;=Model!$B$11,Model!$B$20,0)-IF(60&lt;Model!$B$15,Model!$B$22,0))/(1-Model!$B$9)/(1+Model!$B$18)^60))</f>
        <v/>
      </c>
      <c r="BW8" s="7">
        <f>IF(A8="","",IF((A8+61)&gt;Model!$B$4,0,MAX(0,Model!$B$6-IF((A8+61)&gt;=Model!$B$11,Model!$B$20,0)-IF(61&lt;Model!$B$15,Model!$B$22,0))/(1-Model!$B$9)/(1+Model!$B$18)^61))</f>
        <v/>
      </c>
      <c r="BX8" s="7">
        <f>IF(A8="","",IF((A8+62)&gt;Model!$B$4,0,MAX(0,Model!$B$6-IF((A8+62)&gt;=Model!$B$11,Model!$B$20,0)-IF(62&lt;Model!$B$15,Model!$B$22,0))/(1-Model!$B$9)/(1+Model!$B$18)^62))</f>
        <v/>
      </c>
      <c r="BY8" s="7">
        <f>IF(A8="","",IF((A8+63)&gt;Model!$B$4,0,MAX(0,Model!$B$6-IF((A8+63)&gt;=Model!$B$11,Model!$B$20,0)-IF(63&lt;Model!$B$15,Model!$B$22,0))/(1-Model!$B$9)/(1+Model!$B$18)^63))</f>
        <v/>
      </c>
      <c r="BZ8" s="7">
        <f>IF(A8="","",IF((A8+64)&gt;Model!$B$4,0,MAX(0,Model!$B$6-IF((A8+64)&gt;=Model!$B$11,Model!$B$20,0)-IF(64&lt;Model!$B$15,Model!$B$22,0))/(1-Model!$B$9)/(1+Model!$B$18)^64))</f>
        <v/>
      </c>
      <c r="CA8" s="7">
        <f>IF(A8="","",IF((A8+65)&gt;Model!$B$4,0,MAX(0,Model!$B$6-IF((A8+65)&gt;=Model!$B$11,Model!$B$20,0)-IF(65&lt;Model!$B$15,Model!$B$22,0))/(1-Model!$B$9)/(1+Model!$B$18)^65))</f>
        <v/>
      </c>
      <c r="CB8" s="7">
        <f>IF(A8="","",IF((A8+66)&gt;Model!$B$4,0,MAX(0,Model!$B$6-IF((A8+66)&gt;=Model!$B$11,Model!$B$20,0)-IF(66&lt;Model!$B$15,Model!$B$22,0))/(1-Model!$B$9)/(1+Model!$B$18)^66))</f>
        <v/>
      </c>
      <c r="CC8" s="7">
        <f>IF(A8="","",IF((A8+67)&gt;Model!$B$4,0,MAX(0,Model!$B$6-IF((A8+67)&gt;=Model!$B$11,Model!$B$20,0)-IF(67&lt;Model!$B$15,Model!$B$22,0))/(1-Model!$B$9)/(1+Model!$B$18)^67))</f>
        <v/>
      </c>
      <c r="CD8" s="7">
        <f>IF(A8="","",IF((A8+68)&gt;Model!$B$4,0,MAX(0,Model!$B$6-IF((A8+68)&gt;=Model!$B$11,Model!$B$20,0)-IF(68&lt;Model!$B$15,Model!$B$22,0))/(1-Model!$B$9)/(1+Model!$B$18)^68))</f>
        <v/>
      </c>
      <c r="CE8" s="7">
        <f>IF(A8="","",IF((A8+69)&gt;Model!$B$4,0,MAX(0,Model!$B$6-IF((A8+69)&gt;=Model!$B$11,Model!$B$20,0)-IF(69&lt;Model!$B$15,Model!$B$22,0))/(1-Model!$B$9)/(1+Model!$B$18)^69))</f>
        <v/>
      </c>
      <c r="CF8" s="7">
        <f>IF(A8="","",IF((A8+70)&gt;Model!$B$4,0,MAX(0,Model!$B$6-IF((A8+70)&gt;=Model!$B$11,Model!$B$20,0)-IF(70&lt;Model!$B$15,Model!$B$22,0))/(1-Model!$B$9)/(1+Model!$B$18)^70))</f>
        <v/>
      </c>
      <c r="CG8" s="7">
        <f>IF(A8="","",IF((A8+71)&gt;Model!$B$4,0,MAX(0,Model!$B$6-IF((A8+71)&gt;=Model!$B$11,Model!$B$20,0)-IF(71&lt;Model!$B$15,Model!$B$22,0))/(1-Model!$B$9)/(1+Model!$B$18)^71))</f>
        <v/>
      </c>
      <c r="CH8" s="7">
        <f>IF(A8="","",IF((A8+72)&gt;Model!$B$4,0,MAX(0,Model!$B$6-IF((A8+72)&gt;=Model!$B$11,Model!$B$20,0)-IF(72&lt;Model!$B$15,Model!$B$22,0))/(1-Model!$B$9)/(1+Model!$B$18)^72))</f>
        <v/>
      </c>
      <c r="CI8" s="7">
        <f>IF(A8="","",IF((A8+73)&gt;Model!$B$4,0,MAX(0,Model!$B$6-IF((A8+73)&gt;=Model!$B$11,Model!$B$20,0)-IF(73&lt;Model!$B$15,Model!$B$22,0))/(1-Model!$B$9)/(1+Model!$B$18)^73))</f>
        <v/>
      </c>
      <c r="CJ8" s="7">
        <f>IF(A8="","",IF((A8+74)&gt;Model!$B$4,0,MAX(0,Model!$B$6-IF((A8+74)&gt;=Model!$B$11,Model!$B$20,0)-IF(74&lt;Model!$B$15,Model!$B$22,0))/(1-Model!$B$9)/(1+Model!$B$18)^74))</f>
        <v/>
      </c>
      <c r="CK8" s="7">
        <f>IF(A8="","",IF((A8+75)&gt;Model!$B$4,0,MAX(0,Model!$B$6-IF((A8+75)&gt;=Model!$B$11,Model!$B$20,0)-IF(75&lt;Model!$B$15,Model!$B$22,0))/(1-Model!$B$9)/(1+Model!$B$18)^75))</f>
        <v/>
      </c>
      <c r="CL8" s="7">
        <f>IF(A8="","",IF((A8+76)&gt;Model!$B$4,0,MAX(0,Model!$B$6-IF((A8+76)&gt;=Model!$B$11,Model!$B$20,0)-IF(76&lt;Model!$B$15,Model!$B$22,0))/(1-Model!$B$9)/(1+Model!$B$18)^76))</f>
        <v/>
      </c>
      <c r="CM8" s="7">
        <f>IF(A8="","",IF((A8+77)&gt;Model!$B$4,0,MAX(0,Model!$B$6-IF((A8+77)&gt;=Model!$B$11,Model!$B$20,0)-IF(77&lt;Model!$B$15,Model!$B$22,0))/(1-Model!$B$9)/(1+Model!$B$18)^77))</f>
        <v/>
      </c>
      <c r="CN8" s="7">
        <f>IF(A8="","",IF((A8+78)&gt;Model!$B$4,0,MAX(0,Model!$B$6-IF((A8+78)&gt;=Model!$B$11,Model!$B$20,0)-IF(78&lt;Model!$B$15,Model!$B$22,0))/(1-Model!$B$9)/(1+Model!$B$18)^78))</f>
        <v/>
      </c>
      <c r="CO8" s="7">
        <f>IF(A8="","",IF((A8+79)&gt;Model!$B$4,0,MAX(0,Model!$B$6-IF((A8+79)&gt;=Model!$B$11,Model!$B$20,0)-IF(79&lt;Model!$B$15,Model!$B$22,0))/(1-Model!$B$9)/(1+Model!$B$18)^79))</f>
        <v/>
      </c>
      <c r="CP8" s="7">
        <f>IF(A8="","",IF((A8+80)&gt;Model!$B$4,0,MAX(0,Model!$B$6-IF((A8+80)&gt;=Model!$B$11,Model!$B$20,0)-IF(80&lt;Model!$B$15,Model!$B$22,0))/(1-Model!$B$9)/(1+Model!$B$18)^80))</f>
        <v/>
      </c>
      <c r="CQ8" s="7">
        <f>IF(A8="","",IF((A8+81)&gt;Model!$B$4,0,MAX(0,Model!$B$6-IF((A8+81)&gt;=Model!$B$11,Model!$B$20,0)-IF(81&lt;Model!$B$15,Model!$B$22,0))/(1-Model!$B$9)/(1+Model!$B$18)^81))</f>
        <v/>
      </c>
      <c r="CR8" s="7">
        <f>IF(A8="","",IF((A8+82)&gt;Model!$B$4,0,MAX(0,Model!$B$6-IF((A8+82)&gt;=Model!$B$11,Model!$B$20,0)-IF(82&lt;Model!$B$15,Model!$B$22,0))/(1-Model!$B$9)/(1+Model!$B$18)^82))</f>
        <v/>
      </c>
      <c r="CS8" s="7">
        <f>IF(A8="","",IF((A8+83)&gt;Model!$B$4,0,MAX(0,Model!$B$6-IF((A8+83)&gt;=Model!$B$11,Model!$B$20,0)-IF(83&lt;Model!$B$15,Model!$B$22,0))/(1-Model!$B$9)/(1+Model!$B$18)^83))</f>
        <v/>
      </c>
      <c r="CT8" s="7">
        <f>IF(A8="","",IF((A8+84)&gt;Model!$B$4,0,MAX(0,Model!$B$6-IF((A8+84)&gt;=Model!$B$11,Model!$B$20,0)-IF(84&lt;Model!$B$15,Model!$B$22,0))/(1-Model!$B$9)/(1+Model!$B$18)^84))</f>
        <v/>
      </c>
      <c r="CU8" s="7">
        <f>IF(A8="","",IF((A8+85)&gt;Model!$B$4,0,MAX(0,Model!$B$6-IF((A8+85)&gt;=Model!$B$11,Model!$B$20,0)-IF(85&lt;Model!$B$15,Model!$B$22,0))/(1-Model!$B$9)/(1+Model!$B$18)^85))</f>
        <v/>
      </c>
      <c r="CV8" s="7">
        <f>IF(A8="","",IF((A8+86)&gt;Model!$B$4,0,MAX(0,Model!$B$6-IF((A8+86)&gt;=Model!$B$11,Model!$B$20,0)-IF(86&lt;Model!$B$15,Model!$B$22,0))/(1-Model!$B$9)/(1+Model!$B$18)^86))</f>
        <v/>
      </c>
      <c r="CW8" s="7">
        <f>IF(A8="","",IF((A8+87)&gt;Model!$B$4,0,MAX(0,Model!$B$6-IF((A8+87)&gt;=Model!$B$11,Model!$B$20,0)-IF(87&lt;Model!$B$15,Model!$B$22,0))/(1-Model!$B$9)/(1+Model!$B$18)^87))</f>
        <v/>
      </c>
      <c r="CX8" s="7">
        <f>IF(A8="","",IF((A8+88)&gt;Model!$B$4,0,MAX(0,Model!$B$6-IF((A8+88)&gt;=Model!$B$11,Model!$B$20,0)-IF(88&lt;Model!$B$15,Model!$B$22,0))/(1-Model!$B$9)/(1+Model!$B$18)^88))</f>
        <v/>
      </c>
      <c r="CY8" s="7">
        <f>IF(A8="","",IF((A8+89)&gt;Model!$B$4,0,MAX(0,Model!$B$6-IF((A8+89)&gt;=Model!$B$11,Model!$B$20,0)-IF(89&lt;Model!$B$15,Model!$B$22,0))/(1-Model!$B$9)/(1+Model!$B$18)^89))</f>
        <v/>
      </c>
      <c r="CZ8" s="7">
        <f>IF(A8="","",IF((A8+90)&gt;Model!$B$4,0,MAX(0,Model!$B$6-IF((A8+90)&gt;=Model!$B$11,Model!$B$20,0)-IF(90&lt;Model!$B$15,Model!$B$22,0))/(1-Model!$B$9)/(1+Model!$B$18)^90))</f>
        <v/>
      </c>
      <c r="DA8" s="7">
        <f>IF(A8="","",IF((A8+91)&gt;Model!$B$4,0,MAX(0,Model!$B$6-IF((A8+91)&gt;=Model!$B$11,Model!$B$20,0)-IF(91&lt;Model!$B$15,Model!$B$22,0))/(1-Model!$B$9)/(1+Model!$B$18)^91))</f>
        <v/>
      </c>
      <c r="DB8" s="7">
        <f>IF(A8="","",IF((A8+92)&gt;Model!$B$4,0,MAX(0,Model!$B$6-IF((A8+92)&gt;=Model!$B$11,Model!$B$20,0)-IF(92&lt;Model!$B$15,Model!$B$22,0))/(1-Model!$B$9)/(1+Model!$B$18)^92))</f>
        <v/>
      </c>
      <c r="DC8" s="7">
        <f>IF(A8="","",IF((A8+93)&gt;Model!$B$4,0,MAX(0,Model!$B$6-IF((A8+93)&gt;=Model!$B$11,Model!$B$20,0)-IF(93&lt;Model!$B$15,Model!$B$22,0))/(1-Model!$B$9)/(1+Model!$B$18)^93))</f>
        <v/>
      </c>
      <c r="DD8" s="7">
        <f>IF(A8="","",IF((A8+94)&gt;Model!$B$4,0,MAX(0,Model!$B$6-IF((A8+94)&gt;=Model!$B$11,Model!$B$20,0)-IF(94&lt;Model!$B$15,Model!$B$22,0))/(1-Model!$B$9)/(1+Model!$B$18)^94))</f>
        <v/>
      </c>
      <c r="DE8" s="7">
        <f>IF(A8="","",IF((A8+95)&gt;Model!$B$4,0,MAX(0,Model!$B$6-IF((A8+95)&gt;=Model!$B$11,Model!$B$20,0)-IF(95&lt;Model!$B$15,Model!$B$22,0))/(1-Model!$B$9)/(1+Model!$B$18)^95))</f>
        <v/>
      </c>
      <c r="DF8" s="7">
        <f>IF(A8="","",IF((A8+96)&gt;Model!$B$4,0,MAX(0,Model!$B$6-IF((A8+96)&gt;=Model!$B$11,Model!$B$20,0)-IF(96&lt;Model!$B$15,Model!$B$22,0))/(1-Model!$B$9)/(1+Model!$B$18)^96))</f>
        <v/>
      </c>
      <c r="DG8" s="7">
        <f>IF(A8="","",IF((A8+97)&gt;Model!$B$4,0,MAX(0,Model!$B$6-IF((A8+97)&gt;=Model!$B$11,Model!$B$20,0)-IF(97&lt;Model!$B$15,Model!$B$22,0))/(1-Model!$B$9)/(1+Model!$B$18)^97))</f>
        <v/>
      </c>
      <c r="DH8" s="7">
        <f>IF(A8="","",IF((A8+98)&gt;Model!$B$4,0,MAX(0,Model!$B$6-IF((A8+98)&gt;=Model!$B$11,Model!$B$20,0)-IF(98&lt;Model!$B$15,Model!$B$22,0))/(1-Model!$B$9)/(1+Model!$B$18)^98))</f>
        <v/>
      </c>
      <c r="DI8" s="7">
        <f>IF(A8="","",IF((A8+99)&gt;Model!$B$4,0,MAX(0,Model!$B$6-IF((A8+99)&gt;=Model!$B$11,Model!$B$20,0)-IF(99&lt;Model!$B$15,Model!$B$22,0))/(1-Model!$B$9)/(1+Model!$B$18)^99))</f>
        <v/>
      </c>
      <c r="DJ8" s="7">
        <f>IF(A8="","",IF((A8+100)&gt;Model!$B$4,0,MAX(0,Model!$B$6-IF((A8+100)&gt;=Model!$B$11,Model!$B$20,0)-IF(100&lt;Model!$B$15,Model!$B$22,0))/(1-Model!$B$9)/(1+Model!$B$18)^100))</f>
        <v/>
      </c>
      <c r="DK8" s="7">
        <f>IF(A8="","",IF((A8+101)&gt;Model!$B$4,0,MAX(0,Model!$B$6-IF((A8+101)&gt;=Model!$B$11,Model!$B$20,0)-IF(101&lt;Model!$B$15,Model!$B$22,0))/(1-Model!$B$9)/(1+Model!$B$18)^101))</f>
        <v/>
      </c>
      <c r="DL8" s="7">
        <f>IF(A8="","",IF((A8+102)&gt;Model!$B$4,0,MAX(0,Model!$B$6-IF((A8+102)&gt;=Model!$B$11,Model!$B$20,0)-IF(102&lt;Model!$B$15,Model!$B$22,0))/(1-Model!$B$9)/(1+Model!$B$18)^102))</f>
        <v/>
      </c>
      <c r="DM8" s="7">
        <f>IF(A8="","",IF((A8+103)&gt;Model!$B$4,0,MAX(0,Model!$B$6-IF((A8+103)&gt;=Model!$B$11,Model!$B$20,0)-IF(103&lt;Model!$B$15,Model!$B$22,0))/(1-Model!$B$9)/(1+Model!$B$18)^103))</f>
        <v/>
      </c>
      <c r="DN8" s="7">
        <f>IF(A8="","",IF((A8+104)&gt;Model!$B$4,0,MAX(0,Model!$B$6-IF((A8+104)&gt;=Model!$B$11,Model!$B$20,0)-IF(104&lt;Model!$B$15,Model!$B$22,0))/(1-Model!$B$9)/(1+Model!$B$18)^104))</f>
        <v/>
      </c>
      <c r="DO8" s="7">
        <f>IF(A8="","",IF((A8+105)&gt;Model!$B$4,0,MAX(0,Model!$B$6-IF((A8+105)&gt;=Model!$B$11,Model!$B$20,0)-IF(105&lt;Model!$B$15,Model!$B$22,0))/(1-Model!$B$9)/(1+Model!$B$18)^105))</f>
        <v/>
      </c>
      <c r="DP8" s="7">
        <f>IF(A8="","",IF((A8+106)&gt;Model!$B$4,0,MAX(0,Model!$B$6-IF((A8+106)&gt;=Model!$B$11,Model!$B$20,0)-IF(106&lt;Model!$B$15,Model!$B$22,0))/(1-Model!$B$9)/(1+Model!$B$18)^106))</f>
        <v/>
      </c>
      <c r="DQ8" s="7">
        <f>IF(A8="","",IF((A8+107)&gt;Model!$B$4,0,MAX(0,Model!$B$6-IF((A8+107)&gt;=Model!$B$11,Model!$B$20,0)-IF(107&lt;Model!$B$15,Model!$B$22,0))/(1-Model!$B$9)/(1+Model!$B$18)^107))</f>
        <v/>
      </c>
      <c r="DR8" s="7">
        <f>IF(A8="","",IF((A8+108)&gt;Model!$B$4,0,MAX(0,Model!$B$6-IF((A8+108)&gt;=Model!$B$11,Model!$B$20,0)-IF(108&lt;Model!$B$15,Model!$B$22,0))/(1-Model!$B$9)/(1+Model!$B$18)^108))</f>
        <v/>
      </c>
      <c r="DS8" s="7">
        <f>IF(A8="","",IF((A8+109)&gt;Model!$B$4,0,MAX(0,Model!$B$6-IF((A8+109)&gt;=Model!$B$11,Model!$B$20,0)-IF(109&lt;Model!$B$15,Model!$B$22,0))/(1-Model!$B$9)/(1+Model!$B$18)^109))</f>
        <v/>
      </c>
      <c r="DT8" s="7">
        <f>IF(A8="","",IF((A8+110)&gt;Model!$B$4,0,MAX(0,Model!$B$6-IF((A8+110)&gt;=Model!$B$11,Model!$B$20,0)-IF(110&lt;Model!$B$15,Model!$B$22,0))/(1-Model!$B$9)/(1+Model!$B$18)^110))</f>
        <v/>
      </c>
      <c r="DU8" s="7">
        <f>IF(A8="","",IF((A8+111)&gt;Model!$B$4,0,MAX(0,Model!$B$6-IF((A8+111)&gt;=Model!$B$11,Model!$B$20,0)-IF(111&lt;Model!$B$15,Model!$B$22,0))/(1-Model!$B$9)/(1+Model!$B$18)^111))</f>
        <v/>
      </c>
      <c r="DV8" s="7">
        <f>IF(A8="","",IF((A8+112)&gt;Model!$B$4,0,MAX(0,Model!$B$6-IF((A8+112)&gt;=Model!$B$11,Model!$B$20,0)-IF(112&lt;Model!$B$15,Model!$B$22,0))/(1-Model!$B$9)/(1+Model!$B$18)^112))</f>
        <v/>
      </c>
      <c r="DW8" s="7">
        <f>IF(A8="","",IF((A8+113)&gt;Model!$B$4,0,MAX(0,Model!$B$6-IF((A8+113)&gt;=Model!$B$11,Model!$B$20,0)-IF(113&lt;Model!$B$15,Model!$B$22,0))/(1-Model!$B$9)/(1+Model!$B$18)^113))</f>
        <v/>
      </c>
      <c r="DX8" s="7">
        <f>IF(A8="","",IF((A8+114)&gt;Model!$B$4,0,MAX(0,Model!$B$6-IF((A8+114)&gt;=Model!$B$11,Model!$B$20,0)-IF(114&lt;Model!$B$15,Model!$B$22,0))/(1-Model!$B$9)/(1+Model!$B$18)^114))</f>
        <v/>
      </c>
      <c r="DY8" s="7">
        <f>IF(A8="","",IF((A8+115)&gt;Model!$B$4,0,MAX(0,Model!$B$6-IF((A8+115)&gt;=Model!$B$11,Model!$B$20,0)-IF(115&lt;Model!$B$15,Model!$B$22,0))/(1-Model!$B$9)/(1+Model!$B$18)^115))</f>
        <v/>
      </c>
      <c r="DZ8" s="7">
        <f>IF(A8="","",IF((A8+116)&gt;Model!$B$4,0,MAX(0,Model!$B$6-IF((A8+116)&gt;=Model!$B$11,Model!$B$20,0)-IF(116&lt;Model!$B$15,Model!$B$22,0))/(1-Model!$B$9)/(1+Model!$B$18)^116))</f>
        <v/>
      </c>
      <c r="EA8" s="7">
        <f>IF(A8="","",IF((A8+117)&gt;Model!$B$4,0,MAX(0,Model!$B$6-IF((A8+117)&gt;=Model!$B$11,Model!$B$20,0)-IF(117&lt;Model!$B$15,Model!$B$22,0))/(1-Model!$B$9)/(1+Model!$B$18)^117))</f>
        <v/>
      </c>
      <c r="EB8" s="7">
        <f>IF(A8="","",IF((A8+118)&gt;Model!$B$4,0,MAX(0,Model!$B$6-IF((A8+118)&gt;=Model!$B$11,Model!$B$20,0)-IF(118&lt;Model!$B$15,Model!$B$22,0))/(1-Model!$B$9)/(1+Model!$B$18)^118))</f>
        <v/>
      </c>
      <c r="EC8" s="7">
        <f>IF(A8="","",IF((A8+119)&gt;Model!$B$4,0,MAX(0,Model!$B$6-IF((A8+119)&gt;=Model!$B$11,Model!$B$20,0)-IF(119&lt;Model!$B$15,Model!$B$22,0))/(1-Model!$B$9)/(1+Model!$B$18)^119))</f>
        <v/>
      </c>
      <c r="ED8" s="7">
        <f>IF(A8="","",IF((A8+120)&gt;Model!$B$4,0,MAX(0,Model!$B$6-IF((A8+120)&gt;=Model!$B$11,Model!$B$20,0)-IF(120&lt;Model!$B$15,Model!$B$22,0))/(1-Model!$B$9)/(1+Model!$B$18)^120))</f>
        <v/>
      </c>
    </row>
    <row r="9">
      <c r="A9">
        <f>IF(Model!$B$10+ROW()-2&lt;=Model!$B$4,Model!$B$10+ROW()-2,"")</f>
        <v/>
      </c>
      <c r="B9">
        <f>IF(A9="","",A9-Model!$B$10)</f>
        <v/>
      </c>
      <c r="C9" s="7">
        <f>IF(A9="","",Model!$B$5*(1+Model!$B$18)^B9)</f>
        <v/>
      </c>
      <c r="D9" s="7">
        <f>IF(A9="","",SUM(N9:ED9))</f>
        <v/>
      </c>
      <c r="E9" s="7">
        <f>IF(A9="","",IF(A9&gt;=Model!$B$11,Model!$B$20,0))</f>
        <v/>
      </c>
      <c r="F9" s="7">
        <f>IF(A9="","",IF(Model!$B$15&gt;0,Model!$B$22,0))</f>
        <v/>
      </c>
      <c r="G9" s="7">
        <f>IF(A9="","",E9+F9)</f>
        <v/>
      </c>
      <c r="H9" s="7">
        <f>IF(A9="","",MAX(0,Model!$B$6-G9))</f>
        <v/>
      </c>
      <c r="I9" s="7">
        <f>IF(A9="","",H9/(1-Model!$B$9))</f>
        <v/>
      </c>
      <c r="J9" s="7">
        <f>IF(A9="","",C9-D9)</f>
        <v/>
      </c>
      <c r="K9">
        <f>IF(A9="","",C9&gt;=D9)</f>
        <v/>
      </c>
      <c r="L9" s="7">
        <f>IF(A9="","",IF(A9&gt;=Model!$B$11,Model!$B$19*(1+Model!$B$13)^B9,0))</f>
        <v/>
      </c>
      <c r="M9" s="7">
        <f>IF(A9="","",IF(Model!$B$15&gt;0,Model!$B$21*(1+Model!$B$13)^B9,0))</f>
        <v/>
      </c>
      <c r="N9" s="7">
        <f>IF(A9="","",IF((A9+0)&gt;Model!$B$4,0,MAX(0,Model!$B$6-IF((A9+0)&gt;=Model!$B$11,Model!$B$20,0)-IF(0&lt;Model!$B$15,Model!$B$22,0))/(1-Model!$B$9)/(1+Model!$B$18)^0))</f>
        <v/>
      </c>
      <c r="O9" s="7">
        <f>IF(A9="","",IF((A9+1)&gt;Model!$B$4,0,MAX(0,Model!$B$6-IF((A9+1)&gt;=Model!$B$11,Model!$B$20,0)-IF(1&lt;Model!$B$15,Model!$B$22,0))/(1-Model!$B$9)/(1+Model!$B$18)^1))</f>
        <v/>
      </c>
      <c r="P9" s="7">
        <f>IF(A9="","",IF((A9+2)&gt;Model!$B$4,0,MAX(0,Model!$B$6-IF((A9+2)&gt;=Model!$B$11,Model!$B$20,0)-IF(2&lt;Model!$B$15,Model!$B$22,0))/(1-Model!$B$9)/(1+Model!$B$18)^2))</f>
        <v/>
      </c>
      <c r="Q9" s="7">
        <f>IF(A9="","",IF((A9+3)&gt;Model!$B$4,0,MAX(0,Model!$B$6-IF((A9+3)&gt;=Model!$B$11,Model!$B$20,0)-IF(3&lt;Model!$B$15,Model!$B$22,0))/(1-Model!$B$9)/(1+Model!$B$18)^3))</f>
        <v/>
      </c>
      <c r="R9" s="7">
        <f>IF(A9="","",IF((A9+4)&gt;Model!$B$4,0,MAX(0,Model!$B$6-IF((A9+4)&gt;=Model!$B$11,Model!$B$20,0)-IF(4&lt;Model!$B$15,Model!$B$22,0))/(1-Model!$B$9)/(1+Model!$B$18)^4))</f>
        <v/>
      </c>
      <c r="S9" s="7">
        <f>IF(A9="","",IF((A9+5)&gt;Model!$B$4,0,MAX(0,Model!$B$6-IF((A9+5)&gt;=Model!$B$11,Model!$B$20,0)-IF(5&lt;Model!$B$15,Model!$B$22,0))/(1-Model!$B$9)/(1+Model!$B$18)^5))</f>
        <v/>
      </c>
      <c r="T9" s="7">
        <f>IF(A9="","",IF((A9+6)&gt;Model!$B$4,0,MAX(0,Model!$B$6-IF((A9+6)&gt;=Model!$B$11,Model!$B$20,0)-IF(6&lt;Model!$B$15,Model!$B$22,0))/(1-Model!$B$9)/(1+Model!$B$18)^6))</f>
        <v/>
      </c>
      <c r="U9" s="7">
        <f>IF(A9="","",IF((A9+7)&gt;Model!$B$4,0,MAX(0,Model!$B$6-IF((A9+7)&gt;=Model!$B$11,Model!$B$20,0)-IF(7&lt;Model!$B$15,Model!$B$22,0))/(1-Model!$B$9)/(1+Model!$B$18)^7))</f>
        <v/>
      </c>
      <c r="V9" s="7">
        <f>IF(A9="","",IF((A9+8)&gt;Model!$B$4,0,MAX(0,Model!$B$6-IF((A9+8)&gt;=Model!$B$11,Model!$B$20,0)-IF(8&lt;Model!$B$15,Model!$B$22,0))/(1-Model!$B$9)/(1+Model!$B$18)^8))</f>
        <v/>
      </c>
      <c r="W9" s="7">
        <f>IF(A9="","",IF((A9+9)&gt;Model!$B$4,0,MAX(0,Model!$B$6-IF((A9+9)&gt;=Model!$B$11,Model!$B$20,0)-IF(9&lt;Model!$B$15,Model!$B$22,0))/(1-Model!$B$9)/(1+Model!$B$18)^9))</f>
        <v/>
      </c>
      <c r="X9" s="7">
        <f>IF(A9="","",IF((A9+10)&gt;Model!$B$4,0,MAX(0,Model!$B$6-IF((A9+10)&gt;=Model!$B$11,Model!$B$20,0)-IF(10&lt;Model!$B$15,Model!$B$22,0))/(1-Model!$B$9)/(1+Model!$B$18)^10))</f>
        <v/>
      </c>
      <c r="Y9" s="7">
        <f>IF(A9="","",IF((A9+11)&gt;Model!$B$4,0,MAX(0,Model!$B$6-IF((A9+11)&gt;=Model!$B$11,Model!$B$20,0)-IF(11&lt;Model!$B$15,Model!$B$22,0))/(1-Model!$B$9)/(1+Model!$B$18)^11))</f>
        <v/>
      </c>
      <c r="Z9" s="7">
        <f>IF(A9="","",IF((A9+12)&gt;Model!$B$4,0,MAX(0,Model!$B$6-IF((A9+12)&gt;=Model!$B$11,Model!$B$20,0)-IF(12&lt;Model!$B$15,Model!$B$22,0))/(1-Model!$B$9)/(1+Model!$B$18)^12))</f>
        <v/>
      </c>
      <c r="AA9" s="7">
        <f>IF(A9="","",IF((A9+13)&gt;Model!$B$4,0,MAX(0,Model!$B$6-IF((A9+13)&gt;=Model!$B$11,Model!$B$20,0)-IF(13&lt;Model!$B$15,Model!$B$22,0))/(1-Model!$B$9)/(1+Model!$B$18)^13))</f>
        <v/>
      </c>
      <c r="AB9" s="7">
        <f>IF(A9="","",IF((A9+14)&gt;Model!$B$4,0,MAX(0,Model!$B$6-IF((A9+14)&gt;=Model!$B$11,Model!$B$20,0)-IF(14&lt;Model!$B$15,Model!$B$22,0))/(1-Model!$B$9)/(1+Model!$B$18)^14))</f>
        <v/>
      </c>
      <c r="AC9" s="7">
        <f>IF(A9="","",IF((A9+15)&gt;Model!$B$4,0,MAX(0,Model!$B$6-IF((A9+15)&gt;=Model!$B$11,Model!$B$20,0)-IF(15&lt;Model!$B$15,Model!$B$22,0))/(1-Model!$B$9)/(1+Model!$B$18)^15))</f>
        <v/>
      </c>
      <c r="AD9" s="7">
        <f>IF(A9="","",IF((A9+16)&gt;Model!$B$4,0,MAX(0,Model!$B$6-IF((A9+16)&gt;=Model!$B$11,Model!$B$20,0)-IF(16&lt;Model!$B$15,Model!$B$22,0))/(1-Model!$B$9)/(1+Model!$B$18)^16))</f>
        <v/>
      </c>
      <c r="AE9" s="7">
        <f>IF(A9="","",IF((A9+17)&gt;Model!$B$4,0,MAX(0,Model!$B$6-IF((A9+17)&gt;=Model!$B$11,Model!$B$20,0)-IF(17&lt;Model!$B$15,Model!$B$22,0))/(1-Model!$B$9)/(1+Model!$B$18)^17))</f>
        <v/>
      </c>
      <c r="AF9" s="7">
        <f>IF(A9="","",IF((A9+18)&gt;Model!$B$4,0,MAX(0,Model!$B$6-IF((A9+18)&gt;=Model!$B$11,Model!$B$20,0)-IF(18&lt;Model!$B$15,Model!$B$22,0))/(1-Model!$B$9)/(1+Model!$B$18)^18))</f>
        <v/>
      </c>
      <c r="AG9" s="7">
        <f>IF(A9="","",IF((A9+19)&gt;Model!$B$4,0,MAX(0,Model!$B$6-IF((A9+19)&gt;=Model!$B$11,Model!$B$20,0)-IF(19&lt;Model!$B$15,Model!$B$22,0))/(1-Model!$B$9)/(1+Model!$B$18)^19))</f>
        <v/>
      </c>
      <c r="AH9" s="7">
        <f>IF(A9="","",IF((A9+20)&gt;Model!$B$4,0,MAX(0,Model!$B$6-IF((A9+20)&gt;=Model!$B$11,Model!$B$20,0)-IF(20&lt;Model!$B$15,Model!$B$22,0))/(1-Model!$B$9)/(1+Model!$B$18)^20))</f>
        <v/>
      </c>
      <c r="AI9" s="7">
        <f>IF(A9="","",IF((A9+21)&gt;Model!$B$4,0,MAX(0,Model!$B$6-IF((A9+21)&gt;=Model!$B$11,Model!$B$20,0)-IF(21&lt;Model!$B$15,Model!$B$22,0))/(1-Model!$B$9)/(1+Model!$B$18)^21))</f>
        <v/>
      </c>
      <c r="AJ9" s="7">
        <f>IF(A9="","",IF((A9+22)&gt;Model!$B$4,0,MAX(0,Model!$B$6-IF((A9+22)&gt;=Model!$B$11,Model!$B$20,0)-IF(22&lt;Model!$B$15,Model!$B$22,0))/(1-Model!$B$9)/(1+Model!$B$18)^22))</f>
        <v/>
      </c>
      <c r="AK9" s="7">
        <f>IF(A9="","",IF((A9+23)&gt;Model!$B$4,0,MAX(0,Model!$B$6-IF((A9+23)&gt;=Model!$B$11,Model!$B$20,0)-IF(23&lt;Model!$B$15,Model!$B$22,0))/(1-Model!$B$9)/(1+Model!$B$18)^23))</f>
        <v/>
      </c>
      <c r="AL9" s="7">
        <f>IF(A9="","",IF((A9+24)&gt;Model!$B$4,0,MAX(0,Model!$B$6-IF((A9+24)&gt;=Model!$B$11,Model!$B$20,0)-IF(24&lt;Model!$B$15,Model!$B$22,0))/(1-Model!$B$9)/(1+Model!$B$18)^24))</f>
        <v/>
      </c>
      <c r="AM9" s="7">
        <f>IF(A9="","",IF((A9+25)&gt;Model!$B$4,0,MAX(0,Model!$B$6-IF((A9+25)&gt;=Model!$B$11,Model!$B$20,0)-IF(25&lt;Model!$B$15,Model!$B$22,0))/(1-Model!$B$9)/(1+Model!$B$18)^25))</f>
        <v/>
      </c>
      <c r="AN9" s="7">
        <f>IF(A9="","",IF((A9+26)&gt;Model!$B$4,0,MAX(0,Model!$B$6-IF((A9+26)&gt;=Model!$B$11,Model!$B$20,0)-IF(26&lt;Model!$B$15,Model!$B$22,0))/(1-Model!$B$9)/(1+Model!$B$18)^26))</f>
        <v/>
      </c>
      <c r="AO9" s="7">
        <f>IF(A9="","",IF((A9+27)&gt;Model!$B$4,0,MAX(0,Model!$B$6-IF((A9+27)&gt;=Model!$B$11,Model!$B$20,0)-IF(27&lt;Model!$B$15,Model!$B$22,0))/(1-Model!$B$9)/(1+Model!$B$18)^27))</f>
        <v/>
      </c>
      <c r="AP9" s="7">
        <f>IF(A9="","",IF((A9+28)&gt;Model!$B$4,0,MAX(0,Model!$B$6-IF((A9+28)&gt;=Model!$B$11,Model!$B$20,0)-IF(28&lt;Model!$B$15,Model!$B$22,0))/(1-Model!$B$9)/(1+Model!$B$18)^28))</f>
        <v/>
      </c>
      <c r="AQ9" s="7">
        <f>IF(A9="","",IF((A9+29)&gt;Model!$B$4,0,MAX(0,Model!$B$6-IF((A9+29)&gt;=Model!$B$11,Model!$B$20,0)-IF(29&lt;Model!$B$15,Model!$B$22,0))/(1-Model!$B$9)/(1+Model!$B$18)^29))</f>
        <v/>
      </c>
      <c r="AR9" s="7">
        <f>IF(A9="","",IF((A9+30)&gt;Model!$B$4,0,MAX(0,Model!$B$6-IF((A9+30)&gt;=Model!$B$11,Model!$B$20,0)-IF(30&lt;Model!$B$15,Model!$B$22,0))/(1-Model!$B$9)/(1+Model!$B$18)^30))</f>
        <v/>
      </c>
      <c r="AS9" s="7">
        <f>IF(A9="","",IF((A9+31)&gt;Model!$B$4,0,MAX(0,Model!$B$6-IF((A9+31)&gt;=Model!$B$11,Model!$B$20,0)-IF(31&lt;Model!$B$15,Model!$B$22,0))/(1-Model!$B$9)/(1+Model!$B$18)^31))</f>
        <v/>
      </c>
      <c r="AT9" s="7">
        <f>IF(A9="","",IF((A9+32)&gt;Model!$B$4,0,MAX(0,Model!$B$6-IF((A9+32)&gt;=Model!$B$11,Model!$B$20,0)-IF(32&lt;Model!$B$15,Model!$B$22,0))/(1-Model!$B$9)/(1+Model!$B$18)^32))</f>
        <v/>
      </c>
      <c r="AU9" s="7">
        <f>IF(A9="","",IF((A9+33)&gt;Model!$B$4,0,MAX(0,Model!$B$6-IF((A9+33)&gt;=Model!$B$11,Model!$B$20,0)-IF(33&lt;Model!$B$15,Model!$B$22,0))/(1-Model!$B$9)/(1+Model!$B$18)^33))</f>
        <v/>
      </c>
      <c r="AV9" s="7">
        <f>IF(A9="","",IF((A9+34)&gt;Model!$B$4,0,MAX(0,Model!$B$6-IF((A9+34)&gt;=Model!$B$11,Model!$B$20,0)-IF(34&lt;Model!$B$15,Model!$B$22,0))/(1-Model!$B$9)/(1+Model!$B$18)^34))</f>
        <v/>
      </c>
      <c r="AW9" s="7">
        <f>IF(A9="","",IF((A9+35)&gt;Model!$B$4,0,MAX(0,Model!$B$6-IF((A9+35)&gt;=Model!$B$11,Model!$B$20,0)-IF(35&lt;Model!$B$15,Model!$B$22,0))/(1-Model!$B$9)/(1+Model!$B$18)^35))</f>
        <v/>
      </c>
      <c r="AX9" s="7">
        <f>IF(A9="","",IF((A9+36)&gt;Model!$B$4,0,MAX(0,Model!$B$6-IF((A9+36)&gt;=Model!$B$11,Model!$B$20,0)-IF(36&lt;Model!$B$15,Model!$B$22,0))/(1-Model!$B$9)/(1+Model!$B$18)^36))</f>
        <v/>
      </c>
      <c r="AY9" s="7">
        <f>IF(A9="","",IF((A9+37)&gt;Model!$B$4,0,MAX(0,Model!$B$6-IF((A9+37)&gt;=Model!$B$11,Model!$B$20,0)-IF(37&lt;Model!$B$15,Model!$B$22,0))/(1-Model!$B$9)/(1+Model!$B$18)^37))</f>
        <v/>
      </c>
      <c r="AZ9" s="7">
        <f>IF(A9="","",IF((A9+38)&gt;Model!$B$4,0,MAX(0,Model!$B$6-IF((A9+38)&gt;=Model!$B$11,Model!$B$20,0)-IF(38&lt;Model!$B$15,Model!$B$22,0))/(1-Model!$B$9)/(1+Model!$B$18)^38))</f>
        <v/>
      </c>
      <c r="BA9" s="7">
        <f>IF(A9="","",IF((A9+39)&gt;Model!$B$4,0,MAX(0,Model!$B$6-IF((A9+39)&gt;=Model!$B$11,Model!$B$20,0)-IF(39&lt;Model!$B$15,Model!$B$22,0))/(1-Model!$B$9)/(1+Model!$B$18)^39))</f>
        <v/>
      </c>
      <c r="BB9" s="7">
        <f>IF(A9="","",IF((A9+40)&gt;Model!$B$4,0,MAX(0,Model!$B$6-IF((A9+40)&gt;=Model!$B$11,Model!$B$20,0)-IF(40&lt;Model!$B$15,Model!$B$22,0))/(1-Model!$B$9)/(1+Model!$B$18)^40))</f>
        <v/>
      </c>
      <c r="BC9" s="7">
        <f>IF(A9="","",IF((A9+41)&gt;Model!$B$4,0,MAX(0,Model!$B$6-IF((A9+41)&gt;=Model!$B$11,Model!$B$20,0)-IF(41&lt;Model!$B$15,Model!$B$22,0))/(1-Model!$B$9)/(1+Model!$B$18)^41))</f>
        <v/>
      </c>
      <c r="BD9" s="7">
        <f>IF(A9="","",IF((A9+42)&gt;Model!$B$4,0,MAX(0,Model!$B$6-IF((A9+42)&gt;=Model!$B$11,Model!$B$20,0)-IF(42&lt;Model!$B$15,Model!$B$22,0))/(1-Model!$B$9)/(1+Model!$B$18)^42))</f>
        <v/>
      </c>
      <c r="BE9" s="7">
        <f>IF(A9="","",IF((A9+43)&gt;Model!$B$4,0,MAX(0,Model!$B$6-IF((A9+43)&gt;=Model!$B$11,Model!$B$20,0)-IF(43&lt;Model!$B$15,Model!$B$22,0))/(1-Model!$B$9)/(1+Model!$B$18)^43))</f>
        <v/>
      </c>
      <c r="BF9" s="7">
        <f>IF(A9="","",IF((A9+44)&gt;Model!$B$4,0,MAX(0,Model!$B$6-IF((A9+44)&gt;=Model!$B$11,Model!$B$20,0)-IF(44&lt;Model!$B$15,Model!$B$22,0))/(1-Model!$B$9)/(1+Model!$B$18)^44))</f>
        <v/>
      </c>
      <c r="BG9" s="7">
        <f>IF(A9="","",IF((A9+45)&gt;Model!$B$4,0,MAX(0,Model!$B$6-IF((A9+45)&gt;=Model!$B$11,Model!$B$20,0)-IF(45&lt;Model!$B$15,Model!$B$22,0))/(1-Model!$B$9)/(1+Model!$B$18)^45))</f>
        <v/>
      </c>
      <c r="BH9" s="7">
        <f>IF(A9="","",IF((A9+46)&gt;Model!$B$4,0,MAX(0,Model!$B$6-IF((A9+46)&gt;=Model!$B$11,Model!$B$20,0)-IF(46&lt;Model!$B$15,Model!$B$22,0))/(1-Model!$B$9)/(1+Model!$B$18)^46))</f>
        <v/>
      </c>
      <c r="BI9" s="7">
        <f>IF(A9="","",IF((A9+47)&gt;Model!$B$4,0,MAX(0,Model!$B$6-IF((A9+47)&gt;=Model!$B$11,Model!$B$20,0)-IF(47&lt;Model!$B$15,Model!$B$22,0))/(1-Model!$B$9)/(1+Model!$B$18)^47))</f>
        <v/>
      </c>
      <c r="BJ9" s="7">
        <f>IF(A9="","",IF((A9+48)&gt;Model!$B$4,0,MAX(0,Model!$B$6-IF((A9+48)&gt;=Model!$B$11,Model!$B$20,0)-IF(48&lt;Model!$B$15,Model!$B$22,0))/(1-Model!$B$9)/(1+Model!$B$18)^48))</f>
        <v/>
      </c>
      <c r="BK9" s="7">
        <f>IF(A9="","",IF((A9+49)&gt;Model!$B$4,0,MAX(0,Model!$B$6-IF((A9+49)&gt;=Model!$B$11,Model!$B$20,0)-IF(49&lt;Model!$B$15,Model!$B$22,0))/(1-Model!$B$9)/(1+Model!$B$18)^49))</f>
        <v/>
      </c>
      <c r="BL9" s="7">
        <f>IF(A9="","",IF((A9+50)&gt;Model!$B$4,0,MAX(0,Model!$B$6-IF((A9+50)&gt;=Model!$B$11,Model!$B$20,0)-IF(50&lt;Model!$B$15,Model!$B$22,0))/(1-Model!$B$9)/(1+Model!$B$18)^50))</f>
        <v/>
      </c>
      <c r="BM9" s="7">
        <f>IF(A9="","",IF((A9+51)&gt;Model!$B$4,0,MAX(0,Model!$B$6-IF((A9+51)&gt;=Model!$B$11,Model!$B$20,0)-IF(51&lt;Model!$B$15,Model!$B$22,0))/(1-Model!$B$9)/(1+Model!$B$18)^51))</f>
        <v/>
      </c>
      <c r="BN9" s="7">
        <f>IF(A9="","",IF((A9+52)&gt;Model!$B$4,0,MAX(0,Model!$B$6-IF((A9+52)&gt;=Model!$B$11,Model!$B$20,0)-IF(52&lt;Model!$B$15,Model!$B$22,0))/(1-Model!$B$9)/(1+Model!$B$18)^52))</f>
        <v/>
      </c>
      <c r="BO9" s="7">
        <f>IF(A9="","",IF((A9+53)&gt;Model!$B$4,0,MAX(0,Model!$B$6-IF((A9+53)&gt;=Model!$B$11,Model!$B$20,0)-IF(53&lt;Model!$B$15,Model!$B$22,0))/(1-Model!$B$9)/(1+Model!$B$18)^53))</f>
        <v/>
      </c>
      <c r="BP9" s="7">
        <f>IF(A9="","",IF((A9+54)&gt;Model!$B$4,0,MAX(0,Model!$B$6-IF((A9+54)&gt;=Model!$B$11,Model!$B$20,0)-IF(54&lt;Model!$B$15,Model!$B$22,0))/(1-Model!$B$9)/(1+Model!$B$18)^54))</f>
        <v/>
      </c>
      <c r="BQ9" s="7">
        <f>IF(A9="","",IF((A9+55)&gt;Model!$B$4,0,MAX(0,Model!$B$6-IF((A9+55)&gt;=Model!$B$11,Model!$B$20,0)-IF(55&lt;Model!$B$15,Model!$B$22,0))/(1-Model!$B$9)/(1+Model!$B$18)^55))</f>
        <v/>
      </c>
      <c r="BR9" s="7">
        <f>IF(A9="","",IF((A9+56)&gt;Model!$B$4,0,MAX(0,Model!$B$6-IF((A9+56)&gt;=Model!$B$11,Model!$B$20,0)-IF(56&lt;Model!$B$15,Model!$B$22,0))/(1-Model!$B$9)/(1+Model!$B$18)^56))</f>
        <v/>
      </c>
      <c r="BS9" s="7">
        <f>IF(A9="","",IF((A9+57)&gt;Model!$B$4,0,MAX(0,Model!$B$6-IF((A9+57)&gt;=Model!$B$11,Model!$B$20,0)-IF(57&lt;Model!$B$15,Model!$B$22,0))/(1-Model!$B$9)/(1+Model!$B$18)^57))</f>
        <v/>
      </c>
      <c r="BT9" s="7">
        <f>IF(A9="","",IF((A9+58)&gt;Model!$B$4,0,MAX(0,Model!$B$6-IF((A9+58)&gt;=Model!$B$11,Model!$B$20,0)-IF(58&lt;Model!$B$15,Model!$B$22,0))/(1-Model!$B$9)/(1+Model!$B$18)^58))</f>
        <v/>
      </c>
      <c r="BU9" s="7">
        <f>IF(A9="","",IF((A9+59)&gt;Model!$B$4,0,MAX(0,Model!$B$6-IF((A9+59)&gt;=Model!$B$11,Model!$B$20,0)-IF(59&lt;Model!$B$15,Model!$B$22,0))/(1-Model!$B$9)/(1+Model!$B$18)^59))</f>
        <v/>
      </c>
      <c r="BV9" s="7">
        <f>IF(A9="","",IF((A9+60)&gt;Model!$B$4,0,MAX(0,Model!$B$6-IF((A9+60)&gt;=Model!$B$11,Model!$B$20,0)-IF(60&lt;Model!$B$15,Model!$B$22,0))/(1-Model!$B$9)/(1+Model!$B$18)^60))</f>
        <v/>
      </c>
      <c r="BW9" s="7">
        <f>IF(A9="","",IF((A9+61)&gt;Model!$B$4,0,MAX(0,Model!$B$6-IF((A9+61)&gt;=Model!$B$11,Model!$B$20,0)-IF(61&lt;Model!$B$15,Model!$B$22,0))/(1-Model!$B$9)/(1+Model!$B$18)^61))</f>
        <v/>
      </c>
      <c r="BX9" s="7">
        <f>IF(A9="","",IF((A9+62)&gt;Model!$B$4,0,MAX(0,Model!$B$6-IF((A9+62)&gt;=Model!$B$11,Model!$B$20,0)-IF(62&lt;Model!$B$15,Model!$B$22,0))/(1-Model!$B$9)/(1+Model!$B$18)^62))</f>
        <v/>
      </c>
      <c r="BY9" s="7">
        <f>IF(A9="","",IF((A9+63)&gt;Model!$B$4,0,MAX(0,Model!$B$6-IF((A9+63)&gt;=Model!$B$11,Model!$B$20,0)-IF(63&lt;Model!$B$15,Model!$B$22,0))/(1-Model!$B$9)/(1+Model!$B$18)^63))</f>
        <v/>
      </c>
      <c r="BZ9" s="7">
        <f>IF(A9="","",IF((A9+64)&gt;Model!$B$4,0,MAX(0,Model!$B$6-IF((A9+64)&gt;=Model!$B$11,Model!$B$20,0)-IF(64&lt;Model!$B$15,Model!$B$22,0))/(1-Model!$B$9)/(1+Model!$B$18)^64))</f>
        <v/>
      </c>
      <c r="CA9" s="7">
        <f>IF(A9="","",IF((A9+65)&gt;Model!$B$4,0,MAX(0,Model!$B$6-IF((A9+65)&gt;=Model!$B$11,Model!$B$20,0)-IF(65&lt;Model!$B$15,Model!$B$22,0))/(1-Model!$B$9)/(1+Model!$B$18)^65))</f>
        <v/>
      </c>
      <c r="CB9" s="7">
        <f>IF(A9="","",IF((A9+66)&gt;Model!$B$4,0,MAX(0,Model!$B$6-IF((A9+66)&gt;=Model!$B$11,Model!$B$20,0)-IF(66&lt;Model!$B$15,Model!$B$22,0))/(1-Model!$B$9)/(1+Model!$B$18)^66))</f>
        <v/>
      </c>
      <c r="CC9" s="7">
        <f>IF(A9="","",IF((A9+67)&gt;Model!$B$4,0,MAX(0,Model!$B$6-IF((A9+67)&gt;=Model!$B$11,Model!$B$20,0)-IF(67&lt;Model!$B$15,Model!$B$22,0))/(1-Model!$B$9)/(1+Model!$B$18)^67))</f>
        <v/>
      </c>
      <c r="CD9" s="7">
        <f>IF(A9="","",IF((A9+68)&gt;Model!$B$4,0,MAX(0,Model!$B$6-IF((A9+68)&gt;=Model!$B$11,Model!$B$20,0)-IF(68&lt;Model!$B$15,Model!$B$22,0))/(1-Model!$B$9)/(1+Model!$B$18)^68))</f>
        <v/>
      </c>
      <c r="CE9" s="7">
        <f>IF(A9="","",IF((A9+69)&gt;Model!$B$4,0,MAX(0,Model!$B$6-IF((A9+69)&gt;=Model!$B$11,Model!$B$20,0)-IF(69&lt;Model!$B$15,Model!$B$22,0))/(1-Model!$B$9)/(1+Model!$B$18)^69))</f>
        <v/>
      </c>
      <c r="CF9" s="7">
        <f>IF(A9="","",IF((A9+70)&gt;Model!$B$4,0,MAX(0,Model!$B$6-IF((A9+70)&gt;=Model!$B$11,Model!$B$20,0)-IF(70&lt;Model!$B$15,Model!$B$22,0))/(1-Model!$B$9)/(1+Model!$B$18)^70))</f>
        <v/>
      </c>
      <c r="CG9" s="7">
        <f>IF(A9="","",IF((A9+71)&gt;Model!$B$4,0,MAX(0,Model!$B$6-IF((A9+71)&gt;=Model!$B$11,Model!$B$20,0)-IF(71&lt;Model!$B$15,Model!$B$22,0))/(1-Model!$B$9)/(1+Model!$B$18)^71))</f>
        <v/>
      </c>
      <c r="CH9" s="7">
        <f>IF(A9="","",IF((A9+72)&gt;Model!$B$4,0,MAX(0,Model!$B$6-IF((A9+72)&gt;=Model!$B$11,Model!$B$20,0)-IF(72&lt;Model!$B$15,Model!$B$22,0))/(1-Model!$B$9)/(1+Model!$B$18)^72))</f>
        <v/>
      </c>
      <c r="CI9" s="7">
        <f>IF(A9="","",IF((A9+73)&gt;Model!$B$4,0,MAX(0,Model!$B$6-IF((A9+73)&gt;=Model!$B$11,Model!$B$20,0)-IF(73&lt;Model!$B$15,Model!$B$22,0))/(1-Model!$B$9)/(1+Model!$B$18)^73))</f>
        <v/>
      </c>
      <c r="CJ9" s="7">
        <f>IF(A9="","",IF((A9+74)&gt;Model!$B$4,0,MAX(0,Model!$B$6-IF((A9+74)&gt;=Model!$B$11,Model!$B$20,0)-IF(74&lt;Model!$B$15,Model!$B$22,0))/(1-Model!$B$9)/(1+Model!$B$18)^74))</f>
        <v/>
      </c>
      <c r="CK9" s="7">
        <f>IF(A9="","",IF((A9+75)&gt;Model!$B$4,0,MAX(0,Model!$B$6-IF((A9+75)&gt;=Model!$B$11,Model!$B$20,0)-IF(75&lt;Model!$B$15,Model!$B$22,0))/(1-Model!$B$9)/(1+Model!$B$18)^75))</f>
        <v/>
      </c>
      <c r="CL9" s="7">
        <f>IF(A9="","",IF((A9+76)&gt;Model!$B$4,0,MAX(0,Model!$B$6-IF((A9+76)&gt;=Model!$B$11,Model!$B$20,0)-IF(76&lt;Model!$B$15,Model!$B$22,0))/(1-Model!$B$9)/(1+Model!$B$18)^76))</f>
        <v/>
      </c>
      <c r="CM9" s="7">
        <f>IF(A9="","",IF((A9+77)&gt;Model!$B$4,0,MAX(0,Model!$B$6-IF((A9+77)&gt;=Model!$B$11,Model!$B$20,0)-IF(77&lt;Model!$B$15,Model!$B$22,0))/(1-Model!$B$9)/(1+Model!$B$18)^77))</f>
        <v/>
      </c>
      <c r="CN9" s="7">
        <f>IF(A9="","",IF((A9+78)&gt;Model!$B$4,0,MAX(0,Model!$B$6-IF((A9+78)&gt;=Model!$B$11,Model!$B$20,0)-IF(78&lt;Model!$B$15,Model!$B$22,0))/(1-Model!$B$9)/(1+Model!$B$18)^78))</f>
        <v/>
      </c>
      <c r="CO9" s="7">
        <f>IF(A9="","",IF((A9+79)&gt;Model!$B$4,0,MAX(0,Model!$B$6-IF((A9+79)&gt;=Model!$B$11,Model!$B$20,0)-IF(79&lt;Model!$B$15,Model!$B$22,0))/(1-Model!$B$9)/(1+Model!$B$18)^79))</f>
        <v/>
      </c>
      <c r="CP9" s="7">
        <f>IF(A9="","",IF((A9+80)&gt;Model!$B$4,0,MAX(0,Model!$B$6-IF((A9+80)&gt;=Model!$B$11,Model!$B$20,0)-IF(80&lt;Model!$B$15,Model!$B$22,0))/(1-Model!$B$9)/(1+Model!$B$18)^80))</f>
        <v/>
      </c>
      <c r="CQ9" s="7">
        <f>IF(A9="","",IF((A9+81)&gt;Model!$B$4,0,MAX(0,Model!$B$6-IF((A9+81)&gt;=Model!$B$11,Model!$B$20,0)-IF(81&lt;Model!$B$15,Model!$B$22,0))/(1-Model!$B$9)/(1+Model!$B$18)^81))</f>
        <v/>
      </c>
      <c r="CR9" s="7">
        <f>IF(A9="","",IF((A9+82)&gt;Model!$B$4,0,MAX(0,Model!$B$6-IF((A9+82)&gt;=Model!$B$11,Model!$B$20,0)-IF(82&lt;Model!$B$15,Model!$B$22,0))/(1-Model!$B$9)/(1+Model!$B$18)^82))</f>
        <v/>
      </c>
      <c r="CS9" s="7">
        <f>IF(A9="","",IF((A9+83)&gt;Model!$B$4,0,MAX(0,Model!$B$6-IF((A9+83)&gt;=Model!$B$11,Model!$B$20,0)-IF(83&lt;Model!$B$15,Model!$B$22,0))/(1-Model!$B$9)/(1+Model!$B$18)^83))</f>
        <v/>
      </c>
      <c r="CT9" s="7">
        <f>IF(A9="","",IF((A9+84)&gt;Model!$B$4,0,MAX(0,Model!$B$6-IF((A9+84)&gt;=Model!$B$11,Model!$B$20,0)-IF(84&lt;Model!$B$15,Model!$B$22,0))/(1-Model!$B$9)/(1+Model!$B$18)^84))</f>
        <v/>
      </c>
      <c r="CU9" s="7">
        <f>IF(A9="","",IF((A9+85)&gt;Model!$B$4,0,MAX(0,Model!$B$6-IF((A9+85)&gt;=Model!$B$11,Model!$B$20,0)-IF(85&lt;Model!$B$15,Model!$B$22,0))/(1-Model!$B$9)/(1+Model!$B$18)^85))</f>
        <v/>
      </c>
      <c r="CV9" s="7">
        <f>IF(A9="","",IF((A9+86)&gt;Model!$B$4,0,MAX(0,Model!$B$6-IF((A9+86)&gt;=Model!$B$11,Model!$B$20,0)-IF(86&lt;Model!$B$15,Model!$B$22,0))/(1-Model!$B$9)/(1+Model!$B$18)^86))</f>
        <v/>
      </c>
      <c r="CW9" s="7">
        <f>IF(A9="","",IF((A9+87)&gt;Model!$B$4,0,MAX(0,Model!$B$6-IF((A9+87)&gt;=Model!$B$11,Model!$B$20,0)-IF(87&lt;Model!$B$15,Model!$B$22,0))/(1-Model!$B$9)/(1+Model!$B$18)^87))</f>
        <v/>
      </c>
      <c r="CX9" s="7">
        <f>IF(A9="","",IF((A9+88)&gt;Model!$B$4,0,MAX(0,Model!$B$6-IF((A9+88)&gt;=Model!$B$11,Model!$B$20,0)-IF(88&lt;Model!$B$15,Model!$B$22,0))/(1-Model!$B$9)/(1+Model!$B$18)^88))</f>
        <v/>
      </c>
      <c r="CY9" s="7">
        <f>IF(A9="","",IF((A9+89)&gt;Model!$B$4,0,MAX(0,Model!$B$6-IF((A9+89)&gt;=Model!$B$11,Model!$B$20,0)-IF(89&lt;Model!$B$15,Model!$B$22,0))/(1-Model!$B$9)/(1+Model!$B$18)^89))</f>
        <v/>
      </c>
      <c r="CZ9" s="7">
        <f>IF(A9="","",IF((A9+90)&gt;Model!$B$4,0,MAX(0,Model!$B$6-IF((A9+90)&gt;=Model!$B$11,Model!$B$20,0)-IF(90&lt;Model!$B$15,Model!$B$22,0))/(1-Model!$B$9)/(1+Model!$B$18)^90))</f>
        <v/>
      </c>
      <c r="DA9" s="7">
        <f>IF(A9="","",IF((A9+91)&gt;Model!$B$4,0,MAX(0,Model!$B$6-IF((A9+91)&gt;=Model!$B$11,Model!$B$20,0)-IF(91&lt;Model!$B$15,Model!$B$22,0))/(1-Model!$B$9)/(1+Model!$B$18)^91))</f>
        <v/>
      </c>
      <c r="DB9" s="7">
        <f>IF(A9="","",IF((A9+92)&gt;Model!$B$4,0,MAX(0,Model!$B$6-IF((A9+92)&gt;=Model!$B$11,Model!$B$20,0)-IF(92&lt;Model!$B$15,Model!$B$22,0))/(1-Model!$B$9)/(1+Model!$B$18)^92))</f>
        <v/>
      </c>
      <c r="DC9" s="7">
        <f>IF(A9="","",IF((A9+93)&gt;Model!$B$4,0,MAX(0,Model!$B$6-IF((A9+93)&gt;=Model!$B$11,Model!$B$20,0)-IF(93&lt;Model!$B$15,Model!$B$22,0))/(1-Model!$B$9)/(1+Model!$B$18)^93))</f>
        <v/>
      </c>
      <c r="DD9" s="7">
        <f>IF(A9="","",IF((A9+94)&gt;Model!$B$4,0,MAX(0,Model!$B$6-IF((A9+94)&gt;=Model!$B$11,Model!$B$20,0)-IF(94&lt;Model!$B$15,Model!$B$22,0))/(1-Model!$B$9)/(1+Model!$B$18)^94))</f>
        <v/>
      </c>
      <c r="DE9" s="7">
        <f>IF(A9="","",IF((A9+95)&gt;Model!$B$4,0,MAX(0,Model!$B$6-IF((A9+95)&gt;=Model!$B$11,Model!$B$20,0)-IF(95&lt;Model!$B$15,Model!$B$22,0))/(1-Model!$B$9)/(1+Model!$B$18)^95))</f>
        <v/>
      </c>
      <c r="DF9" s="7">
        <f>IF(A9="","",IF((A9+96)&gt;Model!$B$4,0,MAX(0,Model!$B$6-IF((A9+96)&gt;=Model!$B$11,Model!$B$20,0)-IF(96&lt;Model!$B$15,Model!$B$22,0))/(1-Model!$B$9)/(1+Model!$B$18)^96))</f>
        <v/>
      </c>
      <c r="DG9" s="7">
        <f>IF(A9="","",IF((A9+97)&gt;Model!$B$4,0,MAX(0,Model!$B$6-IF((A9+97)&gt;=Model!$B$11,Model!$B$20,0)-IF(97&lt;Model!$B$15,Model!$B$22,0))/(1-Model!$B$9)/(1+Model!$B$18)^97))</f>
        <v/>
      </c>
      <c r="DH9" s="7">
        <f>IF(A9="","",IF((A9+98)&gt;Model!$B$4,0,MAX(0,Model!$B$6-IF((A9+98)&gt;=Model!$B$11,Model!$B$20,0)-IF(98&lt;Model!$B$15,Model!$B$22,0))/(1-Model!$B$9)/(1+Model!$B$18)^98))</f>
        <v/>
      </c>
      <c r="DI9" s="7">
        <f>IF(A9="","",IF((A9+99)&gt;Model!$B$4,0,MAX(0,Model!$B$6-IF((A9+99)&gt;=Model!$B$11,Model!$B$20,0)-IF(99&lt;Model!$B$15,Model!$B$22,0))/(1-Model!$B$9)/(1+Model!$B$18)^99))</f>
        <v/>
      </c>
      <c r="DJ9" s="7">
        <f>IF(A9="","",IF((A9+100)&gt;Model!$B$4,0,MAX(0,Model!$B$6-IF((A9+100)&gt;=Model!$B$11,Model!$B$20,0)-IF(100&lt;Model!$B$15,Model!$B$22,0))/(1-Model!$B$9)/(1+Model!$B$18)^100))</f>
        <v/>
      </c>
      <c r="DK9" s="7">
        <f>IF(A9="","",IF((A9+101)&gt;Model!$B$4,0,MAX(0,Model!$B$6-IF((A9+101)&gt;=Model!$B$11,Model!$B$20,0)-IF(101&lt;Model!$B$15,Model!$B$22,0))/(1-Model!$B$9)/(1+Model!$B$18)^101))</f>
        <v/>
      </c>
      <c r="DL9" s="7">
        <f>IF(A9="","",IF((A9+102)&gt;Model!$B$4,0,MAX(0,Model!$B$6-IF((A9+102)&gt;=Model!$B$11,Model!$B$20,0)-IF(102&lt;Model!$B$15,Model!$B$22,0))/(1-Model!$B$9)/(1+Model!$B$18)^102))</f>
        <v/>
      </c>
      <c r="DM9" s="7">
        <f>IF(A9="","",IF((A9+103)&gt;Model!$B$4,0,MAX(0,Model!$B$6-IF((A9+103)&gt;=Model!$B$11,Model!$B$20,0)-IF(103&lt;Model!$B$15,Model!$B$22,0))/(1-Model!$B$9)/(1+Model!$B$18)^103))</f>
        <v/>
      </c>
      <c r="DN9" s="7">
        <f>IF(A9="","",IF((A9+104)&gt;Model!$B$4,0,MAX(0,Model!$B$6-IF((A9+104)&gt;=Model!$B$11,Model!$B$20,0)-IF(104&lt;Model!$B$15,Model!$B$22,0))/(1-Model!$B$9)/(1+Model!$B$18)^104))</f>
        <v/>
      </c>
      <c r="DO9" s="7">
        <f>IF(A9="","",IF((A9+105)&gt;Model!$B$4,0,MAX(0,Model!$B$6-IF((A9+105)&gt;=Model!$B$11,Model!$B$20,0)-IF(105&lt;Model!$B$15,Model!$B$22,0))/(1-Model!$B$9)/(1+Model!$B$18)^105))</f>
        <v/>
      </c>
      <c r="DP9" s="7">
        <f>IF(A9="","",IF((A9+106)&gt;Model!$B$4,0,MAX(0,Model!$B$6-IF((A9+106)&gt;=Model!$B$11,Model!$B$20,0)-IF(106&lt;Model!$B$15,Model!$B$22,0))/(1-Model!$B$9)/(1+Model!$B$18)^106))</f>
        <v/>
      </c>
      <c r="DQ9" s="7">
        <f>IF(A9="","",IF((A9+107)&gt;Model!$B$4,0,MAX(0,Model!$B$6-IF((A9+107)&gt;=Model!$B$11,Model!$B$20,0)-IF(107&lt;Model!$B$15,Model!$B$22,0))/(1-Model!$B$9)/(1+Model!$B$18)^107))</f>
        <v/>
      </c>
      <c r="DR9" s="7">
        <f>IF(A9="","",IF((A9+108)&gt;Model!$B$4,0,MAX(0,Model!$B$6-IF((A9+108)&gt;=Model!$B$11,Model!$B$20,0)-IF(108&lt;Model!$B$15,Model!$B$22,0))/(1-Model!$B$9)/(1+Model!$B$18)^108))</f>
        <v/>
      </c>
      <c r="DS9" s="7">
        <f>IF(A9="","",IF((A9+109)&gt;Model!$B$4,0,MAX(0,Model!$B$6-IF((A9+109)&gt;=Model!$B$11,Model!$B$20,0)-IF(109&lt;Model!$B$15,Model!$B$22,0))/(1-Model!$B$9)/(1+Model!$B$18)^109))</f>
        <v/>
      </c>
      <c r="DT9" s="7">
        <f>IF(A9="","",IF((A9+110)&gt;Model!$B$4,0,MAX(0,Model!$B$6-IF((A9+110)&gt;=Model!$B$11,Model!$B$20,0)-IF(110&lt;Model!$B$15,Model!$B$22,0))/(1-Model!$B$9)/(1+Model!$B$18)^110))</f>
        <v/>
      </c>
      <c r="DU9" s="7">
        <f>IF(A9="","",IF((A9+111)&gt;Model!$B$4,0,MAX(0,Model!$B$6-IF((A9+111)&gt;=Model!$B$11,Model!$B$20,0)-IF(111&lt;Model!$B$15,Model!$B$22,0))/(1-Model!$B$9)/(1+Model!$B$18)^111))</f>
        <v/>
      </c>
      <c r="DV9" s="7">
        <f>IF(A9="","",IF((A9+112)&gt;Model!$B$4,0,MAX(0,Model!$B$6-IF((A9+112)&gt;=Model!$B$11,Model!$B$20,0)-IF(112&lt;Model!$B$15,Model!$B$22,0))/(1-Model!$B$9)/(1+Model!$B$18)^112))</f>
        <v/>
      </c>
      <c r="DW9" s="7">
        <f>IF(A9="","",IF((A9+113)&gt;Model!$B$4,0,MAX(0,Model!$B$6-IF((A9+113)&gt;=Model!$B$11,Model!$B$20,0)-IF(113&lt;Model!$B$15,Model!$B$22,0))/(1-Model!$B$9)/(1+Model!$B$18)^113))</f>
        <v/>
      </c>
      <c r="DX9" s="7">
        <f>IF(A9="","",IF((A9+114)&gt;Model!$B$4,0,MAX(0,Model!$B$6-IF((A9+114)&gt;=Model!$B$11,Model!$B$20,0)-IF(114&lt;Model!$B$15,Model!$B$22,0))/(1-Model!$B$9)/(1+Model!$B$18)^114))</f>
        <v/>
      </c>
      <c r="DY9" s="7">
        <f>IF(A9="","",IF((A9+115)&gt;Model!$B$4,0,MAX(0,Model!$B$6-IF((A9+115)&gt;=Model!$B$11,Model!$B$20,0)-IF(115&lt;Model!$B$15,Model!$B$22,0))/(1-Model!$B$9)/(1+Model!$B$18)^115))</f>
        <v/>
      </c>
      <c r="DZ9" s="7">
        <f>IF(A9="","",IF((A9+116)&gt;Model!$B$4,0,MAX(0,Model!$B$6-IF((A9+116)&gt;=Model!$B$11,Model!$B$20,0)-IF(116&lt;Model!$B$15,Model!$B$22,0))/(1-Model!$B$9)/(1+Model!$B$18)^116))</f>
        <v/>
      </c>
      <c r="EA9" s="7">
        <f>IF(A9="","",IF((A9+117)&gt;Model!$B$4,0,MAX(0,Model!$B$6-IF((A9+117)&gt;=Model!$B$11,Model!$B$20,0)-IF(117&lt;Model!$B$15,Model!$B$22,0))/(1-Model!$B$9)/(1+Model!$B$18)^117))</f>
        <v/>
      </c>
      <c r="EB9" s="7">
        <f>IF(A9="","",IF((A9+118)&gt;Model!$B$4,0,MAX(0,Model!$B$6-IF((A9+118)&gt;=Model!$B$11,Model!$B$20,0)-IF(118&lt;Model!$B$15,Model!$B$22,0))/(1-Model!$B$9)/(1+Model!$B$18)^118))</f>
        <v/>
      </c>
      <c r="EC9" s="7">
        <f>IF(A9="","",IF((A9+119)&gt;Model!$B$4,0,MAX(0,Model!$B$6-IF((A9+119)&gt;=Model!$B$11,Model!$B$20,0)-IF(119&lt;Model!$B$15,Model!$B$22,0))/(1-Model!$B$9)/(1+Model!$B$18)^119))</f>
        <v/>
      </c>
      <c r="ED9" s="7">
        <f>IF(A9="","",IF((A9+120)&gt;Model!$B$4,0,MAX(0,Model!$B$6-IF((A9+120)&gt;=Model!$B$11,Model!$B$20,0)-IF(120&lt;Model!$B$15,Model!$B$22,0))/(1-Model!$B$9)/(1+Model!$B$18)^120))</f>
        <v/>
      </c>
    </row>
    <row r="10">
      <c r="A10">
        <f>IF(Model!$B$10+ROW()-2&lt;=Model!$B$4,Model!$B$10+ROW()-2,"")</f>
        <v/>
      </c>
      <c r="B10">
        <f>IF(A10="","",A10-Model!$B$10)</f>
        <v/>
      </c>
      <c r="C10" s="7">
        <f>IF(A10="","",Model!$B$5*(1+Model!$B$18)^B10)</f>
        <v/>
      </c>
      <c r="D10" s="7">
        <f>IF(A10="","",SUM(N10:ED10))</f>
        <v/>
      </c>
      <c r="E10" s="7">
        <f>IF(A10="","",IF(A10&gt;=Model!$B$11,Model!$B$20,0))</f>
        <v/>
      </c>
      <c r="F10" s="7">
        <f>IF(A10="","",IF(Model!$B$15&gt;0,Model!$B$22,0))</f>
        <v/>
      </c>
      <c r="G10" s="7">
        <f>IF(A10="","",E10+F10)</f>
        <v/>
      </c>
      <c r="H10" s="7">
        <f>IF(A10="","",MAX(0,Model!$B$6-G10))</f>
        <v/>
      </c>
      <c r="I10" s="7">
        <f>IF(A10="","",H10/(1-Model!$B$9))</f>
        <v/>
      </c>
      <c r="J10" s="7">
        <f>IF(A10="","",C10-D10)</f>
        <v/>
      </c>
      <c r="K10">
        <f>IF(A10="","",C10&gt;=D10)</f>
        <v/>
      </c>
      <c r="L10" s="7">
        <f>IF(A10="","",IF(A10&gt;=Model!$B$11,Model!$B$19*(1+Model!$B$13)^B10,0))</f>
        <v/>
      </c>
      <c r="M10" s="7">
        <f>IF(A10="","",IF(Model!$B$15&gt;0,Model!$B$21*(1+Model!$B$13)^B10,0))</f>
        <v/>
      </c>
      <c r="N10" s="7">
        <f>IF(A10="","",IF((A10+0)&gt;Model!$B$4,0,MAX(0,Model!$B$6-IF((A10+0)&gt;=Model!$B$11,Model!$B$20,0)-IF(0&lt;Model!$B$15,Model!$B$22,0))/(1-Model!$B$9)/(1+Model!$B$18)^0))</f>
        <v/>
      </c>
      <c r="O10" s="7">
        <f>IF(A10="","",IF((A10+1)&gt;Model!$B$4,0,MAX(0,Model!$B$6-IF((A10+1)&gt;=Model!$B$11,Model!$B$20,0)-IF(1&lt;Model!$B$15,Model!$B$22,0))/(1-Model!$B$9)/(1+Model!$B$18)^1))</f>
        <v/>
      </c>
      <c r="P10" s="7">
        <f>IF(A10="","",IF((A10+2)&gt;Model!$B$4,0,MAX(0,Model!$B$6-IF((A10+2)&gt;=Model!$B$11,Model!$B$20,0)-IF(2&lt;Model!$B$15,Model!$B$22,0))/(1-Model!$B$9)/(1+Model!$B$18)^2))</f>
        <v/>
      </c>
      <c r="Q10" s="7">
        <f>IF(A10="","",IF((A10+3)&gt;Model!$B$4,0,MAX(0,Model!$B$6-IF((A10+3)&gt;=Model!$B$11,Model!$B$20,0)-IF(3&lt;Model!$B$15,Model!$B$22,0))/(1-Model!$B$9)/(1+Model!$B$18)^3))</f>
        <v/>
      </c>
      <c r="R10" s="7">
        <f>IF(A10="","",IF((A10+4)&gt;Model!$B$4,0,MAX(0,Model!$B$6-IF((A10+4)&gt;=Model!$B$11,Model!$B$20,0)-IF(4&lt;Model!$B$15,Model!$B$22,0))/(1-Model!$B$9)/(1+Model!$B$18)^4))</f>
        <v/>
      </c>
      <c r="S10" s="7">
        <f>IF(A10="","",IF((A10+5)&gt;Model!$B$4,0,MAX(0,Model!$B$6-IF((A10+5)&gt;=Model!$B$11,Model!$B$20,0)-IF(5&lt;Model!$B$15,Model!$B$22,0))/(1-Model!$B$9)/(1+Model!$B$18)^5))</f>
        <v/>
      </c>
      <c r="T10" s="7">
        <f>IF(A10="","",IF((A10+6)&gt;Model!$B$4,0,MAX(0,Model!$B$6-IF((A10+6)&gt;=Model!$B$11,Model!$B$20,0)-IF(6&lt;Model!$B$15,Model!$B$22,0))/(1-Model!$B$9)/(1+Model!$B$18)^6))</f>
        <v/>
      </c>
      <c r="U10" s="7">
        <f>IF(A10="","",IF((A10+7)&gt;Model!$B$4,0,MAX(0,Model!$B$6-IF((A10+7)&gt;=Model!$B$11,Model!$B$20,0)-IF(7&lt;Model!$B$15,Model!$B$22,0))/(1-Model!$B$9)/(1+Model!$B$18)^7))</f>
        <v/>
      </c>
      <c r="V10" s="7">
        <f>IF(A10="","",IF((A10+8)&gt;Model!$B$4,0,MAX(0,Model!$B$6-IF((A10+8)&gt;=Model!$B$11,Model!$B$20,0)-IF(8&lt;Model!$B$15,Model!$B$22,0))/(1-Model!$B$9)/(1+Model!$B$18)^8))</f>
        <v/>
      </c>
      <c r="W10" s="7">
        <f>IF(A10="","",IF((A10+9)&gt;Model!$B$4,0,MAX(0,Model!$B$6-IF((A10+9)&gt;=Model!$B$11,Model!$B$20,0)-IF(9&lt;Model!$B$15,Model!$B$22,0))/(1-Model!$B$9)/(1+Model!$B$18)^9))</f>
        <v/>
      </c>
      <c r="X10" s="7">
        <f>IF(A10="","",IF((A10+10)&gt;Model!$B$4,0,MAX(0,Model!$B$6-IF((A10+10)&gt;=Model!$B$11,Model!$B$20,0)-IF(10&lt;Model!$B$15,Model!$B$22,0))/(1-Model!$B$9)/(1+Model!$B$18)^10))</f>
        <v/>
      </c>
      <c r="Y10" s="7">
        <f>IF(A10="","",IF((A10+11)&gt;Model!$B$4,0,MAX(0,Model!$B$6-IF((A10+11)&gt;=Model!$B$11,Model!$B$20,0)-IF(11&lt;Model!$B$15,Model!$B$22,0))/(1-Model!$B$9)/(1+Model!$B$18)^11))</f>
        <v/>
      </c>
      <c r="Z10" s="7">
        <f>IF(A10="","",IF((A10+12)&gt;Model!$B$4,0,MAX(0,Model!$B$6-IF((A10+12)&gt;=Model!$B$11,Model!$B$20,0)-IF(12&lt;Model!$B$15,Model!$B$22,0))/(1-Model!$B$9)/(1+Model!$B$18)^12))</f>
        <v/>
      </c>
      <c r="AA10" s="7">
        <f>IF(A10="","",IF((A10+13)&gt;Model!$B$4,0,MAX(0,Model!$B$6-IF((A10+13)&gt;=Model!$B$11,Model!$B$20,0)-IF(13&lt;Model!$B$15,Model!$B$22,0))/(1-Model!$B$9)/(1+Model!$B$18)^13))</f>
        <v/>
      </c>
      <c r="AB10" s="7">
        <f>IF(A10="","",IF((A10+14)&gt;Model!$B$4,0,MAX(0,Model!$B$6-IF((A10+14)&gt;=Model!$B$11,Model!$B$20,0)-IF(14&lt;Model!$B$15,Model!$B$22,0))/(1-Model!$B$9)/(1+Model!$B$18)^14))</f>
        <v/>
      </c>
      <c r="AC10" s="7">
        <f>IF(A10="","",IF((A10+15)&gt;Model!$B$4,0,MAX(0,Model!$B$6-IF((A10+15)&gt;=Model!$B$11,Model!$B$20,0)-IF(15&lt;Model!$B$15,Model!$B$22,0))/(1-Model!$B$9)/(1+Model!$B$18)^15))</f>
        <v/>
      </c>
      <c r="AD10" s="7">
        <f>IF(A10="","",IF((A10+16)&gt;Model!$B$4,0,MAX(0,Model!$B$6-IF((A10+16)&gt;=Model!$B$11,Model!$B$20,0)-IF(16&lt;Model!$B$15,Model!$B$22,0))/(1-Model!$B$9)/(1+Model!$B$18)^16))</f>
        <v/>
      </c>
      <c r="AE10" s="7">
        <f>IF(A10="","",IF((A10+17)&gt;Model!$B$4,0,MAX(0,Model!$B$6-IF((A10+17)&gt;=Model!$B$11,Model!$B$20,0)-IF(17&lt;Model!$B$15,Model!$B$22,0))/(1-Model!$B$9)/(1+Model!$B$18)^17))</f>
        <v/>
      </c>
      <c r="AF10" s="7">
        <f>IF(A10="","",IF((A10+18)&gt;Model!$B$4,0,MAX(0,Model!$B$6-IF((A10+18)&gt;=Model!$B$11,Model!$B$20,0)-IF(18&lt;Model!$B$15,Model!$B$22,0))/(1-Model!$B$9)/(1+Model!$B$18)^18))</f>
        <v/>
      </c>
      <c r="AG10" s="7">
        <f>IF(A10="","",IF((A10+19)&gt;Model!$B$4,0,MAX(0,Model!$B$6-IF((A10+19)&gt;=Model!$B$11,Model!$B$20,0)-IF(19&lt;Model!$B$15,Model!$B$22,0))/(1-Model!$B$9)/(1+Model!$B$18)^19))</f>
        <v/>
      </c>
      <c r="AH10" s="7">
        <f>IF(A10="","",IF((A10+20)&gt;Model!$B$4,0,MAX(0,Model!$B$6-IF((A10+20)&gt;=Model!$B$11,Model!$B$20,0)-IF(20&lt;Model!$B$15,Model!$B$22,0))/(1-Model!$B$9)/(1+Model!$B$18)^20))</f>
        <v/>
      </c>
      <c r="AI10" s="7">
        <f>IF(A10="","",IF((A10+21)&gt;Model!$B$4,0,MAX(0,Model!$B$6-IF((A10+21)&gt;=Model!$B$11,Model!$B$20,0)-IF(21&lt;Model!$B$15,Model!$B$22,0))/(1-Model!$B$9)/(1+Model!$B$18)^21))</f>
        <v/>
      </c>
      <c r="AJ10" s="7">
        <f>IF(A10="","",IF((A10+22)&gt;Model!$B$4,0,MAX(0,Model!$B$6-IF((A10+22)&gt;=Model!$B$11,Model!$B$20,0)-IF(22&lt;Model!$B$15,Model!$B$22,0))/(1-Model!$B$9)/(1+Model!$B$18)^22))</f>
        <v/>
      </c>
      <c r="AK10" s="7">
        <f>IF(A10="","",IF((A10+23)&gt;Model!$B$4,0,MAX(0,Model!$B$6-IF((A10+23)&gt;=Model!$B$11,Model!$B$20,0)-IF(23&lt;Model!$B$15,Model!$B$22,0))/(1-Model!$B$9)/(1+Model!$B$18)^23))</f>
        <v/>
      </c>
      <c r="AL10" s="7">
        <f>IF(A10="","",IF((A10+24)&gt;Model!$B$4,0,MAX(0,Model!$B$6-IF((A10+24)&gt;=Model!$B$11,Model!$B$20,0)-IF(24&lt;Model!$B$15,Model!$B$22,0))/(1-Model!$B$9)/(1+Model!$B$18)^24))</f>
        <v/>
      </c>
      <c r="AM10" s="7">
        <f>IF(A10="","",IF((A10+25)&gt;Model!$B$4,0,MAX(0,Model!$B$6-IF((A10+25)&gt;=Model!$B$11,Model!$B$20,0)-IF(25&lt;Model!$B$15,Model!$B$22,0))/(1-Model!$B$9)/(1+Model!$B$18)^25))</f>
        <v/>
      </c>
      <c r="AN10" s="7">
        <f>IF(A10="","",IF((A10+26)&gt;Model!$B$4,0,MAX(0,Model!$B$6-IF((A10+26)&gt;=Model!$B$11,Model!$B$20,0)-IF(26&lt;Model!$B$15,Model!$B$22,0))/(1-Model!$B$9)/(1+Model!$B$18)^26))</f>
        <v/>
      </c>
      <c r="AO10" s="7">
        <f>IF(A10="","",IF((A10+27)&gt;Model!$B$4,0,MAX(0,Model!$B$6-IF((A10+27)&gt;=Model!$B$11,Model!$B$20,0)-IF(27&lt;Model!$B$15,Model!$B$22,0))/(1-Model!$B$9)/(1+Model!$B$18)^27))</f>
        <v/>
      </c>
      <c r="AP10" s="7">
        <f>IF(A10="","",IF((A10+28)&gt;Model!$B$4,0,MAX(0,Model!$B$6-IF((A10+28)&gt;=Model!$B$11,Model!$B$20,0)-IF(28&lt;Model!$B$15,Model!$B$22,0))/(1-Model!$B$9)/(1+Model!$B$18)^28))</f>
        <v/>
      </c>
      <c r="AQ10" s="7">
        <f>IF(A10="","",IF((A10+29)&gt;Model!$B$4,0,MAX(0,Model!$B$6-IF((A10+29)&gt;=Model!$B$11,Model!$B$20,0)-IF(29&lt;Model!$B$15,Model!$B$22,0))/(1-Model!$B$9)/(1+Model!$B$18)^29))</f>
        <v/>
      </c>
      <c r="AR10" s="7">
        <f>IF(A10="","",IF((A10+30)&gt;Model!$B$4,0,MAX(0,Model!$B$6-IF((A10+30)&gt;=Model!$B$11,Model!$B$20,0)-IF(30&lt;Model!$B$15,Model!$B$22,0))/(1-Model!$B$9)/(1+Model!$B$18)^30))</f>
        <v/>
      </c>
      <c r="AS10" s="7">
        <f>IF(A10="","",IF((A10+31)&gt;Model!$B$4,0,MAX(0,Model!$B$6-IF((A10+31)&gt;=Model!$B$11,Model!$B$20,0)-IF(31&lt;Model!$B$15,Model!$B$22,0))/(1-Model!$B$9)/(1+Model!$B$18)^31))</f>
        <v/>
      </c>
      <c r="AT10" s="7">
        <f>IF(A10="","",IF((A10+32)&gt;Model!$B$4,0,MAX(0,Model!$B$6-IF((A10+32)&gt;=Model!$B$11,Model!$B$20,0)-IF(32&lt;Model!$B$15,Model!$B$22,0))/(1-Model!$B$9)/(1+Model!$B$18)^32))</f>
        <v/>
      </c>
      <c r="AU10" s="7">
        <f>IF(A10="","",IF((A10+33)&gt;Model!$B$4,0,MAX(0,Model!$B$6-IF((A10+33)&gt;=Model!$B$11,Model!$B$20,0)-IF(33&lt;Model!$B$15,Model!$B$22,0))/(1-Model!$B$9)/(1+Model!$B$18)^33))</f>
        <v/>
      </c>
      <c r="AV10" s="7">
        <f>IF(A10="","",IF((A10+34)&gt;Model!$B$4,0,MAX(0,Model!$B$6-IF((A10+34)&gt;=Model!$B$11,Model!$B$20,0)-IF(34&lt;Model!$B$15,Model!$B$22,0))/(1-Model!$B$9)/(1+Model!$B$18)^34))</f>
        <v/>
      </c>
      <c r="AW10" s="7">
        <f>IF(A10="","",IF((A10+35)&gt;Model!$B$4,0,MAX(0,Model!$B$6-IF((A10+35)&gt;=Model!$B$11,Model!$B$20,0)-IF(35&lt;Model!$B$15,Model!$B$22,0))/(1-Model!$B$9)/(1+Model!$B$18)^35))</f>
        <v/>
      </c>
      <c r="AX10" s="7">
        <f>IF(A10="","",IF((A10+36)&gt;Model!$B$4,0,MAX(0,Model!$B$6-IF((A10+36)&gt;=Model!$B$11,Model!$B$20,0)-IF(36&lt;Model!$B$15,Model!$B$22,0))/(1-Model!$B$9)/(1+Model!$B$18)^36))</f>
        <v/>
      </c>
      <c r="AY10" s="7">
        <f>IF(A10="","",IF((A10+37)&gt;Model!$B$4,0,MAX(0,Model!$B$6-IF((A10+37)&gt;=Model!$B$11,Model!$B$20,0)-IF(37&lt;Model!$B$15,Model!$B$22,0))/(1-Model!$B$9)/(1+Model!$B$18)^37))</f>
        <v/>
      </c>
      <c r="AZ10" s="7">
        <f>IF(A10="","",IF((A10+38)&gt;Model!$B$4,0,MAX(0,Model!$B$6-IF((A10+38)&gt;=Model!$B$11,Model!$B$20,0)-IF(38&lt;Model!$B$15,Model!$B$22,0))/(1-Model!$B$9)/(1+Model!$B$18)^38))</f>
        <v/>
      </c>
      <c r="BA10" s="7">
        <f>IF(A10="","",IF((A10+39)&gt;Model!$B$4,0,MAX(0,Model!$B$6-IF((A10+39)&gt;=Model!$B$11,Model!$B$20,0)-IF(39&lt;Model!$B$15,Model!$B$22,0))/(1-Model!$B$9)/(1+Model!$B$18)^39))</f>
        <v/>
      </c>
      <c r="BB10" s="7">
        <f>IF(A10="","",IF((A10+40)&gt;Model!$B$4,0,MAX(0,Model!$B$6-IF((A10+40)&gt;=Model!$B$11,Model!$B$20,0)-IF(40&lt;Model!$B$15,Model!$B$22,0))/(1-Model!$B$9)/(1+Model!$B$18)^40))</f>
        <v/>
      </c>
      <c r="BC10" s="7">
        <f>IF(A10="","",IF((A10+41)&gt;Model!$B$4,0,MAX(0,Model!$B$6-IF((A10+41)&gt;=Model!$B$11,Model!$B$20,0)-IF(41&lt;Model!$B$15,Model!$B$22,0))/(1-Model!$B$9)/(1+Model!$B$18)^41))</f>
        <v/>
      </c>
      <c r="BD10" s="7">
        <f>IF(A10="","",IF((A10+42)&gt;Model!$B$4,0,MAX(0,Model!$B$6-IF((A10+42)&gt;=Model!$B$11,Model!$B$20,0)-IF(42&lt;Model!$B$15,Model!$B$22,0))/(1-Model!$B$9)/(1+Model!$B$18)^42))</f>
        <v/>
      </c>
      <c r="BE10" s="7">
        <f>IF(A10="","",IF((A10+43)&gt;Model!$B$4,0,MAX(0,Model!$B$6-IF((A10+43)&gt;=Model!$B$11,Model!$B$20,0)-IF(43&lt;Model!$B$15,Model!$B$22,0))/(1-Model!$B$9)/(1+Model!$B$18)^43))</f>
        <v/>
      </c>
      <c r="BF10" s="7">
        <f>IF(A10="","",IF((A10+44)&gt;Model!$B$4,0,MAX(0,Model!$B$6-IF((A10+44)&gt;=Model!$B$11,Model!$B$20,0)-IF(44&lt;Model!$B$15,Model!$B$22,0))/(1-Model!$B$9)/(1+Model!$B$18)^44))</f>
        <v/>
      </c>
      <c r="BG10" s="7">
        <f>IF(A10="","",IF((A10+45)&gt;Model!$B$4,0,MAX(0,Model!$B$6-IF((A10+45)&gt;=Model!$B$11,Model!$B$20,0)-IF(45&lt;Model!$B$15,Model!$B$22,0))/(1-Model!$B$9)/(1+Model!$B$18)^45))</f>
        <v/>
      </c>
      <c r="BH10" s="7">
        <f>IF(A10="","",IF((A10+46)&gt;Model!$B$4,0,MAX(0,Model!$B$6-IF((A10+46)&gt;=Model!$B$11,Model!$B$20,0)-IF(46&lt;Model!$B$15,Model!$B$22,0))/(1-Model!$B$9)/(1+Model!$B$18)^46))</f>
        <v/>
      </c>
      <c r="BI10" s="7">
        <f>IF(A10="","",IF((A10+47)&gt;Model!$B$4,0,MAX(0,Model!$B$6-IF((A10+47)&gt;=Model!$B$11,Model!$B$20,0)-IF(47&lt;Model!$B$15,Model!$B$22,0))/(1-Model!$B$9)/(1+Model!$B$18)^47))</f>
        <v/>
      </c>
      <c r="BJ10" s="7">
        <f>IF(A10="","",IF((A10+48)&gt;Model!$B$4,0,MAX(0,Model!$B$6-IF((A10+48)&gt;=Model!$B$11,Model!$B$20,0)-IF(48&lt;Model!$B$15,Model!$B$22,0))/(1-Model!$B$9)/(1+Model!$B$18)^48))</f>
        <v/>
      </c>
      <c r="BK10" s="7">
        <f>IF(A10="","",IF((A10+49)&gt;Model!$B$4,0,MAX(0,Model!$B$6-IF((A10+49)&gt;=Model!$B$11,Model!$B$20,0)-IF(49&lt;Model!$B$15,Model!$B$22,0))/(1-Model!$B$9)/(1+Model!$B$18)^49))</f>
        <v/>
      </c>
      <c r="BL10" s="7">
        <f>IF(A10="","",IF((A10+50)&gt;Model!$B$4,0,MAX(0,Model!$B$6-IF((A10+50)&gt;=Model!$B$11,Model!$B$20,0)-IF(50&lt;Model!$B$15,Model!$B$22,0))/(1-Model!$B$9)/(1+Model!$B$18)^50))</f>
        <v/>
      </c>
      <c r="BM10" s="7">
        <f>IF(A10="","",IF((A10+51)&gt;Model!$B$4,0,MAX(0,Model!$B$6-IF((A10+51)&gt;=Model!$B$11,Model!$B$20,0)-IF(51&lt;Model!$B$15,Model!$B$22,0))/(1-Model!$B$9)/(1+Model!$B$18)^51))</f>
        <v/>
      </c>
      <c r="BN10" s="7">
        <f>IF(A10="","",IF((A10+52)&gt;Model!$B$4,0,MAX(0,Model!$B$6-IF((A10+52)&gt;=Model!$B$11,Model!$B$20,0)-IF(52&lt;Model!$B$15,Model!$B$22,0))/(1-Model!$B$9)/(1+Model!$B$18)^52))</f>
        <v/>
      </c>
      <c r="BO10" s="7">
        <f>IF(A10="","",IF((A10+53)&gt;Model!$B$4,0,MAX(0,Model!$B$6-IF((A10+53)&gt;=Model!$B$11,Model!$B$20,0)-IF(53&lt;Model!$B$15,Model!$B$22,0))/(1-Model!$B$9)/(1+Model!$B$18)^53))</f>
        <v/>
      </c>
      <c r="BP10" s="7">
        <f>IF(A10="","",IF((A10+54)&gt;Model!$B$4,0,MAX(0,Model!$B$6-IF((A10+54)&gt;=Model!$B$11,Model!$B$20,0)-IF(54&lt;Model!$B$15,Model!$B$22,0))/(1-Model!$B$9)/(1+Model!$B$18)^54))</f>
        <v/>
      </c>
      <c r="BQ10" s="7">
        <f>IF(A10="","",IF((A10+55)&gt;Model!$B$4,0,MAX(0,Model!$B$6-IF((A10+55)&gt;=Model!$B$11,Model!$B$20,0)-IF(55&lt;Model!$B$15,Model!$B$22,0))/(1-Model!$B$9)/(1+Model!$B$18)^55))</f>
        <v/>
      </c>
      <c r="BR10" s="7">
        <f>IF(A10="","",IF((A10+56)&gt;Model!$B$4,0,MAX(0,Model!$B$6-IF((A10+56)&gt;=Model!$B$11,Model!$B$20,0)-IF(56&lt;Model!$B$15,Model!$B$22,0))/(1-Model!$B$9)/(1+Model!$B$18)^56))</f>
        <v/>
      </c>
      <c r="BS10" s="7">
        <f>IF(A10="","",IF((A10+57)&gt;Model!$B$4,0,MAX(0,Model!$B$6-IF((A10+57)&gt;=Model!$B$11,Model!$B$20,0)-IF(57&lt;Model!$B$15,Model!$B$22,0))/(1-Model!$B$9)/(1+Model!$B$18)^57))</f>
        <v/>
      </c>
      <c r="BT10" s="7">
        <f>IF(A10="","",IF((A10+58)&gt;Model!$B$4,0,MAX(0,Model!$B$6-IF((A10+58)&gt;=Model!$B$11,Model!$B$20,0)-IF(58&lt;Model!$B$15,Model!$B$22,0))/(1-Model!$B$9)/(1+Model!$B$18)^58))</f>
        <v/>
      </c>
      <c r="BU10" s="7">
        <f>IF(A10="","",IF((A10+59)&gt;Model!$B$4,0,MAX(0,Model!$B$6-IF((A10+59)&gt;=Model!$B$11,Model!$B$20,0)-IF(59&lt;Model!$B$15,Model!$B$22,0))/(1-Model!$B$9)/(1+Model!$B$18)^59))</f>
        <v/>
      </c>
      <c r="BV10" s="7">
        <f>IF(A10="","",IF((A10+60)&gt;Model!$B$4,0,MAX(0,Model!$B$6-IF((A10+60)&gt;=Model!$B$11,Model!$B$20,0)-IF(60&lt;Model!$B$15,Model!$B$22,0))/(1-Model!$B$9)/(1+Model!$B$18)^60))</f>
        <v/>
      </c>
      <c r="BW10" s="7">
        <f>IF(A10="","",IF((A10+61)&gt;Model!$B$4,0,MAX(0,Model!$B$6-IF((A10+61)&gt;=Model!$B$11,Model!$B$20,0)-IF(61&lt;Model!$B$15,Model!$B$22,0))/(1-Model!$B$9)/(1+Model!$B$18)^61))</f>
        <v/>
      </c>
      <c r="BX10" s="7">
        <f>IF(A10="","",IF((A10+62)&gt;Model!$B$4,0,MAX(0,Model!$B$6-IF((A10+62)&gt;=Model!$B$11,Model!$B$20,0)-IF(62&lt;Model!$B$15,Model!$B$22,0))/(1-Model!$B$9)/(1+Model!$B$18)^62))</f>
        <v/>
      </c>
      <c r="BY10" s="7">
        <f>IF(A10="","",IF((A10+63)&gt;Model!$B$4,0,MAX(0,Model!$B$6-IF((A10+63)&gt;=Model!$B$11,Model!$B$20,0)-IF(63&lt;Model!$B$15,Model!$B$22,0))/(1-Model!$B$9)/(1+Model!$B$18)^63))</f>
        <v/>
      </c>
      <c r="BZ10" s="7">
        <f>IF(A10="","",IF((A10+64)&gt;Model!$B$4,0,MAX(0,Model!$B$6-IF((A10+64)&gt;=Model!$B$11,Model!$B$20,0)-IF(64&lt;Model!$B$15,Model!$B$22,0))/(1-Model!$B$9)/(1+Model!$B$18)^64))</f>
        <v/>
      </c>
      <c r="CA10" s="7">
        <f>IF(A10="","",IF((A10+65)&gt;Model!$B$4,0,MAX(0,Model!$B$6-IF((A10+65)&gt;=Model!$B$11,Model!$B$20,0)-IF(65&lt;Model!$B$15,Model!$B$22,0))/(1-Model!$B$9)/(1+Model!$B$18)^65))</f>
        <v/>
      </c>
      <c r="CB10" s="7">
        <f>IF(A10="","",IF((A10+66)&gt;Model!$B$4,0,MAX(0,Model!$B$6-IF((A10+66)&gt;=Model!$B$11,Model!$B$20,0)-IF(66&lt;Model!$B$15,Model!$B$22,0))/(1-Model!$B$9)/(1+Model!$B$18)^66))</f>
        <v/>
      </c>
      <c r="CC10" s="7">
        <f>IF(A10="","",IF((A10+67)&gt;Model!$B$4,0,MAX(0,Model!$B$6-IF((A10+67)&gt;=Model!$B$11,Model!$B$20,0)-IF(67&lt;Model!$B$15,Model!$B$22,0))/(1-Model!$B$9)/(1+Model!$B$18)^67))</f>
        <v/>
      </c>
      <c r="CD10" s="7">
        <f>IF(A10="","",IF((A10+68)&gt;Model!$B$4,0,MAX(0,Model!$B$6-IF((A10+68)&gt;=Model!$B$11,Model!$B$20,0)-IF(68&lt;Model!$B$15,Model!$B$22,0))/(1-Model!$B$9)/(1+Model!$B$18)^68))</f>
        <v/>
      </c>
      <c r="CE10" s="7">
        <f>IF(A10="","",IF((A10+69)&gt;Model!$B$4,0,MAX(0,Model!$B$6-IF((A10+69)&gt;=Model!$B$11,Model!$B$20,0)-IF(69&lt;Model!$B$15,Model!$B$22,0))/(1-Model!$B$9)/(1+Model!$B$18)^69))</f>
        <v/>
      </c>
      <c r="CF10" s="7">
        <f>IF(A10="","",IF((A10+70)&gt;Model!$B$4,0,MAX(0,Model!$B$6-IF((A10+70)&gt;=Model!$B$11,Model!$B$20,0)-IF(70&lt;Model!$B$15,Model!$B$22,0))/(1-Model!$B$9)/(1+Model!$B$18)^70))</f>
        <v/>
      </c>
      <c r="CG10" s="7">
        <f>IF(A10="","",IF((A10+71)&gt;Model!$B$4,0,MAX(0,Model!$B$6-IF((A10+71)&gt;=Model!$B$11,Model!$B$20,0)-IF(71&lt;Model!$B$15,Model!$B$22,0))/(1-Model!$B$9)/(1+Model!$B$18)^71))</f>
        <v/>
      </c>
      <c r="CH10" s="7">
        <f>IF(A10="","",IF((A10+72)&gt;Model!$B$4,0,MAX(0,Model!$B$6-IF((A10+72)&gt;=Model!$B$11,Model!$B$20,0)-IF(72&lt;Model!$B$15,Model!$B$22,0))/(1-Model!$B$9)/(1+Model!$B$18)^72))</f>
        <v/>
      </c>
      <c r="CI10" s="7">
        <f>IF(A10="","",IF((A10+73)&gt;Model!$B$4,0,MAX(0,Model!$B$6-IF((A10+73)&gt;=Model!$B$11,Model!$B$20,0)-IF(73&lt;Model!$B$15,Model!$B$22,0))/(1-Model!$B$9)/(1+Model!$B$18)^73))</f>
        <v/>
      </c>
      <c r="CJ10" s="7">
        <f>IF(A10="","",IF((A10+74)&gt;Model!$B$4,0,MAX(0,Model!$B$6-IF((A10+74)&gt;=Model!$B$11,Model!$B$20,0)-IF(74&lt;Model!$B$15,Model!$B$22,0))/(1-Model!$B$9)/(1+Model!$B$18)^74))</f>
        <v/>
      </c>
      <c r="CK10" s="7">
        <f>IF(A10="","",IF((A10+75)&gt;Model!$B$4,0,MAX(0,Model!$B$6-IF((A10+75)&gt;=Model!$B$11,Model!$B$20,0)-IF(75&lt;Model!$B$15,Model!$B$22,0))/(1-Model!$B$9)/(1+Model!$B$18)^75))</f>
        <v/>
      </c>
      <c r="CL10" s="7">
        <f>IF(A10="","",IF((A10+76)&gt;Model!$B$4,0,MAX(0,Model!$B$6-IF((A10+76)&gt;=Model!$B$11,Model!$B$20,0)-IF(76&lt;Model!$B$15,Model!$B$22,0))/(1-Model!$B$9)/(1+Model!$B$18)^76))</f>
        <v/>
      </c>
      <c r="CM10" s="7">
        <f>IF(A10="","",IF((A10+77)&gt;Model!$B$4,0,MAX(0,Model!$B$6-IF((A10+77)&gt;=Model!$B$11,Model!$B$20,0)-IF(77&lt;Model!$B$15,Model!$B$22,0))/(1-Model!$B$9)/(1+Model!$B$18)^77))</f>
        <v/>
      </c>
      <c r="CN10" s="7">
        <f>IF(A10="","",IF((A10+78)&gt;Model!$B$4,0,MAX(0,Model!$B$6-IF((A10+78)&gt;=Model!$B$11,Model!$B$20,0)-IF(78&lt;Model!$B$15,Model!$B$22,0))/(1-Model!$B$9)/(1+Model!$B$18)^78))</f>
        <v/>
      </c>
      <c r="CO10" s="7">
        <f>IF(A10="","",IF((A10+79)&gt;Model!$B$4,0,MAX(0,Model!$B$6-IF((A10+79)&gt;=Model!$B$11,Model!$B$20,0)-IF(79&lt;Model!$B$15,Model!$B$22,0))/(1-Model!$B$9)/(1+Model!$B$18)^79))</f>
        <v/>
      </c>
      <c r="CP10" s="7">
        <f>IF(A10="","",IF((A10+80)&gt;Model!$B$4,0,MAX(0,Model!$B$6-IF((A10+80)&gt;=Model!$B$11,Model!$B$20,0)-IF(80&lt;Model!$B$15,Model!$B$22,0))/(1-Model!$B$9)/(1+Model!$B$18)^80))</f>
        <v/>
      </c>
      <c r="CQ10" s="7">
        <f>IF(A10="","",IF((A10+81)&gt;Model!$B$4,0,MAX(0,Model!$B$6-IF((A10+81)&gt;=Model!$B$11,Model!$B$20,0)-IF(81&lt;Model!$B$15,Model!$B$22,0))/(1-Model!$B$9)/(1+Model!$B$18)^81))</f>
        <v/>
      </c>
      <c r="CR10" s="7">
        <f>IF(A10="","",IF((A10+82)&gt;Model!$B$4,0,MAX(0,Model!$B$6-IF((A10+82)&gt;=Model!$B$11,Model!$B$20,0)-IF(82&lt;Model!$B$15,Model!$B$22,0))/(1-Model!$B$9)/(1+Model!$B$18)^82))</f>
        <v/>
      </c>
      <c r="CS10" s="7">
        <f>IF(A10="","",IF((A10+83)&gt;Model!$B$4,0,MAX(0,Model!$B$6-IF((A10+83)&gt;=Model!$B$11,Model!$B$20,0)-IF(83&lt;Model!$B$15,Model!$B$22,0))/(1-Model!$B$9)/(1+Model!$B$18)^83))</f>
        <v/>
      </c>
      <c r="CT10" s="7">
        <f>IF(A10="","",IF((A10+84)&gt;Model!$B$4,0,MAX(0,Model!$B$6-IF((A10+84)&gt;=Model!$B$11,Model!$B$20,0)-IF(84&lt;Model!$B$15,Model!$B$22,0))/(1-Model!$B$9)/(1+Model!$B$18)^84))</f>
        <v/>
      </c>
      <c r="CU10" s="7">
        <f>IF(A10="","",IF((A10+85)&gt;Model!$B$4,0,MAX(0,Model!$B$6-IF((A10+85)&gt;=Model!$B$11,Model!$B$20,0)-IF(85&lt;Model!$B$15,Model!$B$22,0))/(1-Model!$B$9)/(1+Model!$B$18)^85))</f>
        <v/>
      </c>
      <c r="CV10" s="7">
        <f>IF(A10="","",IF((A10+86)&gt;Model!$B$4,0,MAX(0,Model!$B$6-IF((A10+86)&gt;=Model!$B$11,Model!$B$20,0)-IF(86&lt;Model!$B$15,Model!$B$22,0))/(1-Model!$B$9)/(1+Model!$B$18)^86))</f>
        <v/>
      </c>
      <c r="CW10" s="7">
        <f>IF(A10="","",IF((A10+87)&gt;Model!$B$4,0,MAX(0,Model!$B$6-IF((A10+87)&gt;=Model!$B$11,Model!$B$20,0)-IF(87&lt;Model!$B$15,Model!$B$22,0))/(1-Model!$B$9)/(1+Model!$B$18)^87))</f>
        <v/>
      </c>
      <c r="CX10" s="7">
        <f>IF(A10="","",IF((A10+88)&gt;Model!$B$4,0,MAX(0,Model!$B$6-IF((A10+88)&gt;=Model!$B$11,Model!$B$20,0)-IF(88&lt;Model!$B$15,Model!$B$22,0))/(1-Model!$B$9)/(1+Model!$B$18)^88))</f>
        <v/>
      </c>
      <c r="CY10" s="7">
        <f>IF(A10="","",IF((A10+89)&gt;Model!$B$4,0,MAX(0,Model!$B$6-IF((A10+89)&gt;=Model!$B$11,Model!$B$20,0)-IF(89&lt;Model!$B$15,Model!$B$22,0))/(1-Model!$B$9)/(1+Model!$B$18)^89))</f>
        <v/>
      </c>
      <c r="CZ10" s="7">
        <f>IF(A10="","",IF((A10+90)&gt;Model!$B$4,0,MAX(0,Model!$B$6-IF((A10+90)&gt;=Model!$B$11,Model!$B$20,0)-IF(90&lt;Model!$B$15,Model!$B$22,0))/(1-Model!$B$9)/(1+Model!$B$18)^90))</f>
        <v/>
      </c>
      <c r="DA10" s="7">
        <f>IF(A10="","",IF((A10+91)&gt;Model!$B$4,0,MAX(0,Model!$B$6-IF((A10+91)&gt;=Model!$B$11,Model!$B$20,0)-IF(91&lt;Model!$B$15,Model!$B$22,0))/(1-Model!$B$9)/(1+Model!$B$18)^91))</f>
        <v/>
      </c>
      <c r="DB10" s="7">
        <f>IF(A10="","",IF((A10+92)&gt;Model!$B$4,0,MAX(0,Model!$B$6-IF((A10+92)&gt;=Model!$B$11,Model!$B$20,0)-IF(92&lt;Model!$B$15,Model!$B$22,0))/(1-Model!$B$9)/(1+Model!$B$18)^92))</f>
        <v/>
      </c>
      <c r="DC10" s="7">
        <f>IF(A10="","",IF((A10+93)&gt;Model!$B$4,0,MAX(0,Model!$B$6-IF((A10+93)&gt;=Model!$B$11,Model!$B$20,0)-IF(93&lt;Model!$B$15,Model!$B$22,0))/(1-Model!$B$9)/(1+Model!$B$18)^93))</f>
        <v/>
      </c>
      <c r="DD10" s="7">
        <f>IF(A10="","",IF((A10+94)&gt;Model!$B$4,0,MAX(0,Model!$B$6-IF((A10+94)&gt;=Model!$B$11,Model!$B$20,0)-IF(94&lt;Model!$B$15,Model!$B$22,0))/(1-Model!$B$9)/(1+Model!$B$18)^94))</f>
        <v/>
      </c>
      <c r="DE10" s="7">
        <f>IF(A10="","",IF((A10+95)&gt;Model!$B$4,0,MAX(0,Model!$B$6-IF((A10+95)&gt;=Model!$B$11,Model!$B$20,0)-IF(95&lt;Model!$B$15,Model!$B$22,0))/(1-Model!$B$9)/(1+Model!$B$18)^95))</f>
        <v/>
      </c>
      <c r="DF10" s="7">
        <f>IF(A10="","",IF((A10+96)&gt;Model!$B$4,0,MAX(0,Model!$B$6-IF((A10+96)&gt;=Model!$B$11,Model!$B$20,0)-IF(96&lt;Model!$B$15,Model!$B$22,0))/(1-Model!$B$9)/(1+Model!$B$18)^96))</f>
        <v/>
      </c>
      <c r="DG10" s="7">
        <f>IF(A10="","",IF((A10+97)&gt;Model!$B$4,0,MAX(0,Model!$B$6-IF((A10+97)&gt;=Model!$B$11,Model!$B$20,0)-IF(97&lt;Model!$B$15,Model!$B$22,0))/(1-Model!$B$9)/(1+Model!$B$18)^97))</f>
        <v/>
      </c>
      <c r="DH10" s="7">
        <f>IF(A10="","",IF((A10+98)&gt;Model!$B$4,0,MAX(0,Model!$B$6-IF((A10+98)&gt;=Model!$B$11,Model!$B$20,0)-IF(98&lt;Model!$B$15,Model!$B$22,0))/(1-Model!$B$9)/(1+Model!$B$18)^98))</f>
        <v/>
      </c>
      <c r="DI10" s="7">
        <f>IF(A10="","",IF((A10+99)&gt;Model!$B$4,0,MAX(0,Model!$B$6-IF((A10+99)&gt;=Model!$B$11,Model!$B$20,0)-IF(99&lt;Model!$B$15,Model!$B$22,0))/(1-Model!$B$9)/(1+Model!$B$18)^99))</f>
        <v/>
      </c>
      <c r="DJ10" s="7">
        <f>IF(A10="","",IF((A10+100)&gt;Model!$B$4,0,MAX(0,Model!$B$6-IF((A10+100)&gt;=Model!$B$11,Model!$B$20,0)-IF(100&lt;Model!$B$15,Model!$B$22,0))/(1-Model!$B$9)/(1+Model!$B$18)^100))</f>
        <v/>
      </c>
      <c r="DK10" s="7">
        <f>IF(A10="","",IF((A10+101)&gt;Model!$B$4,0,MAX(0,Model!$B$6-IF((A10+101)&gt;=Model!$B$11,Model!$B$20,0)-IF(101&lt;Model!$B$15,Model!$B$22,0))/(1-Model!$B$9)/(1+Model!$B$18)^101))</f>
        <v/>
      </c>
      <c r="DL10" s="7">
        <f>IF(A10="","",IF((A10+102)&gt;Model!$B$4,0,MAX(0,Model!$B$6-IF((A10+102)&gt;=Model!$B$11,Model!$B$20,0)-IF(102&lt;Model!$B$15,Model!$B$22,0))/(1-Model!$B$9)/(1+Model!$B$18)^102))</f>
        <v/>
      </c>
      <c r="DM10" s="7">
        <f>IF(A10="","",IF((A10+103)&gt;Model!$B$4,0,MAX(0,Model!$B$6-IF((A10+103)&gt;=Model!$B$11,Model!$B$20,0)-IF(103&lt;Model!$B$15,Model!$B$22,0))/(1-Model!$B$9)/(1+Model!$B$18)^103))</f>
        <v/>
      </c>
      <c r="DN10" s="7">
        <f>IF(A10="","",IF((A10+104)&gt;Model!$B$4,0,MAX(0,Model!$B$6-IF((A10+104)&gt;=Model!$B$11,Model!$B$20,0)-IF(104&lt;Model!$B$15,Model!$B$22,0))/(1-Model!$B$9)/(1+Model!$B$18)^104))</f>
        <v/>
      </c>
      <c r="DO10" s="7">
        <f>IF(A10="","",IF((A10+105)&gt;Model!$B$4,0,MAX(0,Model!$B$6-IF((A10+105)&gt;=Model!$B$11,Model!$B$20,0)-IF(105&lt;Model!$B$15,Model!$B$22,0))/(1-Model!$B$9)/(1+Model!$B$18)^105))</f>
        <v/>
      </c>
      <c r="DP10" s="7">
        <f>IF(A10="","",IF((A10+106)&gt;Model!$B$4,0,MAX(0,Model!$B$6-IF((A10+106)&gt;=Model!$B$11,Model!$B$20,0)-IF(106&lt;Model!$B$15,Model!$B$22,0))/(1-Model!$B$9)/(1+Model!$B$18)^106))</f>
        <v/>
      </c>
      <c r="DQ10" s="7">
        <f>IF(A10="","",IF((A10+107)&gt;Model!$B$4,0,MAX(0,Model!$B$6-IF((A10+107)&gt;=Model!$B$11,Model!$B$20,0)-IF(107&lt;Model!$B$15,Model!$B$22,0))/(1-Model!$B$9)/(1+Model!$B$18)^107))</f>
        <v/>
      </c>
      <c r="DR10" s="7">
        <f>IF(A10="","",IF((A10+108)&gt;Model!$B$4,0,MAX(0,Model!$B$6-IF((A10+108)&gt;=Model!$B$11,Model!$B$20,0)-IF(108&lt;Model!$B$15,Model!$B$22,0))/(1-Model!$B$9)/(1+Model!$B$18)^108))</f>
        <v/>
      </c>
      <c r="DS10" s="7">
        <f>IF(A10="","",IF((A10+109)&gt;Model!$B$4,0,MAX(0,Model!$B$6-IF((A10+109)&gt;=Model!$B$11,Model!$B$20,0)-IF(109&lt;Model!$B$15,Model!$B$22,0))/(1-Model!$B$9)/(1+Model!$B$18)^109))</f>
        <v/>
      </c>
      <c r="DT10" s="7">
        <f>IF(A10="","",IF((A10+110)&gt;Model!$B$4,0,MAX(0,Model!$B$6-IF((A10+110)&gt;=Model!$B$11,Model!$B$20,0)-IF(110&lt;Model!$B$15,Model!$B$22,0))/(1-Model!$B$9)/(1+Model!$B$18)^110))</f>
        <v/>
      </c>
      <c r="DU10" s="7">
        <f>IF(A10="","",IF((A10+111)&gt;Model!$B$4,0,MAX(0,Model!$B$6-IF((A10+111)&gt;=Model!$B$11,Model!$B$20,0)-IF(111&lt;Model!$B$15,Model!$B$22,0))/(1-Model!$B$9)/(1+Model!$B$18)^111))</f>
        <v/>
      </c>
      <c r="DV10" s="7">
        <f>IF(A10="","",IF((A10+112)&gt;Model!$B$4,0,MAX(0,Model!$B$6-IF((A10+112)&gt;=Model!$B$11,Model!$B$20,0)-IF(112&lt;Model!$B$15,Model!$B$22,0))/(1-Model!$B$9)/(1+Model!$B$18)^112))</f>
        <v/>
      </c>
      <c r="DW10" s="7">
        <f>IF(A10="","",IF((A10+113)&gt;Model!$B$4,0,MAX(0,Model!$B$6-IF((A10+113)&gt;=Model!$B$11,Model!$B$20,0)-IF(113&lt;Model!$B$15,Model!$B$22,0))/(1-Model!$B$9)/(1+Model!$B$18)^113))</f>
        <v/>
      </c>
      <c r="DX10" s="7">
        <f>IF(A10="","",IF((A10+114)&gt;Model!$B$4,0,MAX(0,Model!$B$6-IF((A10+114)&gt;=Model!$B$11,Model!$B$20,0)-IF(114&lt;Model!$B$15,Model!$B$22,0))/(1-Model!$B$9)/(1+Model!$B$18)^114))</f>
        <v/>
      </c>
      <c r="DY10" s="7">
        <f>IF(A10="","",IF((A10+115)&gt;Model!$B$4,0,MAX(0,Model!$B$6-IF((A10+115)&gt;=Model!$B$11,Model!$B$20,0)-IF(115&lt;Model!$B$15,Model!$B$22,0))/(1-Model!$B$9)/(1+Model!$B$18)^115))</f>
        <v/>
      </c>
      <c r="DZ10" s="7">
        <f>IF(A10="","",IF((A10+116)&gt;Model!$B$4,0,MAX(0,Model!$B$6-IF((A10+116)&gt;=Model!$B$11,Model!$B$20,0)-IF(116&lt;Model!$B$15,Model!$B$22,0))/(1-Model!$B$9)/(1+Model!$B$18)^116))</f>
        <v/>
      </c>
      <c r="EA10" s="7">
        <f>IF(A10="","",IF((A10+117)&gt;Model!$B$4,0,MAX(0,Model!$B$6-IF((A10+117)&gt;=Model!$B$11,Model!$B$20,0)-IF(117&lt;Model!$B$15,Model!$B$22,0))/(1-Model!$B$9)/(1+Model!$B$18)^117))</f>
        <v/>
      </c>
      <c r="EB10" s="7">
        <f>IF(A10="","",IF((A10+118)&gt;Model!$B$4,0,MAX(0,Model!$B$6-IF((A10+118)&gt;=Model!$B$11,Model!$B$20,0)-IF(118&lt;Model!$B$15,Model!$B$22,0))/(1-Model!$B$9)/(1+Model!$B$18)^118))</f>
        <v/>
      </c>
      <c r="EC10" s="7">
        <f>IF(A10="","",IF((A10+119)&gt;Model!$B$4,0,MAX(0,Model!$B$6-IF((A10+119)&gt;=Model!$B$11,Model!$B$20,0)-IF(119&lt;Model!$B$15,Model!$B$22,0))/(1-Model!$B$9)/(1+Model!$B$18)^119))</f>
        <v/>
      </c>
      <c r="ED10" s="7">
        <f>IF(A10="","",IF((A10+120)&gt;Model!$B$4,0,MAX(0,Model!$B$6-IF((A10+120)&gt;=Model!$B$11,Model!$B$20,0)-IF(120&lt;Model!$B$15,Model!$B$22,0))/(1-Model!$B$9)/(1+Model!$B$18)^120))</f>
        <v/>
      </c>
    </row>
    <row r="11">
      <c r="A11">
        <f>IF(Model!$B$10+ROW()-2&lt;=Model!$B$4,Model!$B$10+ROW()-2,"")</f>
        <v/>
      </c>
      <c r="B11">
        <f>IF(A11="","",A11-Model!$B$10)</f>
        <v/>
      </c>
      <c r="C11" s="7">
        <f>IF(A11="","",Model!$B$5*(1+Model!$B$18)^B11)</f>
        <v/>
      </c>
      <c r="D11" s="7">
        <f>IF(A11="","",SUM(N11:ED11))</f>
        <v/>
      </c>
      <c r="E11" s="7">
        <f>IF(A11="","",IF(A11&gt;=Model!$B$11,Model!$B$20,0))</f>
        <v/>
      </c>
      <c r="F11" s="7">
        <f>IF(A11="","",IF(Model!$B$15&gt;0,Model!$B$22,0))</f>
        <v/>
      </c>
      <c r="G11" s="7">
        <f>IF(A11="","",E11+F11)</f>
        <v/>
      </c>
      <c r="H11" s="7">
        <f>IF(A11="","",MAX(0,Model!$B$6-G11))</f>
        <v/>
      </c>
      <c r="I11" s="7">
        <f>IF(A11="","",H11/(1-Model!$B$9))</f>
        <v/>
      </c>
      <c r="J11" s="7">
        <f>IF(A11="","",C11-D11)</f>
        <v/>
      </c>
      <c r="K11">
        <f>IF(A11="","",C11&gt;=D11)</f>
        <v/>
      </c>
      <c r="L11" s="7">
        <f>IF(A11="","",IF(A11&gt;=Model!$B$11,Model!$B$19*(1+Model!$B$13)^B11,0))</f>
        <v/>
      </c>
      <c r="M11" s="7">
        <f>IF(A11="","",IF(Model!$B$15&gt;0,Model!$B$21*(1+Model!$B$13)^B11,0))</f>
        <v/>
      </c>
      <c r="N11" s="7">
        <f>IF(A11="","",IF((A11+0)&gt;Model!$B$4,0,MAX(0,Model!$B$6-IF((A11+0)&gt;=Model!$B$11,Model!$B$20,0)-IF(0&lt;Model!$B$15,Model!$B$22,0))/(1-Model!$B$9)/(1+Model!$B$18)^0))</f>
        <v/>
      </c>
      <c r="O11" s="7">
        <f>IF(A11="","",IF((A11+1)&gt;Model!$B$4,0,MAX(0,Model!$B$6-IF((A11+1)&gt;=Model!$B$11,Model!$B$20,0)-IF(1&lt;Model!$B$15,Model!$B$22,0))/(1-Model!$B$9)/(1+Model!$B$18)^1))</f>
        <v/>
      </c>
      <c r="P11" s="7">
        <f>IF(A11="","",IF((A11+2)&gt;Model!$B$4,0,MAX(0,Model!$B$6-IF((A11+2)&gt;=Model!$B$11,Model!$B$20,0)-IF(2&lt;Model!$B$15,Model!$B$22,0))/(1-Model!$B$9)/(1+Model!$B$18)^2))</f>
        <v/>
      </c>
      <c r="Q11" s="7">
        <f>IF(A11="","",IF((A11+3)&gt;Model!$B$4,0,MAX(0,Model!$B$6-IF((A11+3)&gt;=Model!$B$11,Model!$B$20,0)-IF(3&lt;Model!$B$15,Model!$B$22,0))/(1-Model!$B$9)/(1+Model!$B$18)^3))</f>
        <v/>
      </c>
      <c r="R11" s="7">
        <f>IF(A11="","",IF((A11+4)&gt;Model!$B$4,0,MAX(0,Model!$B$6-IF((A11+4)&gt;=Model!$B$11,Model!$B$20,0)-IF(4&lt;Model!$B$15,Model!$B$22,0))/(1-Model!$B$9)/(1+Model!$B$18)^4))</f>
        <v/>
      </c>
      <c r="S11" s="7">
        <f>IF(A11="","",IF((A11+5)&gt;Model!$B$4,0,MAX(0,Model!$B$6-IF((A11+5)&gt;=Model!$B$11,Model!$B$20,0)-IF(5&lt;Model!$B$15,Model!$B$22,0))/(1-Model!$B$9)/(1+Model!$B$18)^5))</f>
        <v/>
      </c>
      <c r="T11" s="7">
        <f>IF(A11="","",IF((A11+6)&gt;Model!$B$4,0,MAX(0,Model!$B$6-IF((A11+6)&gt;=Model!$B$11,Model!$B$20,0)-IF(6&lt;Model!$B$15,Model!$B$22,0))/(1-Model!$B$9)/(1+Model!$B$18)^6))</f>
        <v/>
      </c>
      <c r="U11" s="7">
        <f>IF(A11="","",IF((A11+7)&gt;Model!$B$4,0,MAX(0,Model!$B$6-IF((A11+7)&gt;=Model!$B$11,Model!$B$20,0)-IF(7&lt;Model!$B$15,Model!$B$22,0))/(1-Model!$B$9)/(1+Model!$B$18)^7))</f>
        <v/>
      </c>
      <c r="V11" s="7">
        <f>IF(A11="","",IF((A11+8)&gt;Model!$B$4,0,MAX(0,Model!$B$6-IF((A11+8)&gt;=Model!$B$11,Model!$B$20,0)-IF(8&lt;Model!$B$15,Model!$B$22,0))/(1-Model!$B$9)/(1+Model!$B$18)^8))</f>
        <v/>
      </c>
      <c r="W11" s="7">
        <f>IF(A11="","",IF((A11+9)&gt;Model!$B$4,0,MAX(0,Model!$B$6-IF((A11+9)&gt;=Model!$B$11,Model!$B$20,0)-IF(9&lt;Model!$B$15,Model!$B$22,0))/(1-Model!$B$9)/(1+Model!$B$18)^9))</f>
        <v/>
      </c>
      <c r="X11" s="7">
        <f>IF(A11="","",IF((A11+10)&gt;Model!$B$4,0,MAX(0,Model!$B$6-IF((A11+10)&gt;=Model!$B$11,Model!$B$20,0)-IF(10&lt;Model!$B$15,Model!$B$22,0))/(1-Model!$B$9)/(1+Model!$B$18)^10))</f>
        <v/>
      </c>
      <c r="Y11" s="7">
        <f>IF(A11="","",IF((A11+11)&gt;Model!$B$4,0,MAX(0,Model!$B$6-IF((A11+11)&gt;=Model!$B$11,Model!$B$20,0)-IF(11&lt;Model!$B$15,Model!$B$22,0))/(1-Model!$B$9)/(1+Model!$B$18)^11))</f>
        <v/>
      </c>
      <c r="Z11" s="7">
        <f>IF(A11="","",IF((A11+12)&gt;Model!$B$4,0,MAX(0,Model!$B$6-IF((A11+12)&gt;=Model!$B$11,Model!$B$20,0)-IF(12&lt;Model!$B$15,Model!$B$22,0))/(1-Model!$B$9)/(1+Model!$B$18)^12))</f>
        <v/>
      </c>
      <c r="AA11" s="7">
        <f>IF(A11="","",IF((A11+13)&gt;Model!$B$4,0,MAX(0,Model!$B$6-IF((A11+13)&gt;=Model!$B$11,Model!$B$20,0)-IF(13&lt;Model!$B$15,Model!$B$22,0))/(1-Model!$B$9)/(1+Model!$B$18)^13))</f>
        <v/>
      </c>
      <c r="AB11" s="7">
        <f>IF(A11="","",IF((A11+14)&gt;Model!$B$4,0,MAX(0,Model!$B$6-IF((A11+14)&gt;=Model!$B$11,Model!$B$20,0)-IF(14&lt;Model!$B$15,Model!$B$22,0))/(1-Model!$B$9)/(1+Model!$B$18)^14))</f>
        <v/>
      </c>
      <c r="AC11" s="7">
        <f>IF(A11="","",IF((A11+15)&gt;Model!$B$4,0,MAX(0,Model!$B$6-IF((A11+15)&gt;=Model!$B$11,Model!$B$20,0)-IF(15&lt;Model!$B$15,Model!$B$22,0))/(1-Model!$B$9)/(1+Model!$B$18)^15))</f>
        <v/>
      </c>
      <c r="AD11" s="7">
        <f>IF(A11="","",IF((A11+16)&gt;Model!$B$4,0,MAX(0,Model!$B$6-IF((A11+16)&gt;=Model!$B$11,Model!$B$20,0)-IF(16&lt;Model!$B$15,Model!$B$22,0))/(1-Model!$B$9)/(1+Model!$B$18)^16))</f>
        <v/>
      </c>
      <c r="AE11" s="7">
        <f>IF(A11="","",IF((A11+17)&gt;Model!$B$4,0,MAX(0,Model!$B$6-IF((A11+17)&gt;=Model!$B$11,Model!$B$20,0)-IF(17&lt;Model!$B$15,Model!$B$22,0))/(1-Model!$B$9)/(1+Model!$B$18)^17))</f>
        <v/>
      </c>
      <c r="AF11" s="7">
        <f>IF(A11="","",IF((A11+18)&gt;Model!$B$4,0,MAX(0,Model!$B$6-IF((A11+18)&gt;=Model!$B$11,Model!$B$20,0)-IF(18&lt;Model!$B$15,Model!$B$22,0))/(1-Model!$B$9)/(1+Model!$B$18)^18))</f>
        <v/>
      </c>
      <c r="AG11" s="7">
        <f>IF(A11="","",IF((A11+19)&gt;Model!$B$4,0,MAX(0,Model!$B$6-IF((A11+19)&gt;=Model!$B$11,Model!$B$20,0)-IF(19&lt;Model!$B$15,Model!$B$22,0))/(1-Model!$B$9)/(1+Model!$B$18)^19))</f>
        <v/>
      </c>
      <c r="AH11" s="7">
        <f>IF(A11="","",IF((A11+20)&gt;Model!$B$4,0,MAX(0,Model!$B$6-IF((A11+20)&gt;=Model!$B$11,Model!$B$20,0)-IF(20&lt;Model!$B$15,Model!$B$22,0))/(1-Model!$B$9)/(1+Model!$B$18)^20))</f>
        <v/>
      </c>
      <c r="AI11" s="7">
        <f>IF(A11="","",IF((A11+21)&gt;Model!$B$4,0,MAX(0,Model!$B$6-IF((A11+21)&gt;=Model!$B$11,Model!$B$20,0)-IF(21&lt;Model!$B$15,Model!$B$22,0))/(1-Model!$B$9)/(1+Model!$B$18)^21))</f>
        <v/>
      </c>
      <c r="AJ11" s="7">
        <f>IF(A11="","",IF((A11+22)&gt;Model!$B$4,0,MAX(0,Model!$B$6-IF((A11+22)&gt;=Model!$B$11,Model!$B$20,0)-IF(22&lt;Model!$B$15,Model!$B$22,0))/(1-Model!$B$9)/(1+Model!$B$18)^22))</f>
        <v/>
      </c>
      <c r="AK11" s="7">
        <f>IF(A11="","",IF((A11+23)&gt;Model!$B$4,0,MAX(0,Model!$B$6-IF((A11+23)&gt;=Model!$B$11,Model!$B$20,0)-IF(23&lt;Model!$B$15,Model!$B$22,0))/(1-Model!$B$9)/(1+Model!$B$18)^23))</f>
        <v/>
      </c>
      <c r="AL11" s="7">
        <f>IF(A11="","",IF((A11+24)&gt;Model!$B$4,0,MAX(0,Model!$B$6-IF((A11+24)&gt;=Model!$B$11,Model!$B$20,0)-IF(24&lt;Model!$B$15,Model!$B$22,0))/(1-Model!$B$9)/(1+Model!$B$18)^24))</f>
        <v/>
      </c>
      <c r="AM11" s="7">
        <f>IF(A11="","",IF((A11+25)&gt;Model!$B$4,0,MAX(0,Model!$B$6-IF((A11+25)&gt;=Model!$B$11,Model!$B$20,0)-IF(25&lt;Model!$B$15,Model!$B$22,0))/(1-Model!$B$9)/(1+Model!$B$18)^25))</f>
        <v/>
      </c>
      <c r="AN11" s="7">
        <f>IF(A11="","",IF((A11+26)&gt;Model!$B$4,0,MAX(0,Model!$B$6-IF((A11+26)&gt;=Model!$B$11,Model!$B$20,0)-IF(26&lt;Model!$B$15,Model!$B$22,0))/(1-Model!$B$9)/(1+Model!$B$18)^26))</f>
        <v/>
      </c>
      <c r="AO11" s="7">
        <f>IF(A11="","",IF((A11+27)&gt;Model!$B$4,0,MAX(0,Model!$B$6-IF((A11+27)&gt;=Model!$B$11,Model!$B$20,0)-IF(27&lt;Model!$B$15,Model!$B$22,0))/(1-Model!$B$9)/(1+Model!$B$18)^27))</f>
        <v/>
      </c>
      <c r="AP11" s="7">
        <f>IF(A11="","",IF((A11+28)&gt;Model!$B$4,0,MAX(0,Model!$B$6-IF((A11+28)&gt;=Model!$B$11,Model!$B$20,0)-IF(28&lt;Model!$B$15,Model!$B$22,0))/(1-Model!$B$9)/(1+Model!$B$18)^28))</f>
        <v/>
      </c>
      <c r="AQ11" s="7">
        <f>IF(A11="","",IF((A11+29)&gt;Model!$B$4,0,MAX(0,Model!$B$6-IF((A11+29)&gt;=Model!$B$11,Model!$B$20,0)-IF(29&lt;Model!$B$15,Model!$B$22,0))/(1-Model!$B$9)/(1+Model!$B$18)^29))</f>
        <v/>
      </c>
      <c r="AR11" s="7">
        <f>IF(A11="","",IF((A11+30)&gt;Model!$B$4,0,MAX(0,Model!$B$6-IF((A11+30)&gt;=Model!$B$11,Model!$B$20,0)-IF(30&lt;Model!$B$15,Model!$B$22,0))/(1-Model!$B$9)/(1+Model!$B$18)^30))</f>
        <v/>
      </c>
      <c r="AS11" s="7">
        <f>IF(A11="","",IF((A11+31)&gt;Model!$B$4,0,MAX(0,Model!$B$6-IF((A11+31)&gt;=Model!$B$11,Model!$B$20,0)-IF(31&lt;Model!$B$15,Model!$B$22,0))/(1-Model!$B$9)/(1+Model!$B$18)^31))</f>
        <v/>
      </c>
      <c r="AT11" s="7">
        <f>IF(A11="","",IF((A11+32)&gt;Model!$B$4,0,MAX(0,Model!$B$6-IF((A11+32)&gt;=Model!$B$11,Model!$B$20,0)-IF(32&lt;Model!$B$15,Model!$B$22,0))/(1-Model!$B$9)/(1+Model!$B$18)^32))</f>
        <v/>
      </c>
      <c r="AU11" s="7">
        <f>IF(A11="","",IF((A11+33)&gt;Model!$B$4,0,MAX(0,Model!$B$6-IF((A11+33)&gt;=Model!$B$11,Model!$B$20,0)-IF(33&lt;Model!$B$15,Model!$B$22,0))/(1-Model!$B$9)/(1+Model!$B$18)^33))</f>
        <v/>
      </c>
      <c r="AV11" s="7">
        <f>IF(A11="","",IF((A11+34)&gt;Model!$B$4,0,MAX(0,Model!$B$6-IF((A11+34)&gt;=Model!$B$11,Model!$B$20,0)-IF(34&lt;Model!$B$15,Model!$B$22,0))/(1-Model!$B$9)/(1+Model!$B$18)^34))</f>
        <v/>
      </c>
      <c r="AW11" s="7">
        <f>IF(A11="","",IF((A11+35)&gt;Model!$B$4,0,MAX(0,Model!$B$6-IF((A11+35)&gt;=Model!$B$11,Model!$B$20,0)-IF(35&lt;Model!$B$15,Model!$B$22,0))/(1-Model!$B$9)/(1+Model!$B$18)^35))</f>
        <v/>
      </c>
      <c r="AX11" s="7">
        <f>IF(A11="","",IF((A11+36)&gt;Model!$B$4,0,MAX(0,Model!$B$6-IF((A11+36)&gt;=Model!$B$11,Model!$B$20,0)-IF(36&lt;Model!$B$15,Model!$B$22,0))/(1-Model!$B$9)/(1+Model!$B$18)^36))</f>
        <v/>
      </c>
      <c r="AY11" s="7">
        <f>IF(A11="","",IF((A11+37)&gt;Model!$B$4,0,MAX(0,Model!$B$6-IF((A11+37)&gt;=Model!$B$11,Model!$B$20,0)-IF(37&lt;Model!$B$15,Model!$B$22,0))/(1-Model!$B$9)/(1+Model!$B$18)^37))</f>
        <v/>
      </c>
      <c r="AZ11" s="7">
        <f>IF(A11="","",IF((A11+38)&gt;Model!$B$4,0,MAX(0,Model!$B$6-IF((A11+38)&gt;=Model!$B$11,Model!$B$20,0)-IF(38&lt;Model!$B$15,Model!$B$22,0))/(1-Model!$B$9)/(1+Model!$B$18)^38))</f>
        <v/>
      </c>
      <c r="BA11" s="7">
        <f>IF(A11="","",IF((A11+39)&gt;Model!$B$4,0,MAX(0,Model!$B$6-IF((A11+39)&gt;=Model!$B$11,Model!$B$20,0)-IF(39&lt;Model!$B$15,Model!$B$22,0))/(1-Model!$B$9)/(1+Model!$B$18)^39))</f>
        <v/>
      </c>
      <c r="BB11" s="7">
        <f>IF(A11="","",IF((A11+40)&gt;Model!$B$4,0,MAX(0,Model!$B$6-IF((A11+40)&gt;=Model!$B$11,Model!$B$20,0)-IF(40&lt;Model!$B$15,Model!$B$22,0))/(1-Model!$B$9)/(1+Model!$B$18)^40))</f>
        <v/>
      </c>
      <c r="BC11" s="7">
        <f>IF(A11="","",IF((A11+41)&gt;Model!$B$4,0,MAX(0,Model!$B$6-IF((A11+41)&gt;=Model!$B$11,Model!$B$20,0)-IF(41&lt;Model!$B$15,Model!$B$22,0))/(1-Model!$B$9)/(1+Model!$B$18)^41))</f>
        <v/>
      </c>
      <c r="BD11" s="7">
        <f>IF(A11="","",IF((A11+42)&gt;Model!$B$4,0,MAX(0,Model!$B$6-IF((A11+42)&gt;=Model!$B$11,Model!$B$20,0)-IF(42&lt;Model!$B$15,Model!$B$22,0))/(1-Model!$B$9)/(1+Model!$B$18)^42))</f>
        <v/>
      </c>
      <c r="BE11" s="7">
        <f>IF(A11="","",IF((A11+43)&gt;Model!$B$4,0,MAX(0,Model!$B$6-IF((A11+43)&gt;=Model!$B$11,Model!$B$20,0)-IF(43&lt;Model!$B$15,Model!$B$22,0))/(1-Model!$B$9)/(1+Model!$B$18)^43))</f>
        <v/>
      </c>
      <c r="BF11" s="7">
        <f>IF(A11="","",IF((A11+44)&gt;Model!$B$4,0,MAX(0,Model!$B$6-IF((A11+44)&gt;=Model!$B$11,Model!$B$20,0)-IF(44&lt;Model!$B$15,Model!$B$22,0))/(1-Model!$B$9)/(1+Model!$B$18)^44))</f>
        <v/>
      </c>
      <c r="BG11" s="7">
        <f>IF(A11="","",IF((A11+45)&gt;Model!$B$4,0,MAX(0,Model!$B$6-IF((A11+45)&gt;=Model!$B$11,Model!$B$20,0)-IF(45&lt;Model!$B$15,Model!$B$22,0))/(1-Model!$B$9)/(1+Model!$B$18)^45))</f>
        <v/>
      </c>
      <c r="BH11" s="7">
        <f>IF(A11="","",IF((A11+46)&gt;Model!$B$4,0,MAX(0,Model!$B$6-IF((A11+46)&gt;=Model!$B$11,Model!$B$20,0)-IF(46&lt;Model!$B$15,Model!$B$22,0))/(1-Model!$B$9)/(1+Model!$B$18)^46))</f>
        <v/>
      </c>
      <c r="BI11" s="7">
        <f>IF(A11="","",IF((A11+47)&gt;Model!$B$4,0,MAX(0,Model!$B$6-IF((A11+47)&gt;=Model!$B$11,Model!$B$20,0)-IF(47&lt;Model!$B$15,Model!$B$22,0))/(1-Model!$B$9)/(1+Model!$B$18)^47))</f>
        <v/>
      </c>
      <c r="BJ11" s="7">
        <f>IF(A11="","",IF((A11+48)&gt;Model!$B$4,0,MAX(0,Model!$B$6-IF((A11+48)&gt;=Model!$B$11,Model!$B$20,0)-IF(48&lt;Model!$B$15,Model!$B$22,0))/(1-Model!$B$9)/(1+Model!$B$18)^48))</f>
        <v/>
      </c>
      <c r="BK11" s="7">
        <f>IF(A11="","",IF((A11+49)&gt;Model!$B$4,0,MAX(0,Model!$B$6-IF((A11+49)&gt;=Model!$B$11,Model!$B$20,0)-IF(49&lt;Model!$B$15,Model!$B$22,0))/(1-Model!$B$9)/(1+Model!$B$18)^49))</f>
        <v/>
      </c>
      <c r="BL11" s="7">
        <f>IF(A11="","",IF((A11+50)&gt;Model!$B$4,0,MAX(0,Model!$B$6-IF((A11+50)&gt;=Model!$B$11,Model!$B$20,0)-IF(50&lt;Model!$B$15,Model!$B$22,0))/(1-Model!$B$9)/(1+Model!$B$18)^50))</f>
        <v/>
      </c>
      <c r="BM11" s="7">
        <f>IF(A11="","",IF((A11+51)&gt;Model!$B$4,0,MAX(0,Model!$B$6-IF((A11+51)&gt;=Model!$B$11,Model!$B$20,0)-IF(51&lt;Model!$B$15,Model!$B$22,0))/(1-Model!$B$9)/(1+Model!$B$18)^51))</f>
        <v/>
      </c>
      <c r="BN11" s="7">
        <f>IF(A11="","",IF((A11+52)&gt;Model!$B$4,0,MAX(0,Model!$B$6-IF((A11+52)&gt;=Model!$B$11,Model!$B$20,0)-IF(52&lt;Model!$B$15,Model!$B$22,0))/(1-Model!$B$9)/(1+Model!$B$18)^52))</f>
        <v/>
      </c>
      <c r="BO11" s="7">
        <f>IF(A11="","",IF((A11+53)&gt;Model!$B$4,0,MAX(0,Model!$B$6-IF((A11+53)&gt;=Model!$B$11,Model!$B$20,0)-IF(53&lt;Model!$B$15,Model!$B$22,0))/(1-Model!$B$9)/(1+Model!$B$18)^53))</f>
        <v/>
      </c>
      <c r="BP11" s="7">
        <f>IF(A11="","",IF((A11+54)&gt;Model!$B$4,0,MAX(0,Model!$B$6-IF((A11+54)&gt;=Model!$B$11,Model!$B$20,0)-IF(54&lt;Model!$B$15,Model!$B$22,0))/(1-Model!$B$9)/(1+Model!$B$18)^54))</f>
        <v/>
      </c>
      <c r="BQ11" s="7">
        <f>IF(A11="","",IF((A11+55)&gt;Model!$B$4,0,MAX(0,Model!$B$6-IF((A11+55)&gt;=Model!$B$11,Model!$B$20,0)-IF(55&lt;Model!$B$15,Model!$B$22,0))/(1-Model!$B$9)/(1+Model!$B$18)^55))</f>
        <v/>
      </c>
      <c r="BR11" s="7">
        <f>IF(A11="","",IF((A11+56)&gt;Model!$B$4,0,MAX(0,Model!$B$6-IF((A11+56)&gt;=Model!$B$11,Model!$B$20,0)-IF(56&lt;Model!$B$15,Model!$B$22,0))/(1-Model!$B$9)/(1+Model!$B$18)^56))</f>
        <v/>
      </c>
      <c r="BS11" s="7">
        <f>IF(A11="","",IF((A11+57)&gt;Model!$B$4,0,MAX(0,Model!$B$6-IF((A11+57)&gt;=Model!$B$11,Model!$B$20,0)-IF(57&lt;Model!$B$15,Model!$B$22,0))/(1-Model!$B$9)/(1+Model!$B$18)^57))</f>
        <v/>
      </c>
      <c r="BT11" s="7">
        <f>IF(A11="","",IF((A11+58)&gt;Model!$B$4,0,MAX(0,Model!$B$6-IF((A11+58)&gt;=Model!$B$11,Model!$B$20,0)-IF(58&lt;Model!$B$15,Model!$B$22,0))/(1-Model!$B$9)/(1+Model!$B$18)^58))</f>
        <v/>
      </c>
      <c r="BU11" s="7">
        <f>IF(A11="","",IF((A11+59)&gt;Model!$B$4,0,MAX(0,Model!$B$6-IF((A11+59)&gt;=Model!$B$11,Model!$B$20,0)-IF(59&lt;Model!$B$15,Model!$B$22,0))/(1-Model!$B$9)/(1+Model!$B$18)^59))</f>
        <v/>
      </c>
      <c r="BV11" s="7">
        <f>IF(A11="","",IF((A11+60)&gt;Model!$B$4,0,MAX(0,Model!$B$6-IF((A11+60)&gt;=Model!$B$11,Model!$B$20,0)-IF(60&lt;Model!$B$15,Model!$B$22,0))/(1-Model!$B$9)/(1+Model!$B$18)^60))</f>
        <v/>
      </c>
      <c r="BW11" s="7">
        <f>IF(A11="","",IF((A11+61)&gt;Model!$B$4,0,MAX(0,Model!$B$6-IF((A11+61)&gt;=Model!$B$11,Model!$B$20,0)-IF(61&lt;Model!$B$15,Model!$B$22,0))/(1-Model!$B$9)/(1+Model!$B$18)^61))</f>
        <v/>
      </c>
      <c r="BX11" s="7">
        <f>IF(A11="","",IF((A11+62)&gt;Model!$B$4,0,MAX(0,Model!$B$6-IF((A11+62)&gt;=Model!$B$11,Model!$B$20,0)-IF(62&lt;Model!$B$15,Model!$B$22,0))/(1-Model!$B$9)/(1+Model!$B$18)^62))</f>
        <v/>
      </c>
      <c r="BY11" s="7">
        <f>IF(A11="","",IF((A11+63)&gt;Model!$B$4,0,MAX(0,Model!$B$6-IF((A11+63)&gt;=Model!$B$11,Model!$B$20,0)-IF(63&lt;Model!$B$15,Model!$B$22,0))/(1-Model!$B$9)/(1+Model!$B$18)^63))</f>
        <v/>
      </c>
      <c r="BZ11" s="7">
        <f>IF(A11="","",IF((A11+64)&gt;Model!$B$4,0,MAX(0,Model!$B$6-IF((A11+64)&gt;=Model!$B$11,Model!$B$20,0)-IF(64&lt;Model!$B$15,Model!$B$22,0))/(1-Model!$B$9)/(1+Model!$B$18)^64))</f>
        <v/>
      </c>
      <c r="CA11" s="7">
        <f>IF(A11="","",IF((A11+65)&gt;Model!$B$4,0,MAX(0,Model!$B$6-IF((A11+65)&gt;=Model!$B$11,Model!$B$20,0)-IF(65&lt;Model!$B$15,Model!$B$22,0))/(1-Model!$B$9)/(1+Model!$B$18)^65))</f>
        <v/>
      </c>
      <c r="CB11" s="7">
        <f>IF(A11="","",IF((A11+66)&gt;Model!$B$4,0,MAX(0,Model!$B$6-IF((A11+66)&gt;=Model!$B$11,Model!$B$20,0)-IF(66&lt;Model!$B$15,Model!$B$22,0))/(1-Model!$B$9)/(1+Model!$B$18)^66))</f>
        <v/>
      </c>
      <c r="CC11" s="7">
        <f>IF(A11="","",IF((A11+67)&gt;Model!$B$4,0,MAX(0,Model!$B$6-IF((A11+67)&gt;=Model!$B$11,Model!$B$20,0)-IF(67&lt;Model!$B$15,Model!$B$22,0))/(1-Model!$B$9)/(1+Model!$B$18)^67))</f>
        <v/>
      </c>
      <c r="CD11" s="7">
        <f>IF(A11="","",IF((A11+68)&gt;Model!$B$4,0,MAX(0,Model!$B$6-IF((A11+68)&gt;=Model!$B$11,Model!$B$20,0)-IF(68&lt;Model!$B$15,Model!$B$22,0))/(1-Model!$B$9)/(1+Model!$B$18)^68))</f>
        <v/>
      </c>
      <c r="CE11" s="7">
        <f>IF(A11="","",IF((A11+69)&gt;Model!$B$4,0,MAX(0,Model!$B$6-IF((A11+69)&gt;=Model!$B$11,Model!$B$20,0)-IF(69&lt;Model!$B$15,Model!$B$22,0))/(1-Model!$B$9)/(1+Model!$B$18)^69))</f>
        <v/>
      </c>
      <c r="CF11" s="7">
        <f>IF(A11="","",IF((A11+70)&gt;Model!$B$4,0,MAX(0,Model!$B$6-IF((A11+70)&gt;=Model!$B$11,Model!$B$20,0)-IF(70&lt;Model!$B$15,Model!$B$22,0))/(1-Model!$B$9)/(1+Model!$B$18)^70))</f>
        <v/>
      </c>
      <c r="CG11" s="7">
        <f>IF(A11="","",IF((A11+71)&gt;Model!$B$4,0,MAX(0,Model!$B$6-IF((A11+71)&gt;=Model!$B$11,Model!$B$20,0)-IF(71&lt;Model!$B$15,Model!$B$22,0))/(1-Model!$B$9)/(1+Model!$B$18)^71))</f>
        <v/>
      </c>
      <c r="CH11" s="7">
        <f>IF(A11="","",IF((A11+72)&gt;Model!$B$4,0,MAX(0,Model!$B$6-IF((A11+72)&gt;=Model!$B$11,Model!$B$20,0)-IF(72&lt;Model!$B$15,Model!$B$22,0))/(1-Model!$B$9)/(1+Model!$B$18)^72))</f>
        <v/>
      </c>
      <c r="CI11" s="7">
        <f>IF(A11="","",IF((A11+73)&gt;Model!$B$4,0,MAX(0,Model!$B$6-IF((A11+73)&gt;=Model!$B$11,Model!$B$20,0)-IF(73&lt;Model!$B$15,Model!$B$22,0))/(1-Model!$B$9)/(1+Model!$B$18)^73))</f>
        <v/>
      </c>
      <c r="CJ11" s="7">
        <f>IF(A11="","",IF((A11+74)&gt;Model!$B$4,0,MAX(0,Model!$B$6-IF((A11+74)&gt;=Model!$B$11,Model!$B$20,0)-IF(74&lt;Model!$B$15,Model!$B$22,0))/(1-Model!$B$9)/(1+Model!$B$18)^74))</f>
        <v/>
      </c>
      <c r="CK11" s="7">
        <f>IF(A11="","",IF((A11+75)&gt;Model!$B$4,0,MAX(0,Model!$B$6-IF((A11+75)&gt;=Model!$B$11,Model!$B$20,0)-IF(75&lt;Model!$B$15,Model!$B$22,0))/(1-Model!$B$9)/(1+Model!$B$18)^75))</f>
        <v/>
      </c>
      <c r="CL11" s="7">
        <f>IF(A11="","",IF((A11+76)&gt;Model!$B$4,0,MAX(0,Model!$B$6-IF((A11+76)&gt;=Model!$B$11,Model!$B$20,0)-IF(76&lt;Model!$B$15,Model!$B$22,0))/(1-Model!$B$9)/(1+Model!$B$18)^76))</f>
        <v/>
      </c>
      <c r="CM11" s="7">
        <f>IF(A11="","",IF((A11+77)&gt;Model!$B$4,0,MAX(0,Model!$B$6-IF((A11+77)&gt;=Model!$B$11,Model!$B$20,0)-IF(77&lt;Model!$B$15,Model!$B$22,0))/(1-Model!$B$9)/(1+Model!$B$18)^77))</f>
        <v/>
      </c>
      <c r="CN11" s="7">
        <f>IF(A11="","",IF((A11+78)&gt;Model!$B$4,0,MAX(0,Model!$B$6-IF((A11+78)&gt;=Model!$B$11,Model!$B$20,0)-IF(78&lt;Model!$B$15,Model!$B$22,0))/(1-Model!$B$9)/(1+Model!$B$18)^78))</f>
        <v/>
      </c>
      <c r="CO11" s="7">
        <f>IF(A11="","",IF((A11+79)&gt;Model!$B$4,0,MAX(0,Model!$B$6-IF((A11+79)&gt;=Model!$B$11,Model!$B$20,0)-IF(79&lt;Model!$B$15,Model!$B$22,0))/(1-Model!$B$9)/(1+Model!$B$18)^79))</f>
        <v/>
      </c>
      <c r="CP11" s="7">
        <f>IF(A11="","",IF((A11+80)&gt;Model!$B$4,0,MAX(0,Model!$B$6-IF((A11+80)&gt;=Model!$B$11,Model!$B$20,0)-IF(80&lt;Model!$B$15,Model!$B$22,0))/(1-Model!$B$9)/(1+Model!$B$18)^80))</f>
        <v/>
      </c>
      <c r="CQ11" s="7">
        <f>IF(A11="","",IF((A11+81)&gt;Model!$B$4,0,MAX(0,Model!$B$6-IF((A11+81)&gt;=Model!$B$11,Model!$B$20,0)-IF(81&lt;Model!$B$15,Model!$B$22,0))/(1-Model!$B$9)/(1+Model!$B$18)^81))</f>
        <v/>
      </c>
      <c r="CR11" s="7">
        <f>IF(A11="","",IF((A11+82)&gt;Model!$B$4,0,MAX(0,Model!$B$6-IF((A11+82)&gt;=Model!$B$11,Model!$B$20,0)-IF(82&lt;Model!$B$15,Model!$B$22,0))/(1-Model!$B$9)/(1+Model!$B$18)^82))</f>
        <v/>
      </c>
      <c r="CS11" s="7">
        <f>IF(A11="","",IF((A11+83)&gt;Model!$B$4,0,MAX(0,Model!$B$6-IF((A11+83)&gt;=Model!$B$11,Model!$B$20,0)-IF(83&lt;Model!$B$15,Model!$B$22,0))/(1-Model!$B$9)/(1+Model!$B$18)^83))</f>
        <v/>
      </c>
      <c r="CT11" s="7">
        <f>IF(A11="","",IF((A11+84)&gt;Model!$B$4,0,MAX(0,Model!$B$6-IF((A11+84)&gt;=Model!$B$11,Model!$B$20,0)-IF(84&lt;Model!$B$15,Model!$B$22,0))/(1-Model!$B$9)/(1+Model!$B$18)^84))</f>
        <v/>
      </c>
      <c r="CU11" s="7">
        <f>IF(A11="","",IF((A11+85)&gt;Model!$B$4,0,MAX(0,Model!$B$6-IF((A11+85)&gt;=Model!$B$11,Model!$B$20,0)-IF(85&lt;Model!$B$15,Model!$B$22,0))/(1-Model!$B$9)/(1+Model!$B$18)^85))</f>
        <v/>
      </c>
      <c r="CV11" s="7">
        <f>IF(A11="","",IF((A11+86)&gt;Model!$B$4,0,MAX(0,Model!$B$6-IF((A11+86)&gt;=Model!$B$11,Model!$B$20,0)-IF(86&lt;Model!$B$15,Model!$B$22,0))/(1-Model!$B$9)/(1+Model!$B$18)^86))</f>
        <v/>
      </c>
      <c r="CW11" s="7">
        <f>IF(A11="","",IF((A11+87)&gt;Model!$B$4,0,MAX(0,Model!$B$6-IF((A11+87)&gt;=Model!$B$11,Model!$B$20,0)-IF(87&lt;Model!$B$15,Model!$B$22,0))/(1-Model!$B$9)/(1+Model!$B$18)^87))</f>
        <v/>
      </c>
      <c r="CX11" s="7">
        <f>IF(A11="","",IF((A11+88)&gt;Model!$B$4,0,MAX(0,Model!$B$6-IF((A11+88)&gt;=Model!$B$11,Model!$B$20,0)-IF(88&lt;Model!$B$15,Model!$B$22,0))/(1-Model!$B$9)/(1+Model!$B$18)^88))</f>
        <v/>
      </c>
      <c r="CY11" s="7">
        <f>IF(A11="","",IF((A11+89)&gt;Model!$B$4,0,MAX(0,Model!$B$6-IF((A11+89)&gt;=Model!$B$11,Model!$B$20,0)-IF(89&lt;Model!$B$15,Model!$B$22,0))/(1-Model!$B$9)/(1+Model!$B$18)^89))</f>
        <v/>
      </c>
      <c r="CZ11" s="7">
        <f>IF(A11="","",IF((A11+90)&gt;Model!$B$4,0,MAX(0,Model!$B$6-IF((A11+90)&gt;=Model!$B$11,Model!$B$20,0)-IF(90&lt;Model!$B$15,Model!$B$22,0))/(1-Model!$B$9)/(1+Model!$B$18)^90))</f>
        <v/>
      </c>
      <c r="DA11" s="7">
        <f>IF(A11="","",IF((A11+91)&gt;Model!$B$4,0,MAX(0,Model!$B$6-IF((A11+91)&gt;=Model!$B$11,Model!$B$20,0)-IF(91&lt;Model!$B$15,Model!$B$22,0))/(1-Model!$B$9)/(1+Model!$B$18)^91))</f>
        <v/>
      </c>
      <c r="DB11" s="7">
        <f>IF(A11="","",IF((A11+92)&gt;Model!$B$4,0,MAX(0,Model!$B$6-IF((A11+92)&gt;=Model!$B$11,Model!$B$20,0)-IF(92&lt;Model!$B$15,Model!$B$22,0))/(1-Model!$B$9)/(1+Model!$B$18)^92))</f>
        <v/>
      </c>
      <c r="DC11" s="7">
        <f>IF(A11="","",IF((A11+93)&gt;Model!$B$4,0,MAX(0,Model!$B$6-IF((A11+93)&gt;=Model!$B$11,Model!$B$20,0)-IF(93&lt;Model!$B$15,Model!$B$22,0))/(1-Model!$B$9)/(1+Model!$B$18)^93))</f>
        <v/>
      </c>
      <c r="DD11" s="7">
        <f>IF(A11="","",IF((A11+94)&gt;Model!$B$4,0,MAX(0,Model!$B$6-IF((A11+94)&gt;=Model!$B$11,Model!$B$20,0)-IF(94&lt;Model!$B$15,Model!$B$22,0))/(1-Model!$B$9)/(1+Model!$B$18)^94))</f>
        <v/>
      </c>
      <c r="DE11" s="7">
        <f>IF(A11="","",IF((A11+95)&gt;Model!$B$4,0,MAX(0,Model!$B$6-IF((A11+95)&gt;=Model!$B$11,Model!$B$20,0)-IF(95&lt;Model!$B$15,Model!$B$22,0))/(1-Model!$B$9)/(1+Model!$B$18)^95))</f>
        <v/>
      </c>
      <c r="DF11" s="7">
        <f>IF(A11="","",IF((A11+96)&gt;Model!$B$4,0,MAX(0,Model!$B$6-IF((A11+96)&gt;=Model!$B$11,Model!$B$20,0)-IF(96&lt;Model!$B$15,Model!$B$22,0))/(1-Model!$B$9)/(1+Model!$B$18)^96))</f>
        <v/>
      </c>
      <c r="DG11" s="7">
        <f>IF(A11="","",IF((A11+97)&gt;Model!$B$4,0,MAX(0,Model!$B$6-IF((A11+97)&gt;=Model!$B$11,Model!$B$20,0)-IF(97&lt;Model!$B$15,Model!$B$22,0))/(1-Model!$B$9)/(1+Model!$B$18)^97))</f>
        <v/>
      </c>
      <c r="DH11" s="7">
        <f>IF(A11="","",IF((A11+98)&gt;Model!$B$4,0,MAX(0,Model!$B$6-IF((A11+98)&gt;=Model!$B$11,Model!$B$20,0)-IF(98&lt;Model!$B$15,Model!$B$22,0))/(1-Model!$B$9)/(1+Model!$B$18)^98))</f>
        <v/>
      </c>
      <c r="DI11" s="7">
        <f>IF(A11="","",IF((A11+99)&gt;Model!$B$4,0,MAX(0,Model!$B$6-IF((A11+99)&gt;=Model!$B$11,Model!$B$20,0)-IF(99&lt;Model!$B$15,Model!$B$22,0))/(1-Model!$B$9)/(1+Model!$B$18)^99))</f>
        <v/>
      </c>
      <c r="DJ11" s="7">
        <f>IF(A11="","",IF((A11+100)&gt;Model!$B$4,0,MAX(0,Model!$B$6-IF((A11+100)&gt;=Model!$B$11,Model!$B$20,0)-IF(100&lt;Model!$B$15,Model!$B$22,0))/(1-Model!$B$9)/(1+Model!$B$18)^100))</f>
        <v/>
      </c>
      <c r="DK11" s="7">
        <f>IF(A11="","",IF((A11+101)&gt;Model!$B$4,0,MAX(0,Model!$B$6-IF((A11+101)&gt;=Model!$B$11,Model!$B$20,0)-IF(101&lt;Model!$B$15,Model!$B$22,0))/(1-Model!$B$9)/(1+Model!$B$18)^101))</f>
        <v/>
      </c>
      <c r="DL11" s="7">
        <f>IF(A11="","",IF((A11+102)&gt;Model!$B$4,0,MAX(0,Model!$B$6-IF((A11+102)&gt;=Model!$B$11,Model!$B$20,0)-IF(102&lt;Model!$B$15,Model!$B$22,0))/(1-Model!$B$9)/(1+Model!$B$18)^102))</f>
        <v/>
      </c>
      <c r="DM11" s="7">
        <f>IF(A11="","",IF((A11+103)&gt;Model!$B$4,0,MAX(0,Model!$B$6-IF((A11+103)&gt;=Model!$B$11,Model!$B$20,0)-IF(103&lt;Model!$B$15,Model!$B$22,0))/(1-Model!$B$9)/(1+Model!$B$18)^103))</f>
        <v/>
      </c>
      <c r="DN11" s="7">
        <f>IF(A11="","",IF((A11+104)&gt;Model!$B$4,0,MAX(0,Model!$B$6-IF((A11+104)&gt;=Model!$B$11,Model!$B$20,0)-IF(104&lt;Model!$B$15,Model!$B$22,0))/(1-Model!$B$9)/(1+Model!$B$18)^104))</f>
        <v/>
      </c>
      <c r="DO11" s="7">
        <f>IF(A11="","",IF((A11+105)&gt;Model!$B$4,0,MAX(0,Model!$B$6-IF((A11+105)&gt;=Model!$B$11,Model!$B$20,0)-IF(105&lt;Model!$B$15,Model!$B$22,0))/(1-Model!$B$9)/(1+Model!$B$18)^105))</f>
        <v/>
      </c>
      <c r="DP11" s="7">
        <f>IF(A11="","",IF((A11+106)&gt;Model!$B$4,0,MAX(0,Model!$B$6-IF((A11+106)&gt;=Model!$B$11,Model!$B$20,0)-IF(106&lt;Model!$B$15,Model!$B$22,0))/(1-Model!$B$9)/(1+Model!$B$18)^106))</f>
        <v/>
      </c>
      <c r="DQ11" s="7">
        <f>IF(A11="","",IF((A11+107)&gt;Model!$B$4,0,MAX(0,Model!$B$6-IF((A11+107)&gt;=Model!$B$11,Model!$B$20,0)-IF(107&lt;Model!$B$15,Model!$B$22,0))/(1-Model!$B$9)/(1+Model!$B$18)^107))</f>
        <v/>
      </c>
      <c r="DR11" s="7">
        <f>IF(A11="","",IF((A11+108)&gt;Model!$B$4,0,MAX(0,Model!$B$6-IF((A11+108)&gt;=Model!$B$11,Model!$B$20,0)-IF(108&lt;Model!$B$15,Model!$B$22,0))/(1-Model!$B$9)/(1+Model!$B$18)^108))</f>
        <v/>
      </c>
      <c r="DS11" s="7">
        <f>IF(A11="","",IF((A11+109)&gt;Model!$B$4,0,MAX(0,Model!$B$6-IF((A11+109)&gt;=Model!$B$11,Model!$B$20,0)-IF(109&lt;Model!$B$15,Model!$B$22,0))/(1-Model!$B$9)/(1+Model!$B$18)^109))</f>
        <v/>
      </c>
      <c r="DT11" s="7">
        <f>IF(A11="","",IF((A11+110)&gt;Model!$B$4,0,MAX(0,Model!$B$6-IF((A11+110)&gt;=Model!$B$11,Model!$B$20,0)-IF(110&lt;Model!$B$15,Model!$B$22,0))/(1-Model!$B$9)/(1+Model!$B$18)^110))</f>
        <v/>
      </c>
      <c r="DU11" s="7">
        <f>IF(A11="","",IF((A11+111)&gt;Model!$B$4,0,MAX(0,Model!$B$6-IF((A11+111)&gt;=Model!$B$11,Model!$B$20,0)-IF(111&lt;Model!$B$15,Model!$B$22,0))/(1-Model!$B$9)/(1+Model!$B$18)^111))</f>
        <v/>
      </c>
      <c r="DV11" s="7">
        <f>IF(A11="","",IF((A11+112)&gt;Model!$B$4,0,MAX(0,Model!$B$6-IF((A11+112)&gt;=Model!$B$11,Model!$B$20,0)-IF(112&lt;Model!$B$15,Model!$B$22,0))/(1-Model!$B$9)/(1+Model!$B$18)^112))</f>
        <v/>
      </c>
      <c r="DW11" s="7">
        <f>IF(A11="","",IF((A11+113)&gt;Model!$B$4,0,MAX(0,Model!$B$6-IF((A11+113)&gt;=Model!$B$11,Model!$B$20,0)-IF(113&lt;Model!$B$15,Model!$B$22,0))/(1-Model!$B$9)/(1+Model!$B$18)^113))</f>
        <v/>
      </c>
      <c r="DX11" s="7">
        <f>IF(A11="","",IF((A11+114)&gt;Model!$B$4,0,MAX(0,Model!$B$6-IF((A11+114)&gt;=Model!$B$11,Model!$B$20,0)-IF(114&lt;Model!$B$15,Model!$B$22,0))/(1-Model!$B$9)/(1+Model!$B$18)^114))</f>
        <v/>
      </c>
      <c r="DY11" s="7">
        <f>IF(A11="","",IF((A11+115)&gt;Model!$B$4,0,MAX(0,Model!$B$6-IF((A11+115)&gt;=Model!$B$11,Model!$B$20,0)-IF(115&lt;Model!$B$15,Model!$B$22,0))/(1-Model!$B$9)/(1+Model!$B$18)^115))</f>
        <v/>
      </c>
      <c r="DZ11" s="7">
        <f>IF(A11="","",IF((A11+116)&gt;Model!$B$4,0,MAX(0,Model!$B$6-IF((A11+116)&gt;=Model!$B$11,Model!$B$20,0)-IF(116&lt;Model!$B$15,Model!$B$22,0))/(1-Model!$B$9)/(1+Model!$B$18)^116))</f>
        <v/>
      </c>
      <c r="EA11" s="7">
        <f>IF(A11="","",IF((A11+117)&gt;Model!$B$4,0,MAX(0,Model!$B$6-IF((A11+117)&gt;=Model!$B$11,Model!$B$20,0)-IF(117&lt;Model!$B$15,Model!$B$22,0))/(1-Model!$B$9)/(1+Model!$B$18)^117))</f>
        <v/>
      </c>
      <c r="EB11" s="7">
        <f>IF(A11="","",IF((A11+118)&gt;Model!$B$4,0,MAX(0,Model!$B$6-IF((A11+118)&gt;=Model!$B$11,Model!$B$20,0)-IF(118&lt;Model!$B$15,Model!$B$22,0))/(1-Model!$B$9)/(1+Model!$B$18)^118))</f>
        <v/>
      </c>
      <c r="EC11" s="7">
        <f>IF(A11="","",IF((A11+119)&gt;Model!$B$4,0,MAX(0,Model!$B$6-IF((A11+119)&gt;=Model!$B$11,Model!$B$20,0)-IF(119&lt;Model!$B$15,Model!$B$22,0))/(1-Model!$B$9)/(1+Model!$B$18)^119))</f>
        <v/>
      </c>
      <c r="ED11" s="7">
        <f>IF(A11="","",IF((A11+120)&gt;Model!$B$4,0,MAX(0,Model!$B$6-IF((A11+120)&gt;=Model!$B$11,Model!$B$20,0)-IF(120&lt;Model!$B$15,Model!$B$22,0))/(1-Model!$B$9)/(1+Model!$B$18)^120))</f>
        <v/>
      </c>
    </row>
    <row r="12">
      <c r="A12">
        <f>IF(Model!$B$10+ROW()-2&lt;=Model!$B$4,Model!$B$10+ROW()-2,"")</f>
        <v/>
      </c>
      <c r="B12">
        <f>IF(A12="","",A12-Model!$B$10)</f>
        <v/>
      </c>
      <c r="C12" s="7">
        <f>IF(A12="","",Model!$B$5*(1+Model!$B$18)^B12)</f>
        <v/>
      </c>
      <c r="D12" s="7">
        <f>IF(A12="","",SUM(N12:ED12))</f>
        <v/>
      </c>
      <c r="E12" s="7">
        <f>IF(A12="","",IF(A12&gt;=Model!$B$11,Model!$B$20,0))</f>
        <v/>
      </c>
      <c r="F12" s="7">
        <f>IF(A12="","",IF(Model!$B$15&gt;0,Model!$B$22,0))</f>
        <v/>
      </c>
      <c r="G12" s="7">
        <f>IF(A12="","",E12+F12)</f>
        <v/>
      </c>
      <c r="H12" s="7">
        <f>IF(A12="","",MAX(0,Model!$B$6-G12))</f>
        <v/>
      </c>
      <c r="I12" s="7">
        <f>IF(A12="","",H12/(1-Model!$B$9))</f>
        <v/>
      </c>
      <c r="J12" s="7">
        <f>IF(A12="","",C12-D12)</f>
        <v/>
      </c>
      <c r="K12">
        <f>IF(A12="","",C12&gt;=D12)</f>
        <v/>
      </c>
      <c r="L12" s="7">
        <f>IF(A12="","",IF(A12&gt;=Model!$B$11,Model!$B$19*(1+Model!$B$13)^B12,0))</f>
        <v/>
      </c>
      <c r="M12" s="7">
        <f>IF(A12="","",IF(Model!$B$15&gt;0,Model!$B$21*(1+Model!$B$13)^B12,0))</f>
        <v/>
      </c>
      <c r="N12" s="7">
        <f>IF(A12="","",IF((A12+0)&gt;Model!$B$4,0,MAX(0,Model!$B$6-IF((A12+0)&gt;=Model!$B$11,Model!$B$20,0)-IF(0&lt;Model!$B$15,Model!$B$22,0))/(1-Model!$B$9)/(1+Model!$B$18)^0))</f>
        <v/>
      </c>
      <c r="O12" s="7">
        <f>IF(A12="","",IF((A12+1)&gt;Model!$B$4,0,MAX(0,Model!$B$6-IF((A12+1)&gt;=Model!$B$11,Model!$B$20,0)-IF(1&lt;Model!$B$15,Model!$B$22,0))/(1-Model!$B$9)/(1+Model!$B$18)^1))</f>
        <v/>
      </c>
      <c r="P12" s="7">
        <f>IF(A12="","",IF((A12+2)&gt;Model!$B$4,0,MAX(0,Model!$B$6-IF((A12+2)&gt;=Model!$B$11,Model!$B$20,0)-IF(2&lt;Model!$B$15,Model!$B$22,0))/(1-Model!$B$9)/(1+Model!$B$18)^2))</f>
        <v/>
      </c>
      <c r="Q12" s="7">
        <f>IF(A12="","",IF((A12+3)&gt;Model!$B$4,0,MAX(0,Model!$B$6-IF((A12+3)&gt;=Model!$B$11,Model!$B$20,0)-IF(3&lt;Model!$B$15,Model!$B$22,0))/(1-Model!$B$9)/(1+Model!$B$18)^3))</f>
        <v/>
      </c>
      <c r="R12" s="7">
        <f>IF(A12="","",IF((A12+4)&gt;Model!$B$4,0,MAX(0,Model!$B$6-IF((A12+4)&gt;=Model!$B$11,Model!$B$20,0)-IF(4&lt;Model!$B$15,Model!$B$22,0))/(1-Model!$B$9)/(1+Model!$B$18)^4))</f>
        <v/>
      </c>
      <c r="S12" s="7">
        <f>IF(A12="","",IF((A12+5)&gt;Model!$B$4,0,MAX(0,Model!$B$6-IF((A12+5)&gt;=Model!$B$11,Model!$B$20,0)-IF(5&lt;Model!$B$15,Model!$B$22,0))/(1-Model!$B$9)/(1+Model!$B$18)^5))</f>
        <v/>
      </c>
      <c r="T12" s="7">
        <f>IF(A12="","",IF((A12+6)&gt;Model!$B$4,0,MAX(0,Model!$B$6-IF((A12+6)&gt;=Model!$B$11,Model!$B$20,0)-IF(6&lt;Model!$B$15,Model!$B$22,0))/(1-Model!$B$9)/(1+Model!$B$18)^6))</f>
        <v/>
      </c>
      <c r="U12" s="7">
        <f>IF(A12="","",IF((A12+7)&gt;Model!$B$4,0,MAX(0,Model!$B$6-IF((A12+7)&gt;=Model!$B$11,Model!$B$20,0)-IF(7&lt;Model!$B$15,Model!$B$22,0))/(1-Model!$B$9)/(1+Model!$B$18)^7))</f>
        <v/>
      </c>
      <c r="V12" s="7">
        <f>IF(A12="","",IF((A12+8)&gt;Model!$B$4,0,MAX(0,Model!$B$6-IF((A12+8)&gt;=Model!$B$11,Model!$B$20,0)-IF(8&lt;Model!$B$15,Model!$B$22,0))/(1-Model!$B$9)/(1+Model!$B$18)^8))</f>
        <v/>
      </c>
      <c r="W12" s="7">
        <f>IF(A12="","",IF((A12+9)&gt;Model!$B$4,0,MAX(0,Model!$B$6-IF((A12+9)&gt;=Model!$B$11,Model!$B$20,0)-IF(9&lt;Model!$B$15,Model!$B$22,0))/(1-Model!$B$9)/(1+Model!$B$18)^9))</f>
        <v/>
      </c>
      <c r="X12" s="7">
        <f>IF(A12="","",IF((A12+10)&gt;Model!$B$4,0,MAX(0,Model!$B$6-IF((A12+10)&gt;=Model!$B$11,Model!$B$20,0)-IF(10&lt;Model!$B$15,Model!$B$22,0))/(1-Model!$B$9)/(1+Model!$B$18)^10))</f>
        <v/>
      </c>
      <c r="Y12" s="7">
        <f>IF(A12="","",IF((A12+11)&gt;Model!$B$4,0,MAX(0,Model!$B$6-IF((A12+11)&gt;=Model!$B$11,Model!$B$20,0)-IF(11&lt;Model!$B$15,Model!$B$22,0))/(1-Model!$B$9)/(1+Model!$B$18)^11))</f>
        <v/>
      </c>
      <c r="Z12" s="7">
        <f>IF(A12="","",IF((A12+12)&gt;Model!$B$4,0,MAX(0,Model!$B$6-IF((A12+12)&gt;=Model!$B$11,Model!$B$20,0)-IF(12&lt;Model!$B$15,Model!$B$22,0))/(1-Model!$B$9)/(1+Model!$B$18)^12))</f>
        <v/>
      </c>
      <c r="AA12" s="7">
        <f>IF(A12="","",IF((A12+13)&gt;Model!$B$4,0,MAX(0,Model!$B$6-IF((A12+13)&gt;=Model!$B$11,Model!$B$20,0)-IF(13&lt;Model!$B$15,Model!$B$22,0))/(1-Model!$B$9)/(1+Model!$B$18)^13))</f>
        <v/>
      </c>
      <c r="AB12" s="7">
        <f>IF(A12="","",IF((A12+14)&gt;Model!$B$4,0,MAX(0,Model!$B$6-IF((A12+14)&gt;=Model!$B$11,Model!$B$20,0)-IF(14&lt;Model!$B$15,Model!$B$22,0))/(1-Model!$B$9)/(1+Model!$B$18)^14))</f>
        <v/>
      </c>
      <c r="AC12" s="7">
        <f>IF(A12="","",IF((A12+15)&gt;Model!$B$4,0,MAX(0,Model!$B$6-IF((A12+15)&gt;=Model!$B$11,Model!$B$20,0)-IF(15&lt;Model!$B$15,Model!$B$22,0))/(1-Model!$B$9)/(1+Model!$B$18)^15))</f>
        <v/>
      </c>
      <c r="AD12" s="7">
        <f>IF(A12="","",IF((A12+16)&gt;Model!$B$4,0,MAX(0,Model!$B$6-IF((A12+16)&gt;=Model!$B$11,Model!$B$20,0)-IF(16&lt;Model!$B$15,Model!$B$22,0))/(1-Model!$B$9)/(1+Model!$B$18)^16))</f>
        <v/>
      </c>
      <c r="AE12" s="7">
        <f>IF(A12="","",IF((A12+17)&gt;Model!$B$4,0,MAX(0,Model!$B$6-IF((A12+17)&gt;=Model!$B$11,Model!$B$20,0)-IF(17&lt;Model!$B$15,Model!$B$22,0))/(1-Model!$B$9)/(1+Model!$B$18)^17))</f>
        <v/>
      </c>
      <c r="AF12" s="7">
        <f>IF(A12="","",IF((A12+18)&gt;Model!$B$4,0,MAX(0,Model!$B$6-IF((A12+18)&gt;=Model!$B$11,Model!$B$20,0)-IF(18&lt;Model!$B$15,Model!$B$22,0))/(1-Model!$B$9)/(1+Model!$B$18)^18))</f>
        <v/>
      </c>
      <c r="AG12" s="7">
        <f>IF(A12="","",IF((A12+19)&gt;Model!$B$4,0,MAX(0,Model!$B$6-IF((A12+19)&gt;=Model!$B$11,Model!$B$20,0)-IF(19&lt;Model!$B$15,Model!$B$22,0))/(1-Model!$B$9)/(1+Model!$B$18)^19))</f>
        <v/>
      </c>
      <c r="AH12" s="7">
        <f>IF(A12="","",IF((A12+20)&gt;Model!$B$4,0,MAX(0,Model!$B$6-IF((A12+20)&gt;=Model!$B$11,Model!$B$20,0)-IF(20&lt;Model!$B$15,Model!$B$22,0))/(1-Model!$B$9)/(1+Model!$B$18)^20))</f>
        <v/>
      </c>
      <c r="AI12" s="7">
        <f>IF(A12="","",IF((A12+21)&gt;Model!$B$4,0,MAX(0,Model!$B$6-IF((A12+21)&gt;=Model!$B$11,Model!$B$20,0)-IF(21&lt;Model!$B$15,Model!$B$22,0))/(1-Model!$B$9)/(1+Model!$B$18)^21))</f>
        <v/>
      </c>
      <c r="AJ12" s="7">
        <f>IF(A12="","",IF((A12+22)&gt;Model!$B$4,0,MAX(0,Model!$B$6-IF((A12+22)&gt;=Model!$B$11,Model!$B$20,0)-IF(22&lt;Model!$B$15,Model!$B$22,0))/(1-Model!$B$9)/(1+Model!$B$18)^22))</f>
        <v/>
      </c>
      <c r="AK12" s="7">
        <f>IF(A12="","",IF((A12+23)&gt;Model!$B$4,0,MAX(0,Model!$B$6-IF((A12+23)&gt;=Model!$B$11,Model!$B$20,0)-IF(23&lt;Model!$B$15,Model!$B$22,0))/(1-Model!$B$9)/(1+Model!$B$18)^23))</f>
        <v/>
      </c>
      <c r="AL12" s="7">
        <f>IF(A12="","",IF((A12+24)&gt;Model!$B$4,0,MAX(0,Model!$B$6-IF((A12+24)&gt;=Model!$B$11,Model!$B$20,0)-IF(24&lt;Model!$B$15,Model!$B$22,0))/(1-Model!$B$9)/(1+Model!$B$18)^24))</f>
        <v/>
      </c>
      <c r="AM12" s="7">
        <f>IF(A12="","",IF((A12+25)&gt;Model!$B$4,0,MAX(0,Model!$B$6-IF((A12+25)&gt;=Model!$B$11,Model!$B$20,0)-IF(25&lt;Model!$B$15,Model!$B$22,0))/(1-Model!$B$9)/(1+Model!$B$18)^25))</f>
        <v/>
      </c>
      <c r="AN12" s="7">
        <f>IF(A12="","",IF((A12+26)&gt;Model!$B$4,0,MAX(0,Model!$B$6-IF((A12+26)&gt;=Model!$B$11,Model!$B$20,0)-IF(26&lt;Model!$B$15,Model!$B$22,0))/(1-Model!$B$9)/(1+Model!$B$18)^26))</f>
        <v/>
      </c>
      <c r="AO12" s="7">
        <f>IF(A12="","",IF((A12+27)&gt;Model!$B$4,0,MAX(0,Model!$B$6-IF((A12+27)&gt;=Model!$B$11,Model!$B$20,0)-IF(27&lt;Model!$B$15,Model!$B$22,0))/(1-Model!$B$9)/(1+Model!$B$18)^27))</f>
        <v/>
      </c>
      <c r="AP12" s="7">
        <f>IF(A12="","",IF((A12+28)&gt;Model!$B$4,0,MAX(0,Model!$B$6-IF((A12+28)&gt;=Model!$B$11,Model!$B$20,0)-IF(28&lt;Model!$B$15,Model!$B$22,0))/(1-Model!$B$9)/(1+Model!$B$18)^28))</f>
        <v/>
      </c>
      <c r="AQ12" s="7">
        <f>IF(A12="","",IF((A12+29)&gt;Model!$B$4,0,MAX(0,Model!$B$6-IF((A12+29)&gt;=Model!$B$11,Model!$B$20,0)-IF(29&lt;Model!$B$15,Model!$B$22,0))/(1-Model!$B$9)/(1+Model!$B$18)^29))</f>
        <v/>
      </c>
      <c r="AR12" s="7">
        <f>IF(A12="","",IF((A12+30)&gt;Model!$B$4,0,MAX(0,Model!$B$6-IF((A12+30)&gt;=Model!$B$11,Model!$B$20,0)-IF(30&lt;Model!$B$15,Model!$B$22,0))/(1-Model!$B$9)/(1+Model!$B$18)^30))</f>
        <v/>
      </c>
      <c r="AS12" s="7">
        <f>IF(A12="","",IF((A12+31)&gt;Model!$B$4,0,MAX(0,Model!$B$6-IF((A12+31)&gt;=Model!$B$11,Model!$B$20,0)-IF(31&lt;Model!$B$15,Model!$B$22,0))/(1-Model!$B$9)/(1+Model!$B$18)^31))</f>
        <v/>
      </c>
      <c r="AT12" s="7">
        <f>IF(A12="","",IF((A12+32)&gt;Model!$B$4,0,MAX(0,Model!$B$6-IF((A12+32)&gt;=Model!$B$11,Model!$B$20,0)-IF(32&lt;Model!$B$15,Model!$B$22,0))/(1-Model!$B$9)/(1+Model!$B$18)^32))</f>
        <v/>
      </c>
      <c r="AU12" s="7">
        <f>IF(A12="","",IF((A12+33)&gt;Model!$B$4,0,MAX(0,Model!$B$6-IF((A12+33)&gt;=Model!$B$11,Model!$B$20,0)-IF(33&lt;Model!$B$15,Model!$B$22,0))/(1-Model!$B$9)/(1+Model!$B$18)^33))</f>
        <v/>
      </c>
      <c r="AV12" s="7">
        <f>IF(A12="","",IF((A12+34)&gt;Model!$B$4,0,MAX(0,Model!$B$6-IF((A12+34)&gt;=Model!$B$11,Model!$B$20,0)-IF(34&lt;Model!$B$15,Model!$B$22,0))/(1-Model!$B$9)/(1+Model!$B$18)^34))</f>
        <v/>
      </c>
      <c r="AW12" s="7">
        <f>IF(A12="","",IF((A12+35)&gt;Model!$B$4,0,MAX(0,Model!$B$6-IF((A12+35)&gt;=Model!$B$11,Model!$B$20,0)-IF(35&lt;Model!$B$15,Model!$B$22,0))/(1-Model!$B$9)/(1+Model!$B$18)^35))</f>
        <v/>
      </c>
      <c r="AX12" s="7">
        <f>IF(A12="","",IF((A12+36)&gt;Model!$B$4,0,MAX(0,Model!$B$6-IF((A12+36)&gt;=Model!$B$11,Model!$B$20,0)-IF(36&lt;Model!$B$15,Model!$B$22,0))/(1-Model!$B$9)/(1+Model!$B$18)^36))</f>
        <v/>
      </c>
      <c r="AY12" s="7">
        <f>IF(A12="","",IF((A12+37)&gt;Model!$B$4,0,MAX(0,Model!$B$6-IF((A12+37)&gt;=Model!$B$11,Model!$B$20,0)-IF(37&lt;Model!$B$15,Model!$B$22,0))/(1-Model!$B$9)/(1+Model!$B$18)^37))</f>
        <v/>
      </c>
      <c r="AZ12" s="7">
        <f>IF(A12="","",IF((A12+38)&gt;Model!$B$4,0,MAX(0,Model!$B$6-IF((A12+38)&gt;=Model!$B$11,Model!$B$20,0)-IF(38&lt;Model!$B$15,Model!$B$22,0))/(1-Model!$B$9)/(1+Model!$B$18)^38))</f>
        <v/>
      </c>
      <c r="BA12" s="7">
        <f>IF(A12="","",IF((A12+39)&gt;Model!$B$4,0,MAX(0,Model!$B$6-IF((A12+39)&gt;=Model!$B$11,Model!$B$20,0)-IF(39&lt;Model!$B$15,Model!$B$22,0))/(1-Model!$B$9)/(1+Model!$B$18)^39))</f>
        <v/>
      </c>
      <c r="BB12" s="7">
        <f>IF(A12="","",IF((A12+40)&gt;Model!$B$4,0,MAX(0,Model!$B$6-IF((A12+40)&gt;=Model!$B$11,Model!$B$20,0)-IF(40&lt;Model!$B$15,Model!$B$22,0))/(1-Model!$B$9)/(1+Model!$B$18)^40))</f>
        <v/>
      </c>
      <c r="BC12" s="7">
        <f>IF(A12="","",IF((A12+41)&gt;Model!$B$4,0,MAX(0,Model!$B$6-IF((A12+41)&gt;=Model!$B$11,Model!$B$20,0)-IF(41&lt;Model!$B$15,Model!$B$22,0))/(1-Model!$B$9)/(1+Model!$B$18)^41))</f>
        <v/>
      </c>
      <c r="BD12" s="7">
        <f>IF(A12="","",IF((A12+42)&gt;Model!$B$4,0,MAX(0,Model!$B$6-IF((A12+42)&gt;=Model!$B$11,Model!$B$20,0)-IF(42&lt;Model!$B$15,Model!$B$22,0))/(1-Model!$B$9)/(1+Model!$B$18)^42))</f>
        <v/>
      </c>
      <c r="BE12" s="7">
        <f>IF(A12="","",IF((A12+43)&gt;Model!$B$4,0,MAX(0,Model!$B$6-IF((A12+43)&gt;=Model!$B$11,Model!$B$20,0)-IF(43&lt;Model!$B$15,Model!$B$22,0))/(1-Model!$B$9)/(1+Model!$B$18)^43))</f>
        <v/>
      </c>
      <c r="BF12" s="7">
        <f>IF(A12="","",IF((A12+44)&gt;Model!$B$4,0,MAX(0,Model!$B$6-IF((A12+44)&gt;=Model!$B$11,Model!$B$20,0)-IF(44&lt;Model!$B$15,Model!$B$22,0))/(1-Model!$B$9)/(1+Model!$B$18)^44))</f>
        <v/>
      </c>
      <c r="BG12" s="7">
        <f>IF(A12="","",IF((A12+45)&gt;Model!$B$4,0,MAX(0,Model!$B$6-IF((A12+45)&gt;=Model!$B$11,Model!$B$20,0)-IF(45&lt;Model!$B$15,Model!$B$22,0))/(1-Model!$B$9)/(1+Model!$B$18)^45))</f>
        <v/>
      </c>
      <c r="BH12" s="7">
        <f>IF(A12="","",IF((A12+46)&gt;Model!$B$4,0,MAX(0,Model!$B$6-IF((A12+46)&gt;=Model!$B$11,Model!$B$20,0)-IF(46&lt;Model!$B$15,Model!$B$22,0))/(1-Model!$B$9)/(1+Model!$B$18)^46))</f>
        <v/>
      </c>
      <c r="BI12" s="7">
        <f>IF(A12="","",IF((A12+47)&gt;Model!$B$4,0,MAX(0,Model!$B$6-IF((A12+47)&gt;=Model!$B$11,Model!$B$20,0)-IF(47&lt;Model!$B$15,Model!$B$22,0))/(1-Model!$B$9)/(1+Model!$B$18)^47))</f>
        <v/>
      </c>
      <c r="BJ12" s="7">
        <f>IF(A12="","",IF((A12+48)&gt;Model!$B$4,0,MAX(0,Model!$B$6-IF((A12+48)&gt;=Model!$B$11,Model!$B$20,0)-IF(48&lt;Model!$B$15,Model!$B$22,0))/(1-Model!$B$9)/(1+Model!$B$18)^48))</f>
        <v/>
      </c>
      <c r="BK12" s="7">
        <f>IF(A12="","",IF((A12+49)&gt;Model!$B$4,0,MAX(0,Model!$B$6-IF((A12+49)&gt;=Model!$B$11,Model!$B$20,0)-IF(49&lt;Model!$B$15,Model!$B$22,0))/(1-Model!$B$9)/(1+Model!$B$18)^49))</f>
        <v/>
      </c>
      <c r="BL12" s="7">
        <f>IF(A12="","",IF((A12+50)&gt;Model!$B$4,0,MAX(0,Model!$B$6-IF((A12+50)&gt;=Model!$B$11,Model!$B$20,0)-IF(50&lt;Model!$B$15,Model!$B$22,0))/(1-Model!$B$9)/(1+Model!$B$18)^50))</f>
        <v/>
      </c>
      <c r="BM12" s="7">
        <f>IF(A12="","",IF((A12+51)&gt;Model!$B$4,0,MAX(0,Model!$B$6-IF((A12+51)&gt;=Model!$B$11,Model!$B$20,0)-IF(51&lt;Model!$B$15,Model!$B$22,0))/(1-Model!$B$9)/(1+Model!$B$18)^51))</f>
        <v/>
      </c>
      <c r="BN12" s="7">
        <f>IF(A12="","",IF((A12+52)&gt;Model!$B$4,0,MAX(0,Model!$B$6-IF((A12+52)&gt;=Model!$B$11,Model!$B$20,0)-IF(52&lt;Model!$B$15,Model!$B$22,0))/(1-Model!$B$9)/(1+Model!$B$18)^52))</f>
        <v/>
      </c>
      <c r="BO12" s="7">
        <f>IF(A12="","",IF((A12+53)&gt;Model!$B$4,0,MAX(0,Model!$B$6-IF((A12+53)&gt;=Model!$B$11,Model!$B$20,0)-IF(53&lt;Model!$B$15,Model!$B$22,0))/(1-Model!$B$9)/(1+Model!$B$18)^53))</f>
        <v/>
      </c>
      <c r="BP12" s="7">
        <f>IF(A12="","",IF((A12+54)&gt;Model!$B$4,0,MAX(0,Model!$B$6-IF((A12+54)&gt;=Model!$B$11,Model!$B$20,0)-IF(54&lt;Model!$B$15,Model!$B$22,0))/(1-Model!$B$9)/(1+Model!$B$18)^54))</f>
        <v/>
      </c>
      <c r="BQ12" s="7">
        <f>IF(A12="","",IF((A12+55)&gt;Model!$B$4,0,MAX(0,Model!$B$6-IF((A12+55)&gt;=Model!$B$11,Model!$B$20,0)-IF(55&lt;Model!$B$15,Model!$B$22,0))/(1-Model!$B$9)/(1+Model!$B$18)^55))</f>
        <v/>
      </c>
      <c r="BR12" s="7">
        <f>IF(A12="","",IF((A12+56)&gt;Model!$B$4,0,MAX(0,Model!$B$6-IF((A12+56)&gt;=Model!$B$11,Model!$B$20,0)-IF(56&lt;Model!$B$15,Model!$B$22,0))/(1-Model!$B$9)/(1+Model!$B$18)^56))</f>
        <v/>
      </c>
      <c r="BS12" s="7">
        <f>IF(A12="","",IF((A12+57)&gt;Model!$B$4,0,MAX(0,Model!$B$6-IF((A12+57)&gt;=Model!$B$11,Model!$B$20,0)-IF(57&lt;Model!$B$15,Model!$B$22,0))/(1-Model!$B$9)/(1+Model!$B$18)^57))</f>
        <v/>
      </c>
      <c r="BT12" s="7">
        <f>IF(A12="","",IF((A12+58)&gt;Model!$B$4,0,MAX(0,Model!$B$6-IF((A12+58)&gt;=Model!$B$11,Model!$B$20,0)-IF(58&lt;Model!$B$15,Model!$B$22,0))/(1-Model!$B$9)/(1+Model!$B$18)^58))</f>
        <v/>
      </c>
      <c r="BU12" s="7">
        <f>IF(A12="","",IF((A12+59)&gt;Model!$B$4,0,MAX(0,Model!$B$6-IF((A12+59)&gt;=Model!$B$11,Model!$B$20,0)-IF(59&lt;Model!$B$15,Model!$B$22,0))/(1-Model!$B$9)/(1+Model!$B$18)^59))</f>
        <v/>
      </c>
      <c r="BV12" s="7">
        <f>IF(A12="","",IF((A12+60)&gt;Model!$B$4,0,MAX(0,Model!$B$6-IF((A12+60)&gt;=Model!$B$11,Model!$B$20,0)-IF(60&lt;Model!$B$15,Model!$B$22,0))/(1-Model!$B$9)/(1+Model!$B$18)^60))</f>
        <v/>
      </c>
      <c r="BW12" s="7">
        <f>IF(A12="","",IF((A12+61)&gt;Model!$B$4,0,MAX(0,Model!$B$6-IF((A12+61)&gt;=Model!$B$11,Model!$B$20,0)-IF(61&lt;Model!$B$15,Model!$B$22,0))/(1-Model!$B$9)/(1+Model!$B$18)^61))</f>
        <v/>
      </c>
      <c r="BX12" s="7">
        <f>IF(A12="","",IF((A12+62)&gt;Model!$B$4,0,MAX(0,Model!$B$6-IF((A12+62)&gt;=Model!$B$11,Model!$B$20,0)-IF(62&lt;Model!$B$15,Model!$B$22,0))/(1-Model!$B$9)/(1+Model!$B$18)^62))</f>
        <v/>
      </c>
      <c r="BY12" s="7">
        <f>IF(A12="","",IF((A12+63)&gt;Model!$B$4,0,MAX(0,Model!$B$6-IF((A12+63)&gt;=Model!$B$11,Model!$B$20,0)-IF(63&lt;Model!$B$15,Model!$B$22,0))/(1-Model!$B$9)/(1+Model!$B$18)^63))</f>
        <v/>
      </c>
      <c r="BZ12" s="7">
        <f>IF(A12="","",IF((A12+64)&gt;Model!$B$4,0,MAX(0,Model!$B$6-IF((A12+64)&gt;=Model!$B$11,Model!$B$20,0)-IF(64&lt;Model!$B$15,Model!$B$22,0))/(1-Model!$B$9)/(1+Model!$B$18)^64))</f>
        <v/>
      </c>
      <c r="CA12" s="7">
        <f>IF(A12="","",IF((A12+65)&gt;Model!$B$4,0,MAX(0,Model!$B$6-IF((A12+65)&gt;=Model!$B$11,Model!$B$20,0)-IF(65&lt;Model!$B$15,Model!$B$22,0))/(1-Model!$B$9)/(1+Model!$B$18)^65))</f>
        <v/>
      </c>
      <c r="CB12" s="7">
        <f>IF(A12="","",IF((A12+66)&gt;Model!$B$4,0,MAX(0,Model!$B$6-IF((A12+66)&gt;=Model!$B$11,Model!$B$20,0)-IF(66&lt;Model!$B$15,Model!$B$22,0))/(1-Model!$B$9)/(1+Model!$B$18)^66))</f>
        <v/>
      </c>
      <c r="CC12" s="7">
        <f>IF(A12="","",IF((A12+67)&gt;Model!$B$4,0,MAX(0,Model!$B$6-IF((A12+67)&gt;=Model!$B$11,Model!$B$20,0)-IF(67&lt;Model!$B$15,Model!$B$22,0))/(1-Model!$B$9)/(1+Model!$B$18)^67))</f>
        <v/>
      </c>
      <c r="CD12" s="7">
        <f>IF(A12="","",IF((A12+68)&gt;Model!$B$4,0,MAX(0,Model!$B$6-IF((A12+68)&gt;=Model!$B$11,Model!$B$20,0)-IF(68&lt;Model!$B$15,Model!$B$22,0))/(1-Model!$B$9)/(1+Model!$B$18)^68))</f>
        <v/>
      </c>
      <c r="CE12" s="7">
        <f>IF(A12="","",IF((A12+69)&gt;Model!$B$4,0,MAX(0,Model!$B$6-IF((A12+69)&gt;=Model!$B$11,Model!$B$20,0)-IF(69&lt;Model!$B$15,Model!$B$22,0))/(1-Model!$B$9)/(1+Model!$B$18)^69))</f>
        <v/>
      </c>
      <c r="CF12" s="7">
        <f>IF(A12="","",IF((A12+70)&gt;Model!$B$4,0,MAX(0,Model!$B$6-IF((A12+70)&gt;=Model!$B$11,Model!$B$20,0)-IF(70&lt;Model!$B$15,Model!$B$22,0))/(1-Model!$B$9)/(1+Model!$B$18)^70))</f>
        <v/>
      </c>
      <c r="CG12" s="7">
        <f>IF(A12="","",IF((A12+71)&gt;Model!$B$4,0,MAX(0,Model!$B$6-IF((A12+71)&gt;=Model!$B$11,Model!$B$20,0)-IF(71&lt;Model!$B$15,Model!$B$22,0))/(1-Model!$B$9)/(1+Model!$B$18)^71))</f>
        <v/>
      </c>
      <c r="CH12" s="7">
        <f>IF(A12="","",IF((A12+72)&gt;Model!$B$4,0,MAX(0,Model!$B$6-IF((A12+72)&gt;=Model!$B$11,Model!$B$20,0)-IF(72&lt;Model!$B$15,Model!$B$22,0))/(1-Model!$B$9)/(1+Model!$B$18)^72))</f>
        <v/>
      </c>
      <c r="CI12" s="7">
        <f>IF(A12="","",IF((A12+73)&gt;Model!$B$4,0,MAX(0,Model!$B$6-IF((A12+73)&gt;=Model!$B$11,Model!$B$20,0)-IF(73&lt;Model!$B$15,Model!$B$22,0))/(1-Model!$B$9)/(1+Model!$B$18)^73))</f>
        <v/>
      </c>
      <c r="CJ12" s="7">
        <f>IF(A12="","",IF((A12+74)&gt;Model!$B$4,0,MAX(0,Model!$B$6-IF((A12+74)&gt;=Model!$B$11,Model!$B$20,0)-IF(74&lt;Model!$B$15,Model!$B$22,0))/(1-Model!$B$9)/(1+Model!$B$18)^74))</f>
        <v/>
      </c>
      <c r="CK12" s="7">
        <f>IF(A12="","",IF((A12+75)&gt;Model!$B$4,0,MAX(0,Model!$B$6-IF((A12+75)&gt;=Model!$B$11,Model!$B$20,0)-IF(75&lt;Model!$B$15,Model!$B$22,0))/(1-Model!$B$9)/(1+Model!$B$18)^75))</f>
        <v/>
      </c>
      <c r="CL12" s="7">
        <f>IF(A12="","",IF((A12+76)&gt;Model!$B$4,0,MAX(0,Model!$B$6-IF((A12+76)&gt;=Model!$B$11,Model!$B$20,0)-IF(76&lt;Model!$B$15,Model!$B$22,0))/(1-Model!$B$9)/(1+Model!$B$18)^76))</f>
        <v/>
      </c>
      <c r="CM12" s="7">
        <f>IF(A12="","",IF((A12+77)&gt;Model!$B$4,0,MAX(0,Model!$B$6-IF((A12+77)&gt;=Model!$B$11,Model!$B$20,0)-IF(77&lt;Model!$B$15,Model!$B$22,0))/(1-Model!$B$9)/(1+Model!$B$18)^77))</f>
        <v/>
      </c>
      <c r="CN12" s="7">
        <f>IF(A12="","",IF((A12+78)&gt;Model!$B$4,0,MAX(0,Model!$B$6-IF((A12+78)&gt;=Model!$B$11,Model!$B$20,0)-IF(78&lt;Model!$B$15,Model!$B$22,0))/(1-Model!$B$9)/(1+Model!$B$18)^78))</f>
        <v/>
      </c>
      <c r="CO12" s="7">
        <f>IF(A12="","",IF((A12+79)&gt;Model!$B$4,0,MAX(0,Model!$B$6-IF((A12+79)&gt;=Model!$B$11,Model!$B$20,0)-IF(79&lt;Model!$B$15,Model!$B$22,0))/(1-Model!$B$9)/(1+Model!$B$18)^79))</f>
        <v/>
      </c>
      <c r="CP12" s="7">
        <f>IF(A12="","",IF((A12+80)&gt;Model!$B$4,0,MAX(0,Model!$B$6-IF((A12+80)&gt;=Model!$B$11,Model!$B$20,0)-IF(80&lt;Model!$B$15,Model!$B$22,0))/(1-Model!$B$9)/(1+Model!$B$18)^80))</f>
        <v/>
      </c>
      <c r="CQ12" s="7">
        <f>IF(A12="","",IF((A12+81)&gt;Model!$B$4,0,MAX(0,Model!$B$6-IF((A12+81)&gt;=Model!$B$11,Model!$B$20,0)-IF(81&lt;Model!$B$15,Model!$B$22,0))/(1-Model!$B$9)/(1+Model!$B$18)^81))</f>
        <v/>
      </c>
      <c r="CR12" s="7">
        <f>IF(A12="","",IF((A12+82)&gt;Model!$B$4,0,MAX(0,Model!$B$6-IF((A12+82)&gt;=Model!$B$11,Model!$B$20,0)-IF(82&lt;Model!$B$15,Model!$B$22,0))/(1-Model!$B$9)/(1+Model!$B$18)^82))</f>
        <v/>
      </c>
      <c r="CS12" s="7">
        <f>IF(A12="","",IF((A12+83)&gt;Model!$B$4,0,MAX(0,Model!$B$6-IF((A12+83)&gt;=Model!$B$11,Model!$B$20,0)-IF(83&lt;Model!$B$15,Model!$B$22,0))/(1-Model!$B$9)/(1+Model!$B$18)^83))</f>
        <v/>
      </c>
      <c r="CT12" s="7">
        <f>IF(A12="","",IF((A12+84)&gt;Model!$B$4,0,MAX(0,Model!$B$6-IF((A12+84)&gt;=Model!$B$11,Model!$B$20,0)-IF(84&lt;Model!$B$15,Model!$B$22,0))/(1-Model!$B$9)/(1+Model!$B$18)^84))</f>
        <v/>
      </c>
      <c r="CU12" s="7">
        <f>IF(A12="","",IF((A12+85)&gt;Model!$B$4,0,MAX(0,Model!$B$6-IF((A12+85)&gt;=Model!$B$11,Model!$B$20,0)-IF(85&lt;Model!$B$15,Model!$B$22,0))/(1-Model!$B$9)/(1+Model!$B$18)^85))</f>
        <v/>
      </c>
      <c r="CV12" s="7">
        <f>IF(A12="","",IF((A12+86)&gt;Model!$B$4,0,MAX(0,Model!$B$6-IF((A12+86)&gt;=Model!$B$11,Model!$B$20,0)-IF(86&lt;Model!$B$15,Model!$B$22,0))/(1-Model!$B$9)/(1+Model!$B$18)^86))</f>
        <v/>
      </c>
      <c r="CW12" s="7">
        <f>IF(A12="","",IF((A12+87)&gt;Model!$B$4,0,MAX(0,Model!$B$6-IF((A12+87)&gt;=Model!$B$11,Model!$B$20,0)-IF(87&lt;Model!$B$15,Model!$B$22,0))/(1-Model!$B$9)/(1+Model!$B$18)^87))</f>
        <v/>
      </c>
      <c r="CX12" s="7">
        <f>IF(A12="","",IF((A12+88)&gt;Model!$B$4,0,MAX(0,Model!$B$6-IF((A12+88)&gt;=Model!$B$11,Model!$B$20,0)-IF(88&lt;Model!$B$15,Model!$B$22,0))/(1-Model!$B$9)/(1+Model!$B$18)^88))</f>
        <v/>
      </c>
      <c r="CY12" s="7">
        <f>IF(A12="","",IF((A12+89)&gt;Model!$B$4,0,MAX(0,Model!$B$6-IF((A12+89)&gt;=Model!$B$11,Model!$B$20,0)-IF(89&lt;Model!$B$15,Model!$B$22,0))/(1-Model!$B$9)/(1+Model!$B$18)^89))</f>
        <v/>
      </c>
      <c r="CZ12" s="7">
        <f>IF(A12="","",IF((A12+90)&gt;Model!$B$4,0,MAX(0,Model!$B$6-IF((A12+90)&gt;=Model!$B$11,Model!$B$20,0)-IF(90&lt;Model!$B$15,Model!$B$22,0))/(1-Model!$B$9)/(1+Model!$B$18)^90))</f>
        <v/>
      </c>
      <c r="DA12" s="7">
        <f>IF(A12="","",IF((A12+91)&gt;Model!$B$4,0,MAX(0,Model!$B$6-IF((A12+91)&gt;=Model!$B$11,Model!$B$20,0)-IF(91&lt;Model!$B$15,Model!$B$22,0))/(1-Model!$B$9)/(1+Model!$B$18)^91))</f>
        <v/>
      </c>
      <c r="DB12" s="7">
        <f>IF(A12="","",IF((A12+92)&gt;Model!$B$4,0,MAX(0,Model!$B$6-IF((A12+92)&gt;=Model!$B$11,Model!$B$20,0)-IF(92&lt;Model!$B$15,Model!$B$22,0))/(1-Model!$B$9)/(1+Model!$B$18)^92))</f>
        <v/>
      </c>
      <c r="DC12" s="7">
        <f>IF(A12="","",IF((A12+93)&gt;Model!$B$4,0,MAX(0,Model!$B$6-IF((A12+93)&gt;=Model!$B$11,Model!$B$20,0)-IF(93&lt;Model!$B$15,Model!$B$22,0))/(1-Model!$B$9)/(1+Model!$B$18)^93))</f>
        <v/>
      </c>
      <c r="DD12" s="7">
        <f>IF(A12="","",IF((A12+94)&gt;Model!$B$4,0,MAX(0,Model!$B$6-IF((A12+94)&gt;=Model!$B$11,Model!$B$20,0)-IF(94&lt;Model!$B$15,Model!$B$22,0))/(1-Model!$B$9)/(1+Model!$B$18)^94))</f>
        <v/>
      </c>
      <c r="DE12" s="7">
        <f>IF(A12="","",IF((A12+95)&gt;Model!$B$4,0,MAX(0,Model!$B$6-IF((A12+95)&gt;=Model!$B$11,Model!$B$20,0)-IF(95&lt;Model!$B$15,Model!$B$22,0))/(1-Model!$B$9)/(1+Model!$B$18)^95))</f>
        <v/>
      </c>
      <c r="DF12" s="7">
        <f>IF(A12="","",IF((A12+96)&gt;Model!$B$4,0,MAX(0,Model!$B$6-IF((A12+96)&gt;=Model!$B$11,Model!$B$20,0)-IF(96&lt;Model!$B$15,Model!$B$22,0))/(1-Model!$B$9)/(1+Model!$B$18)^96))</f>
        <v/>
      </c>
      <c r="DG12" s="7">
        <f>IF(A12="","",IF((A12+97)&gt;Model!$B$4,0,MAX(0,Model!$B$6-IF((A12+97)&gt;=Model!$B$11,Model!$B$20,0)-IF(97&lt;Model!$B$15,Model!$B$22,0))/(1-Model!$B$9)/(1+Model!$B$18)^97))</f>
        <v/>
      </c>
      <c r="DH12" s="7">
        <f>IF(A12="","",IF((A12+98)&gt;Model!$B$4,0,MAX(0,Model!$B$6-IF((A12+98)&gt;=Model!$B$11,Model!$B$20,0)-IF(98&lt;Model!$B$15,Model!$B$22,0))/(1-Model!$B$9)/(1+Model!$B$18)^98))</f>
        <v/>
      </c>
      <c r="DI12" s="7">
        <f>IF(A12="","",IF((A12+99)&gt;Model!$B$4,0,MAX(0,Model!$B$6-IF((A12+99)&gt;=Model!$B$11,Model!$B$20,0)-IF(99&lt;Model!$B$15,Model!$B$22,0))/(1-Model!$B$9)/(1+Model!$B$18)^99))</f>
        <v/>
      </c>
      <c r="DJ12" s="7">
        <f>IF(A12="","",IF((A12+100)&gt;Model!$B$4,0,MAX(0,Model!$B$6-IF((A12+100)&gt;=Model!$B$11,Model!$B$20,0)-IF(100&lt;Model!$B$15,Model!$B$22,0))/(1-Model!$B$9)/(1+Model!$B$18)^100))</f>
        <v/>
      </c>
      <c r="DK12" s="7">
        <f>IF(A12="","",IF((A12+101)&gt;Model!$B$4,0,MAX(0,Model!$B$6-IF((A12+101)&gt;=Model!$B$11,Model!$B$20,0)-IF(101&lt;Model!$B$15,Model!$B$22,0))/(1-Model!$B$9)/(1+Model!$B$18)^101))</f>
        <v/>
      </c>
      <c r="DL12" s="7">
        <f>IF(A12="","",IF((A12+102)&gt;Model!$B$4,0,MAX(0,Model!$B$6-IF((A12+102)&gt;=Model!$B$11,Model!$B$20,0)-IF(102&lt;Model!$B$15,Model!$B$22,0))/(1-Model!$B$9)/(1+Model!$B$18)^102))</f>
        <v/>
      </c>
      <c r="DM12" s="7">
        <f>IF(A12="","",IF((A12+103)&gt;Model!$B$4,0,MAX(0,Model!$B$6-IF((A12+103)&gt;=Model!$B$11,Model!$B$20,0)-IF(103&lt;Model!$B$15,Model!$B$22,0))/(1-Model!$B$9)/(1+Model!$B$18)^103))</f>
        <v/>
      </c>
      <c r="DN12" s="7">
        <f>IF(A12="","",IF((A12+104)&gt;Model!$B$4,0,MAX(0,Model!$B$6-IF((A12+104)&gt;=Model!$B$11,Model!$B$20,0)-IF(104&lt;Model!$B$15,Model!$B$22,0))/(1-Model!$B$9)/(1+Model!$B$18)^104))</f>
        <v/>
      </c>
      <c r="DO12" s="7">
        <f>IF(A12="","",IF((A12+105)&gt;Model!$B$4,0,MAX(0,Model!$B$6-IF((A12+105)&gt;=Model!$B$11,Model!$B$20,0)-IF(105&lt;Model!$B$15,Model!$B$22,0))/(1-Model!$B$9)/(1+Model!$B$18)^105))</f>
        <v/>
      </c>
      <c r="DP12" s="7">
        <f>IF(A12="","",IF((A12+106)&gt;Model!$B$4,0,MAX(0,Model!$B$6-IF((A12+106)&gt;=Model!$B$11,Model!$B$20,0)-IF(106&lt;Model!$B$15,Model!$B$22,0))/(1-Model!$B$9)/(1+Model!$B$18)^106))</f>
        <v/>
      </c>
      <c r="DQ12" s="7">
        <f>IF(A12="","",IF((A12+107)&gt;Model!$B$4,0,MAX(0,Model!$B$6-IF((A12+107)&gt;=Model!$B$11,Model!$B$20,0)-IF(107&lt;Model!$B$15,Model!$B$22,0))/(1-Model!$B$9)/(1+Model!$B$18)^107))</f>
        <v/>
      </c>
      <c r="DR12" s="7">
        <f>IF(A12="","",IF((A12+108)&gt;Model!$B$4,0,MAX(0,Model!$B$6-IF((A12+108)&gt;=Model!$B$11,Model!$B$20,0)-IF(108&lt;Model!$B$15,Model!$B$22,0))/(1-Model!$B$9)/(1+Model!$B$18)^108))</f>
        <v/>
      </c>
      <c r="DS12" s="7">
        <f>IF(A12="","",IF((A12+109)&gt;Model!$B$4,0,MAX(0,Model!$B$6-IF((A12+109)&gt;=Model!$B$11,Model!$B$20,0)-IF(109&lt;Model!$B$15,Model!$B$22,0))/(1-Model!$B$9)/(1+Model!$B$18)^109))</f>
        <v/>
      </c>
      <c r="DT12" s="7">
        <f>IF(A12="","",IF((A12+110)&gt;Model!$B$4,0,MAX(0,Model!$B$6-IF((A12+110)&gt;=Model!$B$11,Model!$B$20,0)-IF(110&lt;Model!$B$15,Model!$B$22,0))/(1-Model!$B$9)/(1+Model!$B$18)^110))</f>
        <v/>
      </c>
      <c r="DU12" s="7">
        <f>IF(A12="","",IF((A12+111)&gt;Model!$B$4,0,MAX(0,Model!$B$6-IF((A12+111)&gt;=Model!$B$11,Model!$B$20,0)-IF(111&lt;Model!$B$15,Model!$B$22,0))/(1-Model!$B$9)/(1+Model!$B$18)^111))</f>
        <v/>
      </c>
      <c r="DV12" s="7">
        <f>IF(A12="","",IF((A12+112)&gt;Model!$B$4,0,MAX(0,Model!$B$6-IF((A12+112)&gt;=Model!$B$11,Model!$B$20,0)-IF(112&lt;Model!$B$15,Model!$B$22,0))/(1-Model!$B$9)/(1+Model!$B$18)^112))</f>
        <v/>
      </c>
      <c r="DW12" s="7">
        <f>IF(A12="","",IF((A12+113)&gt;Model!$B$4,0,MAX(0,Model!$B$6-IF((A12+113)&gt;=Model!$B$11,Model!$B$20,0)-IF(113&lt;Model!$B$15,Model!$B$22,0))/(1-Model!$B$9)/(1+Model!$B$18)^113))</f>
        <v/>
      </c>
      <c r="DX12" s="7">
        <f>IF(A12="","",IF((A12+114)&gt;Model!$B$4,0,MAX(0,Model!$B$6-IF((A12+114)&gt;=Model!$B$11,Model!$B$20,0)-IF(114&lt;Model!$B$15,Model!$B$22,0))/(1-Model!$B$9)/(1+Model!$B$18)^114))</f>
        <v/>
      </c>
      <c r="DY12" s="7">
        <f>IF(A12="","",IF((A12+115)&gt;Model!$B$4,0,MAX(0,Model!$B$6-IF((A12+115)&gt;=Model!$B$11,Model!$B$20,0)-IF(115&lt;Model!$B$15,Model!$B$22,0))/(1-Model!$B$9)/(1+Model!$B$18)^115))</f>
        <v/>
      </c>
      <c r="DZ12" s="7">
        <f>IF(A12="","",IF((A12+116)&gt;Model!$B$4,0,MAX(0,Model!$B$6-IF((A12+116)&gt;=Model!$B$11,Model!$B$20,0)-IF(116&lt;Model!$B$15,Model!$B$22,0))/(1-Model!$B$9)/(1+Model!$B$18)^116))</f>
        <v/>
      </c>
      <c r="EA12" s="7">
        <f>IF(A12="","",IF((A12+117)&gt;Model!$B$4,0,MAX(0,Model!$B$6-IF((A12+117)&gt;=Model!$B$11,Model!$B$20,0)-IF(117&lt;Model!$B$15,Model!$B$22,0))/(1-Model!$B$9)/(1+Model!$B$18)^117))</f>
        <v/>
      </c>
      <c r="EB12" s="7">
        <f>IF(A12="","",IF((A12+118)&gt;Model!$B$4,0,MAX(0,Model!$B$6-IF((A12+118)&gt;=Model!$B$11,Model!$B$20,0)-IF(118&lt;Model!$B$15,Model!$B$22,0))/(1-Model!$B$9)/(1+Model!$B$18)^118))</f>
        <v/>
      </c>
      <c r="EC12" s="7">
        <f>IF(A12="","",IF((A12+119)&gt;Model!$B$4,0,MAX(0,Model!$B$6-IF((A12+119)&gt;=Model!$B$11,Model!$B$20,0)-IF(119&lt;Model!$B$15,Model!$B$22,0))/(1-Model!$B$9)/(1+Model!$B$18)^119))</f>
        <v/>
      </c>
      <c r="ED12" s="7">
        <f>IF(A12="","",IF((A12+120)&gt;Model!$B$4,0,MAX(0,Model!$B$6-IF((A12+120)&gt;=Model!$B$11,Model!$B$20,0)-IF(120&lt;Model!$B$15,Model!$B$22,0))/(1-Model!$B$9)/(1+Model!$B$18)^120))</f>
        <v/>
      </c>
    </row>
    <row r="13">
      <c r="A13">
        <f>IF(Model!$B$10+ROW()-2&lt;=Model!$B$4,Model!$B$10+ROW()-2,"")</f>
        <v/>
      </c>
      <c r="B13">
        <f>IF(A13="","",A13-Model!$B$10)</f>
        <v/>
      </c>
      <c r="C13" s="7">
        <f>IF(A13="","",Model!$B$5*(1+Model!$B$18)^B13)</f>
        <v/>
      </c>
      <c r="D13" s="7">
        <f>IF(A13="","",SUM(N13:ED13))</f>
        <v/>
      </c>
      <c r="E13" s="7">
        <f>IF(A13="","",IF(A13&gt;=Model!$B$11,Model!$B$20,0))</f>
        <v/>
      </c>
      <c r="F13" s="7">
        <f>IF(A13="","",IF(Model!$B$15&gt;0,Model!$B$22,0))</f>
        <v/>
      </c>
      <c r="G13" s="7">
        <f>IF(A13="","",E13+F13)</f>
        <v/>
      </c>
      <c r="H13" s="7">
        <f>IF(A13="","",MAX(0,Model!$B$6-G13))</f>
        <v/>
      </c>
      <c r="I13" s="7">
        <f>IF(A13="","",H13/(1-Model!$B$9))</f>
        <v/>
      </c>
      <c r="J13" s="7">
        <f>IF(A13="","",C13-D13)</f>
        <v/>
      </c>
      <c r="K13">
        <f>IF(A13="","",C13&gt;=D13)</f>
        <v/>
      </c>
      <c r="L13" s="7">
        <f>IF(A13="","",IF(A13&gt;=Model!$B$11,Model!$B$19*(1+Model!$B$13)^B13,0))</f>
        <v/>
      </c>
      <c r="M13" s="7">
        <f>IF(A13="","",IF(Model!$B$15&gt;0,Model!$B$21*(1+Model!$B$13)^B13,0))</f>
        <v/>
      </c>
      <c r="N13" s="7">
        <f>IF(A13="","",IF((A13+0)&gt;Model!$B$4,0,MAX(0,Model!$B$6-IF((A13+0)&gt;=Model!$B$11,Model!$B$20,0)-IF(0&lt;Model!$B$15,Model!$B$22,0))/(1-Model!$B$9)/(1+Model!$B$18)^0))</f>
        <v/>
      </c>
      <c r="O13" s="7">
        <f>IF(A13="","",IF((A13+1)&gt;Model!$B$4,0,MAX(0,Model!$B$6-IF((A13+1)&gt;=Model!$B$11,Model!$B$20,0)-IF(1&lt;Model!$B$15,Model!$B$22,0))/(1-Model!$B$9)/(1+Model!$B$18)^1))</f>
        <v/>
      </c>
      <c r="P13" s="7">
        <f>IF(A13="","",IF((A13+2)&gt;Model!$B$4,0,MAX(0,Model!$B$6-IF((A13+2)&gt;=Model!$B$11,Model!$B$20,0)-IF(2&lt;Model!$B$15,Model!$B$22,0))/(1-Model!$B$9)/(1+Model!$B$18)^2))</f>
        <v/>
      </c>
      <c r="Q13" s="7">
        <f>IF(A13="","",IF((A13+3)&gt;Model!$B$4,0,MAX(0,Model!$B$6-IF((A13+3)&gt;=Model!$B$11,Model!$B$20,0)-IF(3&lt;Model!$B$15,Model!$B$22,0))/(1-Model!$B$9)/(1+Model!$B$18)^3))</f>
        <v/>
      </c>
      <c r="R13" s="7">
        <f>IF(A13="","",IF((A13+4)&gt;Model!$B$4,0,MAX(0,Model!$B$6-IF((A13+4)&gt;=Model!$B$11,Model!$B$20,0)-IF(4&lt;Model!$B$15,Model!$B$22,0))/(1-Model!$B$9)/(1+Model!$B$18)^4))</f>
        <v/>
      </c>
      <c r="S13" s="7">
        <f>IF(A13="","",IF((A13+5)&gt;Model!$B$4,0,MAX(0,Model!$B$6-IF((A13+5)&gt;=Model!$B$11,Model!$B$20,0)-IF(5&lt;Model!$B$15,Model!$B$22,0))/(1-Model!$B$9)/(1+Model!$B$18)^5))</f>
        <v/>
      </c>
      <c r="T13" s="7">
        <f>IF(A13="","",IF((A13+6)&gt;Model!$B$4,0,MAX(0,Model!$B$6-IF((A13+6)&gt;=Model!$B$11,Model!$B$20,0)-IF(6&lt;Model!$B$15,Model!$B$22,0))/(1-Model!$B$9)/(1+Model!$B$18)^6))</f>
        <v/>
      </c>
      <c r="U13" s="7">
        <f>IF(A13="","",IF((A13+7)&gt;Model!$B$4,0,MAX(0,Model!$B$6-IF((A13+7)&gt;=Model!$B$11,Model!$B$20,0)-IF(7&lt;Model!$B$15,Model!$B$22,0))/(1-Model!$B$9)/(1+Model!$B$18)^7))</f>
        <v/>
      </c>
      <c r="V13" s="7">
        <f>IF(A13="","",IF((A13+8)&gt;Model!$B$4,0,MAX(0,Model!$B$6-IF((A13+8)&gt;=Model!$B$11,Model!$B$20,0)-IF(8&lt;Model!$B$15,Model!$B$22,0))/(1-Model!$B$9)/(1+Model!$B$18)^8))</f>
        <v/>
      </c>
      <c r="W13" s="7">
        <f>IF(A13="","",IF((A13+9)&gt;Model!$B$4,0,MAX(0,Model!$B$6-IF((A13+9)&gt;=Model!$B$11,Model!$B$20,0)-IF(9&lt;Model!$B$15,Model!$B$22,0))/(1-Model!$B$9)/(1+Model!$B$18)^9))</f>
        <v/>
      </c>
      <c r="X13" s="7">
        <f>IF(A13="","",IF((A13+10)&gt;Model!$B$4,0,MAX(0,Model!$B$6-IF((A13+10)&gt;=Model!$B$11,Model!$B$20,0)-IF(10&lt;Model!$B$15,Model!$B$22,0))/(1-Model!$B$9)/(1+Model!$B$18)^10))</f>
        <v/>
      </c>
      <c r="Y13" s="7">
        <f>IF(A13="","",IF((A13+11)&gt;Model!$B$4,0,MAX(0,Model!$B$6-IF((A13+11)&gt;=Model!$B$11,Model!$B$20,0)-IF(11&lt;Model!$B$15,Model!$B$22,0))/(1-Model!$B$9)/(1+Model!$B$18)^11))</f>
        <v/>
      </c>
      <c r="Z13" s="7">
        <f>IF(A13="","",IF((A13+12)&gt;Model!$B$4,0,MAX(0,Model!$B$6-IF((A13+12)&gt;=Model!$B$11,Model!$B$20,0)-IF(12&lt;Model!$B$15,Model!$B$22,0))/(1-Model!$B$9)/(1+Model!$B$18)^12))</f>
        <v/>
      </c>
      <c r="AA13" s="7">
        <f>IF(A13="","",IF((A13+13)&gt;Model!$B$4,0,MAX(0,Model!$B$6-IF((A13+13)&gt;=Model!$B$11,Model!$B$20,0)-IF(13&lt;Model!$B$15,Model!$B$22,0))/(1-Model!$B$9)/(1+Model!$B$18)^13))</f>
        <v/>
      </c>
      <c r="AB13" s="7">
        <f>IF(A13="","",IF((A13+14)&gt;Model!$B$4,0,MAX(0,Model!$B$6-IF((A13+14)&gt;=Model!$B$11,Model!$B$20,0)-IF(14&lt;Model!$B$15,Model!$B$22,0))/(1-Model!$B$9)/(1+Model!$B$18)^14))</f>
        <v/>
      </c>
      <c r="AC13" s="7">
        <f>IF(A13="","",IF((A13+15)&gt;Model!$B$4,0,MAX(0,Model!$B$6-IF((A13+15)&gt;=Model!$B$11,Model!$B$20,0)-IF(15&lt;Model!$B$15,Model!$B$22,0))/(1-Model!$B$9)/(1+Model!$B$18)^15))</f>
        <v/>
      </c>
      <c r="AD13" s="7">
        <f>IF(A13="","",IF((A13+16)&gt;Model!$B$4,0,MAX(0,Model!$B$6-IF((A13+16)&gt;=Model!$B$11,Model!$B$20,0)-IF(16&lt;Model!$B$15,Model!$B$22,0))/(1-Model!$B$9)/(1+Model!$B$18)^16))</f>
        <v/>
      </c>
      <c r="AE13" s="7">
        <f>IF(A13="","",IF((A13+17)&gt;Model!$B$4,0,MAX(0,Model!$B$6-IF((A13+17)&gt;=Model!$B$11,Model!$B$20,0)-IF(17&lt;Model!$B$15,Model!$B$22,0))/(1-Model!$B$9)/(1+Model!$B$18)^17))</f>
        <v/>
      </c>
      <c r="AF13" s="7">
        <f>IF(A13="","",IF((A13+18)&gt;Model!$B$4,0,MAX(0,Model!$B$6-IF((A13+18)&gt;=Model!$B$11,Model!$B$20,0)-IF(18&lt;Model!$B$15,Model!$B$22,0))/(1-Model!$B$9)/(1+Model!$B$18)^18))</f>
        <v/>
      </c>
      <c r="AG13" s="7">
        <f>IF(A13="","",IF((A13+19)&gt;Model!$B$4,0,MAX(0,Model!$B$6-IF((A13+19)&gt;=Model!$B$11,Model!$B$20,0)-IF(19&lt;Model!$B$15,Model!$B$22,0))/(1-Model!$B$9)/(1+Model!$B$18)^19))</f>
        <v/>
      </c>
      <c r="AH13" s="7">
        <f>IF(A13="","",IF((A13+20)&gt;Model!$B$4,0,MAX(0,Model!$B$6-IF((A13+20)&gt;=Model!$B$11,Model!$B$20,0)-IF(20&lt;Model!$B$15,Model!$B$22,0))/(1-Model!$B$9)/(1+Model!$B$18)^20))</f>
        <v/>
      </c>
      <c r="AI13" s="7">
        <f>IF(A13="","",IF((A13+21)&gt;Model!$B$4,0,MAX(0,Model!$B$6-IF((A13+21)&gt;=Model!$B$11,Model!$B$20,0)-IF(21&lt;Model!$B$15,Model!$B$22,0))/(1-Model!$B$9)/(1+Model!$B$18)^21))</f>
        <v/>
      </c>
      <c r="AJ13" s="7">
        <f>IF(A13="","",IF((A13+22)&gt;Model!$B$4,0,MAX(0,Model!$B$6-IF((A13+22)&gt;=Model!$B$11,Model!$B$20,0)-IF(22&lt;Model!$B$15,Model!$B$22,0))/(1-Model!$B$9)/(1+Model!$B$18)^22))</f>
        <v/>
      </c>
      <c r="AK13" s="7">
        <f>IF(A13="","",IF((A13+23)&gt;Model!$B$4,0,MAX(0,Model!$B$6-IF((A13+23)&gt;=Model!$B$11,Model!$B$20,0)-IF(23&lt;Model!$B$15,Model!$B$22,0))/(1-Model!$B$9)/(1+Model!$B$18)^23))</f>
        <v/>
      </c>
      <c r="AL13" s="7">
        <f>IF(A13="","",IF((A13+24)&gt;Model!$B$4,0,MAX(0,Model!$B$6-IF((A13+24)&gt;=Model!$B$11,Model!$B$20,0)-IF(24&lt;Model!$B$15,Model!$B$22,0))/(1-Model!$B$9)/(1+Model!$B$18)^24))</f>
        <v/>
      </c>
      <c r="AM13" s="7">
        <f>IF(A13="","",IF((A13+25)&gt;Model!$B$4,0,MAX(0,Model!$B$6-IF((A13+25)&gt;=Model!$B$11,Model!$B$20,0)-IF(25&lt;Model!$B$15,Model!$B$22,0))/(1-Model!$B$9)/(1+Model!$B$18)^25))</f>
        <v/>
      </c>
      <c r="AN13" s="7">
        <f>IF(A13="","",IF((A13+26)&gt;Model!$B$4,0,MAX(0,Model!$B$6-IF((A13+26)&gt;=Model!$B$11,Model!$B$20,0)-IF(26&lt;Model!$B$15,Model!$B$22,0))/(1-Model!$B$9)/(1+Model!$B$18)^26))</f>
        <v/>
      </c>
      <c r="AO13" s="7">
        <f>IF(A13="","",IF((A13+27)&gt;Model!$B$4,0,MAX(0,Model!$B$6-IF((A13+27)&gt;=Model!$B$11,Model!$B$20,0)-IF(27&lt;Model!$B$15,Model!$B$22,0))/(1-Model!$B$9)/(1+Model!$B$18)^27))</f>
        <v/>
      </c>
      <c r="AP13" s="7">
        <f>IF(A13="","",IF((A13+28)&gt;Model!$B$4,0,MAX(0,Model!$B$6-IF((A13+28)&gt;=Model!$B$11,Model!$B$20,0)-IF(28&lt;Model!$B$15,Model!$B$22,0))/(1-Model!$B$9)/(1+Model!$B$18)^28))</f>
        <v/>
      </c>
      <c r="AQ13" s="7">
        <f>IF(A13="","",IF((A13+29)&gt;Model!$B$4,0,MAX(0,Model!$B$6-IF((A13+29)&gt;=Model!$B$11,Model!$B$20,0)-IF(29&lt;Model!$B$15,Model!$B$22,0))/(1-Model!$B$9)/(1+Model!$B$18)^29))</f>
        <v/>
      </c>
      <c r="AR13" s="7">
        <f>IF(A13="","",IF((A13+30)&gt;Model!$B$4,0,MAX(0,Model!$B$6-IF((A13+30)&gt;=Model!$B$11,Model!$B$20,0)-IF(30&lt;Model!$B$15,Model!$B$22,0))/(1-Model!$B$9)/(1+Model!$B$18)^30))</f>
        <v/>
      </c>
      <c r="AS13" s="7">
        <f>IF(A13="","",IF((A13+31)&gt;Model!$B$4,0,MAX(0,Model!$B$6-IF((A13+31)&gt;=Model!$B$11,Model!$B$20,0)-IF(31&lt;Model!$B$15,Model!$B$22,0))/(1-Model!$B$9)/(1+Model!$B$18)^31))</f>
        <v/>
      </c>
      <c r="AT13" s="7">
        <f>IF(A13="","",IF((A13+32)&gt;Model!$B$4,0,MAX(0,Model!$B$6-IF((A13+32)&gt;=Model!$B$11,Model!$B$20,0)-IF(32&lt;Model!$B$15,Model!$B$22,0))/(1-Model!$B$9)/(1+Model!$B$18)^32))</f>
        <v/>
      </c>
      <c r="AU13" s="7">
        <f>IF(A13="","",IF((A13+33)&gt;Model!$B$4,0,MAX(0,Model!$B$6-IF((A13+33)&gt;=Model!$B$11,Model!$B$20,0)-IF(33&lt;Model!$B$15,Model!$B$22,0))/(1-Model!$B$9)/(1+Model!$B$18)^33))</f>
        <v/>
      </c>
      <c r="AV13" s="7">
        <f>IF(A13="","",IF((A13+34)&gt;Model!$B$4,0,MAX(0,Model!$B$6-IF((A13+34)&gt;=Model!$B$11,Model!$B$20,0)-IF(34&lt;Model!$B$15,Model!$B$22,0))/(1-Model!$B$9)/(1+Model!$B$18)^34))</f>
        <v/>
      </c>
      <c r="AW13" s="7">
        <f>IF(A13="","",IF((A13+35)&gt;Model!$B$4,0,MAX(0,Model!$B$6-IF((A13+35)&gt;=Model!$B$11,Model!$B$20,0)-IF(35&lt;Model!$B$15,Model!$B$22,0))/(1-Model!$B$9)/(1+Model!$B$18)^35))</f>
        <v/>
      </c>
      <c r="AX13" s="7">
        <f>IF(A13="","",IF((A13+36)&gt;Model!$B$4,0,MAX(0,Model!$B$6-IF((A13+36)&gt;=Model!$B$11,Model!$B$20,0)-IF(36&lt;Model!$B$15,Model!$B$22,0))/(1-Model!$B$9)/(1+Model!$B$18)^36))</f>
        <v/>
      </c>
      <c r="AY13" s="7">
        <f>IF(A13="","",IF((A13+37)&gt;Model!$B$4,0,MAX(0,Model!$B$6-IF((A13+37)&gt;=Model!$B$11,Model!$B$20,0)-IF(37&lt;Model!$B$15,Model!$B$22,0))/(1-Model!$B$9)/(1+Model!$B$18)^37))</f>
        <v/>
      </c>
      <c r="AZ13" s="7">
        <f>IF(A13="","",IF((A13+38)&gt;Model!$B$4,0,MAX(0,Model!$B$6-IF((A13+38)&gt;=Model!$B$11,Model!$B$20,0)-IF(38&lt;Model!$B$15,Model!$B$22,0))/(1-Model!$B$9)/(1+Model!$B$18)^38))</f>
        <v/>
      </c>
      <c r="BA13" s="7">
        <f>IF(A13="","",IF((A13+39)&gt;Model!$B$4,0,MAX(0,Model!$B$6-IF((A13+39)&gt;=Model!$B$11,Model!$B$20,0)-IF(39&lt;Model!$B$15,Model!$B$22,0))/(1-Model!$B$9)/(1+Model!$B$18)^39))</f>
        <v/>
      </c>
      <c r="BB13" s="7">
        <f>IF(A13="","",IF((A13+40)&gt;Model!$B$4,0,MAX(0,Model!$B$6-IF((A13+40)&gt;=Model!$B$11,Model!$B$20,0)-IF(40&lt;Model!$B$15,Model!$B$22,0))/(1-Model!$B$9)/(1+Model!$B$18)^40))</f>
        <v/>
      </c>
      <c r="BC13" s="7">
        <f>IF(A13="","",IF((A13+41)&gt;Model!$B$4,0,MAX(0,Model!$B$6-IF((A13+41)&gt;=Model!$B$11,Model!$B$20,0)-IF(41&lt;Model!$B$15,Model!$B$22,0))/(1-Model!$B$9)/(1+Model!$B$18)^41))</f>
        <v/>
      </c>
      <c r="BD13" s="7">
        <f>IF(A13="","",IF((A13+42)&gt;Model!$B$4,0,MAX(0,Model!$B$6-IF((A13+42)&gt;=Model!$B$11,Model!$B$20,0)-IF(42&lt;Model!$B$15,Model!$B$22,0))/(1-Model!$B$9)/(1+Model!$B$18)^42))</f>
        <v/>
      </c>
      <c r="BE13" s="7">
        <f>IF(A13="","",IF((A13+43)&gt;Model!$B$4,0,MAX(0,Model!$B$6-IF((A13+43)&gt;=Model!$B$11,Model!$B$20,0)-IF(43&lt;Model!$B$15,Model!$B$22,0))/(1-Model!$B$9)/(1+Model!$B$18)^43))</f>
        <v/>
      </c>
      <c r="BF13" s="7">
        <f>IF(A13="","",IF((A13+44)&gt;Model!$B$4,0,MAX(0,Model!$B$6-IF((A13+44)&gt;=Model!$B$11,Model!$B$20,0)-IF(44&lt;Model!$B$15,Model!$B$22,0))/(1-Model!$B$9)/(1+Model!$B$18)^44))</f>
        <v/>
      </c>
      <c r="BG13" s="7">
        <f>IF(A13="","",IF((A13+45)&gt;Model!$B$4,0,MAX(0,Model!$B$6-IF((A13+45)&gt;=Model!$B$11,Model!$B$20,0)-IF(45&lt;Model!$B$15,Model!$B$22,0))/(1-Model!$B$9)/(1+Model!$B$18)^45))</f>
        <v/>
      </c>
      <c r="BH13" s="7">
        <f>IF(A13="","",IF((A13+46)&gt;Model!$B$4,0,MAX(0,Model!$B$6-IF((A13+46)&gt;=Model!$B$11,Model!$B$20,0)-IF(46&lt;Model!$B$15,Model!$B$22,0))/(1-Model!$B$9)/(1+Model!$B$18)^46))</f>
        <v/>
      </c>
      <c r="BI13" s="7">
        <f>IF(A13="","",IF((A13+47)&gt;Model!$B$4,0,MAX(0,Model!$B$6-IF((A13+47)&gt;=Model!$B$11,Model!$B$20,0)-IF(47&lt;Model!$B$15,Model!$B$22,0))/(1-Model!$B$9)/(1+Model!$B$18)^47))</f>
        <v/>
      </c>
      <c r="BJ13" s="7">
        <f>IF(A13="","",IF((A13+48)&gt;Model!$B$4,0,MAX(0,Model!$B$6-IF((A13+48)&gt;=Model!$B$11,Model!$B$20,0)-IF(48&lt;Model!$B$15,Model!$B$22,0))/(1-Model!$B$9)/(1+Model!$B$18)^48))</f>
        <v/>
      </c>
      <c r="BK13" s="7">
        <f>IF(A13="","",IF((A13+49)&gt;Model!$B$4,0,MAX(0,Model!$B$6-IF((A13+49)&gt;=Model!$B$11,Model!$B$20,0)-IF(49&lt;Model!$B$15,Model!$B$22,0))/(1-Model!$B$9)/(1+Model!$B$18)^49))</f>
        <v/>
      </c>
      <c r="BL13" s="7">
        <f>IF(A13="","",IF((A13+50)&gt;Model!$B$4,0,MAX(0,Model!$B$6-IF((A13+50)&gt;=Model!$B$11,Model!$B$20,0)-IF(50&lt;Model!$B$15,Model!$B$22,0))/(1-Model!$B$9)/(1+Model!$B$18)^50))</f>
        <v/>
      </c>
      <c r="BM13" s="7">
        <f>IF(A13="","",IF((A13+51)&gt;Model!$B$4,0,MAX(0,Model!$B$6-IF((A13+51)&gt;=Model!$B$11,Model!$B$20,0)-IF(51&lt;Model!$B$15,Model!$B$22,0))/(1-Model!$B$9)/(1+Model!$B$18)^51))</f>
        <v/>
      </c>
      <c r="BN13" s="7">
        <f>IF(A13="","",IF((A13+52)&gt;Model!$B$4,0,MAX(0,Model!$B$6-IF((A13+52)&gt;=Model!$B$11,Model!$B$20,0)-IF(52&lt;Model!$B$15,Model!$B$22,0))/(1-Model!$B$9)/(1+Model!$B$18)^52))</f>
        <v/>
      </c>
      <c r="BO13" s="7">
        <f>IF(A13="","",IF((A13+53)&gt;Model!$B$4,0,MAX(0,Model!$B$6-IF((A13+53)&gt;=Model!$B$11,Model!$B$20,0)-IF(53&lt;Model!$B$15,Model!$B$22,0))/(1-Model!$B$9)/(1+Model!$B$18)^53))</f>
        <v/>
      </c>
      <c r="BP13" s="7">
        <f>IF(A13="","",IF((A13+54)&gt;Model!$B$4,0,MAX(0,Model!$B$6-IF((A13+54)&gt;=Model!$B$11,Model!$B$20,0)-IF(54&lt;Model!$B$15,Model!$B$22,0))/(1-Model!$B$9)/(1+Model!$B$18)^54))</f>
        <v/>
      </c>
      <c r="BQ13" s="7">
        <f>IF(A13="","",IF((A13+55)&gt;Model!$B$4,0,MAX(0,Model!$B$6-IF((A13+55)&gt;=Model!$B$11,Model!$B$20,0)-IF(55&lt;Model!$B$15,Model!$B$22,0))/(1-Model!$B$9)/(1+Model!$B$18)^55))</f>
        <v/>
      </c>
      <c r="BR13" s="7">
        <f>IF(A13="","",IF((A13+56)&gt;Model!$B$4,0,MAX(0,Model!$B$6-IF((A13+56)&gt;=Model!$B$11,Model!$B$20,0)-IF(56&lt;Model!$B$15,Model!$B$22,0))/(1-Model!$B$9)/(1+Model!$B$18)^56))</f>
        <v/>
      </c>
      <c r="BS13" s="7">
        <f>IF(A13="","",IF((A13+57)&gt;Model!$B$4,0,MAX(0,Model!$B$6-IF((A13+57)&gt;=Model!$B$11,Model!$B$20,0)-IF(57&lt;Model!$B$15,Model!$B$22,0))/(1-Model!$B$9)/(1+Model!$B$18)^57))</f>
        <v/>
      </c>
      <c r="BT13" s="7">
        <f>IF(A13="","",IF((A13+58)&gt;Model!$B$4,0,MAX(0,Model!$B$6-IF((A13+58)&gt;=Model!$B$11,Model!$B$20,0)-IF(58&lt;Model!$B$15,Model!$B$22,0))/(1-Model!$B$9)/(1+Model!$B$18)^58))</f>
        <v/>
      </c>
      <c r="BU13" s="7">
        <f>IF(A13="","",IF((A13+59)&gt;Model!$B$4,0,MAX(0,Model!$B$6-IF((A13+59)&gt;=Model!$B$11,Model!$B$20,0)-IF(59&lt;Model!$B$15,Model!$B$22,0))/(1-Model!$B$9)/(1+Model!$B$18)^59))</f>
        <v/>
      </c>
      <c r="BV13" s="7">
        <f>IF(A13="","",IF((A13+60)&gt;Model!$B$4,0,MAX(0,Model!$B$6-IF((A13+60)&gt;=Model!$B$11,Model!$B$20,0)-IF(60&lt;Model!$B$15,Model!$B$22,0))/(1-Model!$B$9)/(1+Model!$B$18)^60))</f>
        <v/>
      </c>
      <c r="BW13" s="7">
        <f>IF(A13="","",IF((A13+61)&gt;Model!$B$4,0,MAX(0,Model!$B$6-IF((A13+61)&gt;=Model!$B$11,Model!$B$20,0)-IF(61&lt;Model!$B$15,Model!$B$22,0))/(1-Model!$B$9)/(1+Model!$B$18)^61))</f>
        <v/>
      </c>
      <c r="BX13" s="7">
        <f>IF(A13="","",IF((A13+62)&gt;Model!$B$4,0,MAX(0,Model!$B$6-IF((A13+62)&gt;=Model!$B$11,Model!$B$20,0)-IF(62&lt;Model!$B$15,Model!$B$22,0))/(1-Model!$B$9)/(1+Model!$B$18)^62))</f>
        <v/>
      </c>
      <c r="BY13" s="7">
        <f>IF(A13="","",IF((A13+63)&gt;Model!$B$4,0,MAX(0,Model!$B$6-IF((A13+63)&gt;=Model!$B$11,Model!$B$20,0)-IF(63&lt;Model!$B$15,Model!$B$22,0))/(1-Model!$B$9)/(1+Model!$B$18)^63))</f>
        <v/>
      </c>
      <c r="BZ13" s="7">
        <f>IF(A13="","",IF((A13+64)&gt;Model!$B$4,0,MAX(0,Model!$B$6-IF((A13+64)&gt;=Model!$B$11,Model!$B$20,0)-IF(64&lt;Model!$B$15,Model!$B$22,0))/(1-Model!$B$9)/(1+Model!$B$18)^64))</f>
        <v/>
      </c>
      <c r="CA13" s="7">
        <f>IF(A13="","",IF((A13+65)&gt;Model!$B$4,0,MAX(0,Model!$B$6-IF((A13+65)&gt;=Model!$B$11,Model!$B$20,0)-IF(65&lt;Model!$B$15,Model!$B$22,0))/(1-Model!$B$9)/(1+Model!$B$18)^65))</f>
        <v/>
      </c>
      <c r="CB13" s="7">
        <f>IF(A13="","",IF((A13+66)&gt;Model!$B$4,0,MAX(0,Model!$B$6-IF((A13+66)&gt;=Model!$B$11,Model!$B$20,0)-IF(66&lt;Model!$B$15,Model!$B$22,0))/(1-Model!$B$9)/(1+Model!$B$18)^66))</f>
        <v/>
      </c>
      <c r="CC13" s="7">
        <f>IF(A13="","",IF((A13+67)&gt;Model!$B$4,0,MAX(0,Model!$B$6-IF((A13+67)&gt;=Model!$B$11,Model!$B$20,0)-IF(67&lt;Model!$B$15,Model!$B$22,0))/(1-Model!$B$9)/(1+Model!$B$18)^67))</f>
        <v/>
      </c>
      <c r="CD13" s="7">
        <f>IF(A13="","",IF((A13+68)&gt;Model!$B$4,0,MAX(0,Model!$B$6-IF((A13+68)&gt;=Model!$B$11,Model!$B$20,0)-IF(68&lt;Model!$B$15,Model!$B$22,0))/(1-Model!$B$9)/(1+Model!$B$18)^68))</f>
        <v/>
      </c>
      <c r="CE13" s="7">
        <f>IF(A13="","",IF((A13+69)&gt;Model!$B$4,0,MAX(0,Model!$B$6-IF((A13+69)&gt;=Model!$B$11,Model!$B$20,0)-IF(69&lt;Model!$B$15,Model!$B$22,0))/(1-Model!$B$9)/(1+Model!$B$18)^69))</f>
        <v/>
      </c>
      <c r="CF13" s="7">
        <f>IF(A13="","",IF((A13+70)&gt;Model!$B$4,0,MAX(0,Model!$B$6-IF((A13+70)&gt;=Model!$B$11,Model!$B$20,0)-IF(70&lt;Model!$B$15,Model!$B$22,0))/(1-Model!$B$9)/(1+Model!$B$18)^70))</f>
        <v/>
      </c>
      <c r="CG13" s="7">
        <f>IF(A13="","",IF((A13+71)&gt;Model!$B$4,0,MAX(0,Model!$B$6-IF((A13+71)&gt;=Model!$B$11,Model!$B$20,0)-IF(71&lt;Model!$B$15,Model!$B$22,0))/(1-Model!$B$9)/(1+Model!$B$18)^71))</f>
        <v/>
      </c>
      <c r="CH13" s="7">
        <f>IF(A13="","",IF((A13+72)&gt;Model!$B$4,0,MAX(0,Model!$B$6-IF((A13+72)&gt;=Model!$B$11,Model!$B$20,0)-IF(72&lt;Model!$B$15,Model!$B$22,0))/(1-Model!$B$9)/(1+Model!$B$18)^72))</f>
        <v/>
      </c>
      <c r="CI13" s="7">
        <f>IF(A13="","",IF((A13+73)&gt;Model!$B$4,0,MAX(0,Model!$B$6-IF((A13+73)&gt;=Model!$B$11,Model!$B$20,0)-IF(73&lt;Model!$B$15,Model!$B$22,0))/(1-Model!$B$9)/(1+Model!$B$18)^73))</f>
        <v/>
      </c>
      <c r="CJ13" s="7">
        <f>IF(A13="","",IF((A13+74)&gt;Model!$B$4,0,MAX(0,Model!$B$6-IF((A13+74)&gt;=Model!$B$11,Model!$B$20,0)-IF(74&lt;Model!$B$15,Model!$B$22,0))/(1-Model!$B$9)/(1+Model!$B$18)^74))</f>
        <v/>
      </c>
      <c r="CK13" s="7">
        <f>IF(A13="","",IF((A13+75)&gt;Model!$B$4,0,MAX(0,Model!$B$6-IF((A13+75)&gt;=Model!$B$11,Model!$B$20,0)-IF(75&lt;Model!$B$15,Model!$B$22,0))/(1-Model!$B$9)/(1+Model!$B$18)^75))</f>
        <v/>
      </c>
      <c r="CL13" s="7">
        <f>IF(A13="","",IF((A13+76)&gt;Model!$B$4,0,MAX(0,Model!$B$6-IF((A13+76)&gt;=Model!$B$11,Model!$B$20,0)-IF(76&lt;Model!$B$15,Model!$B$22,0))/(1-Model!$B$9)/(1+Model!$B$18)^76))</f>
        <v/>
      </c>
      <c r="CM13" s="7">
        <f>IF(A13="","",IF((A13+77)&gt;Model!$B$4,0,MAX(0,Model!$B$6-IF((A13+77)&gt;=Model!$B$11,Model!$B$20,0)-IF(77&lt;Model!$B$15,Model!$B$22,0))/(1-Model!$B$9)/(1+Model!$B$18)^77))</f>
        <v/>
      </c>
      <c r="CN13" s="7">
        <f>IF(A13="","",IF((A13+78)&gt;Model!$B$4,0,MAX(0,Model!$B$6-IF((A13+78)&gt;=Model!$B$11,Model!$B$20,0)-IF(78&lt;Model!$B$15,Model!$B$22,0))/(1-Model!$B$9)/(1+Model!$B$18)^78))</f>
        <v/>
      </c>
      <c r="CO13" s="7">
        <f>IF(A13="","",IF((A13+79)&gt;Model!$B$4,0,MAX(0,Model!$B$6-IF((A13+79)&gt;=Model!$B$11,Model!$B$20,0)-IF(79&lt;Model!$B$15,Model!$B$22,0))/(1-Model!$B$9)/(1+Model!$B$18)^79))</f>
        <v/>
      </c>
      <c r="CP13" s="7">
        <f>IF(A13="","",IF((A13+80)&gt;Model!$B$4,0,MAX(0,Model!$B$6-IF((A13+80)&gt;=Model!$B$11,Model!$B$20,0)-IF(80&lt;Model!$B$15,Model!$B$22,0))/(1-Model!$B$9)/(1+Model!$B$18)^80))</f>
        <v/>
      </c>
      <c r="CQ13" s="7">
        <f>IF(A13="","",IF((A13+81)&gt;Model!$B$4,0,MAX(0,Model!$B$6-IF((A13+81)&gt;=Model!$B$11,Model!$B$20,0)-IF(81&lt;Model!$B$15,Model!$B$22,0))/(1-Model!$B$9)/(1+Model!$B$18)^81))</f>
        <v/>
      </c>
      <c r="CR13" s="7">
        <f>IF(A13="","",IF((A13+82)&gt;Model!$B$4,0,MAX(0,Model!$B$6-IF((A13+82)&gt;=Model!$B$11,Model!$B$20,0)-IF(82&lt;Model!$B$15,Model!$B$22,0))/(1-Model!$B$9)/(1+Model!$B$18)^82))</f>
        <v/>
      </c>
      <c r="CS13" s="7">
        <f>IF(A13="","",IF((A13+83)&gt;Model!$B$4,0,MAX(0,Model!$B$6-IF((A13+83)&gt;=Model!$B$11,Model!$B$20,0)-IF(83&lt;Model!$B$15,Model!$B$22,0))/(1-Model!$B$9)/(1+Model!$B$18)^83))</f>
        <v/>
      </c>
      <c r="CT13" s="7">
        <f>IF(A13="","",IF((A13+84)&gt;Model!$B$4,0,MAX(0,Model!$B$6-IF((A13+84)&gt;=Model!$B$11,Model!$B$20,0)-IF(84&lt;Model!$B$15,Model!$B$22,0))/(1-Model!$B$9)/(1+Model!$B$18)^84))</f>
        <v/>
      </c>
      <c r="CU13" s="7">
        <f>IF(A13="","",IF((A13+85)&gt;Model!$B$4,0,MAX(0,Model!$B$6-IF((A13+85)&gt;=Model!$B$11,Model!$B$20,0)-IF(85&lt;Model!$B$15,Model!$B$22,0))/(1-Model!$B$9)/(1+Model!$B$18)^85))</f>
        <v/>
      </c>
      <c r="CV13" s="7">
        <f>IF(A13="","",IF((A13+86)&gt;Model!$B$4,0,MAX(0,Model!$B$6-IF((A13+86)&gt;=Model!$B$11,Model!$B$20,0)-IF(86&lt;Model!$B$15,Model!$B$22,0))/(1-Model!$B$9)/(1+Model!$B$18)^86))</f>
        <v/>
      </c>
      <c r="CW13" s="7">
        <f>IF(A13="","",IF((A13+87)&gt;Model!$B$4,0,MAX(0,Model!$B$6-IF((A13+87)&gt;=Model!$B$11,Model!$B$20,0)-IF(87&lt;Model!$B$15,Model!$B$22,0))/(1-Model!$B$9)/(1+Model!$B$18)^87))</f>
        <v/>
      </c>
      <c r="CX13" s="7">
        <f>IF(A13="","",IF((A13+88)&gt;Model!$B$4,0,MAX(0,Model!$B$6-IF((A13+88)&gt;=Model!$B$11,Model!$B$20,0)-IF(88&lt;Model!$B$15,Model!$B$22,0))/(1-Model!$B$9)/(1+Model!$B$18)^88))</f>
        <v/>
      </c>
      <c r="CY13" s="7">
        <f>IF(A13="","",IF((A13+89)&gt;Model!$B$4,0,MAX(0,Model!$B$6-IF((A13+89)&gt;=Model!$B$11,Model!$B$20,0)-IF(89&lt;Model!$B$15,Model!$B$22,0))/(1-Model!$B$9)/(1+Model!$B$18)^89))</f>
        <v/>
      </c>
      <c r="CZ13" s="7">
        <f>IF(A13="","",IF((A13+90)&gt;Model!$B$4,0,MAX(0,Model!$B$6-IF((A13+90)&gt;=Model!$B$11,Model!$B$20,0)-IF(90&lt;Model!$B$15,Model!$B$22,0))/(1-Model!$B$9)/(1+Model!$B$18)^90))</f>
        <v/>
      </c>
      <c r="DA13" s="7">
        <f>IF(A13="","",IF((A13+91)&gt;Model!$B$4,0,MAX(0,Model!$B$6-IF((A13+91)&gt;=Model!$B$11,Model!$B$20,0)-IF(91&lt;Model!$B$15,Model!$B$22,0))/(1-Model!$B$9)/(1+Model!$B$18)^91))</f>
        <v/>
      </c>
      <c r="DB13" s="7">
        <f>IF(A13="","",IF((A13+92)&gt;Model!$B$4,0,MAX(0,Model!$B$6-IF((A13+92)&gt;=Model!$B$11,Model!$B$20,0)-IF(92&lt;Model!$B$15,Model!$B$22,0))/(1-Model!$B$9)/(1+Model!$B$18)^92))</f>
        <v/>
      </c>
      <c r="DC13" s="7">
        <f>IF(A13="","",IF((A13+93)&gt;Model!$B$4,0,MAX(0,Model!$B$6-IF((A13+93)&gt;=Model!$B$11,Model!$B$20,0)-IF(93&lt;Model!$B$15,Model!$B$22,0))/(1-Model!$B$9)/(1+Model!$B$18)^93))</f>
        <v/>
      </c>
      <c r="DD13" s="7">
        <f>IF(A13="","",IF((A13+94)&gt;Model!$B$4,0,MAX(0,Model!$B$6-IF((A13+94)&gt;=Model!$B$11,Model!$B$20,0)-IF(94&lt;Model!$B$15,Model!$B$22,0))/(1-Model!$B$9)/(1+Model!$B$18)^94))</f>
        <v/>
      </c>
      <c r="DE13" s="7">
        <f>IF(A13="","",IF((A13+95)&gt;Model!$B$4,0,MAX(0,Model!$B$6-IF((A13+95)&gt;=Model!$B$11,Model!$B$20,0)-IF(95&lt;Model!$B$15,Model!$B$22,0))/(1-Model!$B$9)/(1+Model!$B$18)^95))</f>
        <v/>
      </c>
      <c r="DF13" s="7">
        <f>IF(A13="","",IF((A13+96)&gt;Model!$B$4,0,MAX(0,Model!$B$6-IF((A13+96)&gt;=Model!$B$11,Model!$B$20,0)-IF(96&lt;Model!$B$15,Model!$B$22,0))/(1-Model!$B$9)/(1+Model!$B$18)^96))</f>
        <v/>
      </c>
      <c r="DG13" s="7">
        <f>IF(A13="","",IF((A13+97)&gt;Model!$B$4,0,MAX(0,Model!$B$6-IF((A13+97)&gt;=Model!$B$11,Model!$B$20,0)-IF(97&lt;Model!$B$15,Model!$B$22,0))/(1-Model!$B$9)/(1+Model!$B$18)^97))</f>
        <v/>
      </c>
      <c r="DH13" s="7">
        <f>IF(A13="","",IF((A13+98)&gt;Model!$B$4,0,MAX(0,Model!$B$6-IF((A13+98)&gt;=Model!$B$11,Model!$B$20,0)-IF(98&lt;Model!$B$15,Model!$B$22,0))/(1-Model!$B$9)/(1+Model!$B$18)^98))</f>
        <v/>
      </c>
      <c r="DI13" s="7">
        <f>IF(A13="","",IF((A13+99)&gt;Model!$B$4,0,MAX(0,Model!$B$6-IF((A13+99)&gt;=Model!$B$11,Model!$B$20,0)-IF(99&lt;Model!$B$15,Model!$B$22,0))/(1-Model!$B$9)/(1+Model!$B$18)^99))</f>
        <v/>
      </c>
      <c r="DJ13" s="7">
        <f>IF(A13="","",IF((A13+100)&gt;Model!$B$4,0,MAX(0,Model!$B$6-IF((A13+100)&gt;=Model!$B$11,Model!$B$20,0)-IF(100&lt;Model!$B$15,Model!$B$22,0))/(1-Model!$B$9)/(1+Model!$B$18)^100))</f>
        <v/>
      </c>
      <c r="DK13" s="7">
        <f>IF(A13="","",IF((A13+101)&gt;Model!$B$4,0,MAX(0,Model!$B$6-IF((A13+101)&gt;=Model!$B$11,Model!$B$20,0)-IF(101&lt;Model!$B$15,Model!$B$22,0))/(1-Model!$B$9)/(1+Model!$B$18)^101))</f>
        <v/>
      </c>
      <c r="DL13" s="7">
        <f>IF(A13="","",IF((A13+102)&gt;Model!$B$4,0,MAX(0,Model!$B$6-IF((A13+102)&gt;=Model!$B$11,Model!$B$20,0)-IF(102&lt;Model!$B$15,Model!$B$22,0))/(1-Model!$B$9)/(1+Model!$B$18)^102))</f>
        <v/>
      </c>
      <c r="DM13" s="7">
        <f>IF(A13="","",IF((A13+103)&gt;Model!$B$4,0,MAX(0,Model!$B$6-IF((A13+103)&gt;=Model!$B$11,Model!$B$20,0)-IF(103&lt;Model!$B$15,Model!$B$22,0))/(1-Model!$B$9)/(1+Model!$B$18)^103))</f>
        <v/>
      </c>
      <c r="DN13" s="7">
        <f>IF(A13="","",IF((A13+104)&gt;Model!$B$4,0,MAX(0,Model!$B$6-IF((A13+104)&gt;=Model!$B$11,Model!$B$20,0)-IF(104&lt;Model!$B$15,Model!$B$22,0))/(1-Model!$B$9)/(1+Model!$B$18)^104))</f>
        <v/>
      </c>
      <c r="DO13" s="7">
        <f>IF(A13="","",IF((A13+105)&gt;Model!$B$4,0,MAX(0,Model!$B$6-IF((A13+105)&gt;=Model!$B$11,Model!$B$20,0)-IF(105&lt;Model!$B$15,Model!$B$22,0))/(1-Model!$B$9)/(1+Model!$B$18)^105))</f>
        <v/>
      </c>
      <c r="DP13" s="7">
        <f>IF(A13="","",IF((A13+106)&gt;Model!$B$4,0,MAX(0,Model!$B$6-IF((A13+106)&gt;=Model!$B$11,Model!$B$20,0)-IF(106&lt;Model!$B$15,Model!$B$22,0))/(1-Model!$B$9)/(1+Model!$B$18)^106))</f>
        <v/>
      </c>
      <c r="DQ13" s="7">
        <f>IF(A13="","",IF((A13+107)&gt;Model!$B$4,0,MAX(0,Model!$B$6-IF((A13+107)&gt;=Model!$B$11,Model!$B$20,0)-IF(107&lt;Model!$B$15,Model!$B$22,0))/(1-Model!$B$9)/(1+Model!$B$18)^107))</f>
        <v/>
      </c>
      <c r="DR13" s="7">
        <f>IF(A13="","",IF((A13+108)&gt;Model!$B$4,0,MAX(0,Model!$B$6-IF((A13+108)&gt;=Model!$B$11,Model!$B$20,0)-IF(108&lt;Model!$B$15,Model!$B$22,0))/(1-Model!$B$9)/(1+Model!$B$18)^108))</f>
        <v/>
      </c>
      <c r="DS13" s="7">
        <f>IF(A13="","",IF((A13+109)&gt;Model!$B$4,0,MAX(0,Model!$B$6-IF((A13+109)&gt;=Model!$B$11,Model!$B$20,0)-IF(109&lt;Model!$B$15,Model!$B$22,0))/(1-Model!$B$9)/(1+Model!$B$18)^109))</f>
        <v/>
      </c>
      <c r="DT13" s="7">
        <f>IF(A13="","",IF((A13+110)&gt;Model!$B$4,0,MAX(0,Model!$B$6-IF((A13+110)&gt;=Model!$B$11,Model!$B$20,0)-IF(110&lt;Model!$B$15,Model!$B$22,0))/(1-Model!$B$9)/(1+Model!$B$18)^110))</f>
        <v/>
      </c>
      <c r="DU13" s="7">
        <f>IF(A13="","",IF((A13+111)&gt;Model!$B$4,0,MAX(0,Model!$B$6-IF((A13+111)&gt;=Model!$B$11,Model!$B$20,0)-IF(111&lt;Model!$B$15,Model!$B$22,0))/(1-Model!$B$9)/(1+Model!$B$18)^111))</f>
        <v/>
      </c>
      <c r="DV13" s="7">
        <f>IF(A13="","",IF((A13+112)&gt;Model!$B$4,0,MAX(0,Model!$B$6-IF((A13+112)&gt;=Model!$B$11,Model!$B$20,0)-IF(112&lt;Model!$B$15,Model!$B$22,0))/(1-Model!$B$9)/(1+Model!$B$18)^112))</f>
        <v/>
      </c>
      <c r="DW13" s="7">
        <f>IF(A13="","",IF((A13+113)&gt;Model!$B$4,0,MAX(0,Model!$B$6-IF((A13+113)&gt;=Model!$B$11,Model!$B$20,0)-IF(113&lt;Model!$B$15,Model!$B$22,0))/(1-Model!$B$9)/(1+Model!$B$18)^113))</f>
        <v/>
      </c>
      <c r="DX13" s="7">
        <f>IF(A13="","",IF((A13+114)&gt;Model!$B$4,0,MAX(0,Model!$B$6-IF((A13+114)&gt;=Model!$B$11,Model!$B$20,0)-IF(114&lt;Model!$B$15,Model!$B$22,0))/(1-Model!$B$9)/(1+Model!$B$18)^114))</f>
        <v/>
      </c>
      <c r="DY13" s="7">
        <f>IF(A13="","",IF((A13+115)&gt;Model!$B$4,0,MAX(0,Model!$B$6-IF((A13+115)&gt;=Model!$B$11,Model!$B$20,0)-IF(115&lt;Model!$B$15,Model!$B$22,0))/(1-Model!$B$9)/(1+Model!$B$18)^115))</f>
        <v/>
      </c>
      <c r="DZ13" s="7">
        <f>IF(A13="","",IF((A13+116)&gt;Model!$B$4,0,MAX(0,Model!$B$6-IF((A13+116)&gt;=Model!$B$11,Model!$B$20,0)-IF(116&lt;Model!$B$15,Model!$B$22,0))/(1-Model!$B$9)/(1+Model!$B$18)^116))</f>
        <v/>
      </c>
      <c r="EA13" s="7">
        <f>IF(A13="","",IF((A13+117)&gt;Model!$B$4,0,MAX(0,Model!$B$6-IF((A13+117)&gt;=Model!$B$11,Model!$B$20,0)-IF(117&lt;Model!$B$15,Model!$B$22,0))/(1-Model!$B$9)/(1+Model!$B$18)^117))</f>
        <v/>
      </c>
      <c r="EB13" s="7">
        <f>IF(A13="","",IF((A13+118)&gt;Model!$B$4,0,MAX(0,Model!$B$6-IF((A13+118)&gt;=Model!$B$11,Model!$B$20,0)-IF(118&lt;Model!$B$15,Model!$B$22,0))/(1-Model!$B$9)/(1+Model!$B$18)^118))</f>
        <v/>
      </c>
      <c r="EC13" s="7">
        <f>IF(A13="","",IF((A13+119)&gt;Model!$B$4,0,MAX(0,Model!$B$6-IF((A13+119)&gt;=Model!$B$11,Model!$B$20,0)-IF(119&lt;Model!$B$15,Model!$B$22,0))/(1-Model!$B$9)/(1+Model!$B$18)^119))</f>
        <v/>
      </c>
      <c r="ED13" s="7">
        <f>IF(A13="","",IF((A13+120)&gt;Model!$B$4,0,MAX(0,Model!$B$6-IF((A13+120)&gt;=Model!$B$11,Model!$B$20,0)-IF(120&lt;Model!$B$15,Model!$B$22,0))/(1-Model!$B$9)/(1+Model!$B$18)^120))</f>
        <v/>
      </c>
    </row>
    <row r="14">
      <c r="A14">
        <f>IF(Model!$B$10+ROW()-2&lt;=Model!$B$4,Model!$B$10+ROW()-2,"")</f>
        <v/>
      </c>
      <c r="B14">
        <f>IF(A14="","",A14-Model!$B$10)</f>
        <v/>
      </c>
      <c r="C14" s="7">
        <f>IF(A14="","",Model!$B$5*(1+Model!$B$18)^B14)</f>
        <v/>
      </c>
      <c r="D14" s="7">
        <f>IF(A14="","",SUM(N14:ED14))</f>
        <v/>
      </c>
      <c r="E14" s="7">
        <f>IF(A14="","",IF(A14&gt;=Model!$B$11,Model!$B$20,0))</f>
        <v/>
      </c>
      <c r="F14" s="7">
        <f>IF(A14="","",IF(Model!$B$15&gt;0,Model!$B$22,0))</f>
        <v/>
      </c>
      <c r="G14" s="7">
        <f>IF(A14="","",E14+F14)</f>
        <v/>
      </c>
      <c r="H14" s="7">
        <f>IF(A14="","",MAX(0,Model!$B$6-G14))</f>
        <v/>
      </c>
      <c r="I14" s="7">
        <f>IF(A14="","",H14/(1-Model!$B$9))</f>
        <v/>
      </c>
      <c r="J14" s="7">
        <f>IF(A14="","",C14-D14)</f>
        <v/>
      </c>
      <c r="K14">
        <f>IF(A14="","",C14&gt;=D14)</f>
        <v/>
      </c>
      <c r="L14" s="7">
        <f>IF(A14="","",IF(A14&gt;=Model!$B$11,Model!$B$19*(1+Model!$B$13)^B14,0))</f>
        <v/>
      </c>
      <c r="M14" s="7">
        <f>IF(A14="","",IF(Model!$B$15&gt;0,Model!$B$21*(1+Model!$B$13)^B14,0))</f>
        <v/>
      </c>
      <c r="N14" s="7">
        <f>IF(A14="","",IF((A14+0)&gt;Model!$B$4,0,MAX(0,Model!$B$6-IF((A14+0)&gt;=Model!$B$11,Model!$B$20,0)-IF(0&lt;Model!$B$15,Model!$B$22,0))/(1-Model!$B$9)/(1+Model!$B$18)^0))</f>
        <v/>
      </c>
      <c r="O14" s="7">
        <f>IF(A14="","",IF((A14+1)&gt;Model!$B$4,0,MAX(0,Model!$B$6-IF((A14+1)&gt;=Model!$B$11,Model!$B$20,0)-IF(1&lt;Model!$B$15,Model!$B$22,0))/(1-Model!$B$9)/(1+Model!$B$18)^1))</f>
        <v/>
      </c>
      <c r="P14" s="7">
        <f>IF(A14="","",IF((A14+2)&gt;Model!$B$4,0,MAX(0,Model!$B$6-IF((A14+2)&gt;=Model!$B$11,Model!$B$20,0)-IF(2&lt;Model!$B$15,Model!$B$22,0))/(1-Model!$B$9)/(1+Model!$B$18)^2))</f>
        <v/>
      </c>
      <c r="Q14" s="7">
        <f>IF(A14="","",IF((A14+3)&gt;Model!$B$4,0,MAX(0,Model!$B$6-IF((A14+3)&gt;=Model!$B$11,Model!$B$20,0)-IF(3&lt;Model!$B$15,Model!$B$22,0))/(1-Model!$B$9)/(1+Model!$B$18)^3))</f>
        <v/>
      </c>
      <c r="R14" s="7">
        <f>IF(A14="","",IF((A14+4)&gt;Model!$B$4,0,MAX(0,Model!$B$6-IF((A14+4)&gt;=Model!$B$11,Model!$B$20,0)-IF(4&lt;Model!$B$15,Model!$B$22,0))/(1-Model!$B$9)/(1+Model!$B$18)^4))</f>
        <v/>
      </c>
      <c r="S14" s="7">
        <f>IF(A14="","",IF((A14+5)&gt;Model!$B$4,0,MAX(0,Model!$B$6-IF((A14+5)&gt;=Model!$B$11,Model!$B$20,0)-IF(5&lt;Model!$B$15,Model!$B$22,0))/(1-Model!$B$9)/(1+Model!$B$18)^5))</f>
        <v/>
      </c>
      <c r="T14" s="7">
        <f>IF(A14="","",IF((A14+6)&gt;Model!$B$4,0,MAX(0,Model!$B$6-IF((A14+6)&gt;=Model!$B$11,Model!$B$20,0)-IF(6&lt;Model!$B$15,Model!$B$22,0))/(1-Model!$B$9)/(1+Model!$B$18)^6))</f>
        <v/>
      </c>
      <c r="U14" s="7">
        <f>IF(A14="","",IF((A14+7)&gt;Model!$B$4,0,MAX(0,Model!$B$6-IF((A14+7)&gt;=Model!$B$11,Model!$B$20,0)-IF(7&lt;Model!$B$15,Model!$B$22,0))/(1-Model!$B$9)/(1+Model!$B$18)^7))</f>
        <v/>
      </c>
      <c r="V14" s="7">
        <f>IF(A14="","",IF((A14+8)&gt;Model!$B$4,0,MAX(0,Model!$B$6-IF((A14+8)&gt;=Model!$B$11,Model!$B$20,0)-IF(8&lt;Model!$B$15,Model!$B$22,0))/(1-Model!$B$9)/(1+Model!$B$18)^8))</f>
        <v/>
      </c>
      <c r="W14" s="7">
        <f>IF(A14="","",IF((A14+9)&gt;Model!$B$4,0,MAX(0,Model!$B$6-IF((A14+9)&gt;=Model!$B$11,Model!$B$20,0)-IF(9&lt;Model!$B$15,Model!$B$22,0))/(1-Model!$B$9)/(1+Model!$B$18)^9))</f>
        <v/>
      </c>
      <c r="X14" s="7">
        <f>IF(A14="","",IF((A14+10)&gt;Model!$B$4,0,MAX(0,Model!$B$6-IF((A14+10)&gt;=Model!$B$11,Model!$B$20,0)-IF(10&lt;Model!$B$15,Model!$B$22,0))/(1-Model!$B$9)/(1+Model!$B$18)^10))</f>
        <v/>
      </c>
      <c r="Y14" s="7">
        <f>IF(A14="","",IF((A14+11)&gt;Model!$B$4,0,MAX(0,Model!$B$6-IF((A14+11)&gt;=Model!$B$11,Model!$B$20,0)-IF(11&lt;Model!$B$15,Model!$B$22,0))/(1-Model!$B$9)/(1+Model!$B$18)^11))</f>
        <v/>
      </c>
      <c r="Z14" s="7">
        <f>IF(A14="","",IF((A14+12)&gt;Model!$B$4,0,MAX(0,Model!$B$6-IF((A14+12)&gt;=Model!$B$11,Model!$B$20,0)-IF(12&lt;Model!$B$15,Model!$B$22,0))/(1-Model!$B$9)/(1+Model!$B$18)^12))</f>
        <v/>
      </c>
      <c r="AA14" s="7">
        <f>IF(A14="","",IF((A14+13)&gt;Model!$B$4,0,MAX(0,Model!$B$6-IF((A14+13)&gt;=Model!$B$11,Model!$B$20,0)-IF(13&lt;Model!$B$15,Model!$B$22,0))/(1-Model!$B$9)/(1+Model!$B$18)^13))</f>
        <v/>
      </c>
      <c r="AB14" s="7">
        <f>IF(A14="","",IF((A14+14)&gt;Model!$B$4,0,MAX(0,Model!$B$6-IF((A14+14)&gt;=Model!$B$11,Model!$B$20,0)-IF(14&lt;Model!$B$15,Model!$B$22,0))/(1-Model!$B$9)/(1+Model!$B$18)^14))</f>
        <v/>
      </c>
      <c r="AC14" s="7">
        <f>IF(A14="","",IF((A14+15)&gt;Model!$B$4,0,MAX(0,Model!$B$6-IF((A14+15)&gt;=Model!$B$11,Model!$B$20,0)-IF(15&lt;Model!$B$15,Model!$B$22,0))/(1-Model!$B$9)/(1+Model!$B$18)^15))</f>
        <v/>
      </c>
      <c r="AD14" s="7">
        <f>IF(A14="","",IF((A14+16)&gt;Model!$B$4,0,MAX(0,Model!$B$6-IF((A14+16)&gt;=Model!$B$11,Model!$B$20,0)-IF(16&lt;Model!$B$15,Model!$B$22,0))/(1-Model!$B$9)/(1+Model!$B$18)^16))</f>
        <v/>
      </c>
      <c r="AE14" s="7">
        <f>IF(A14="","",IF((A14+17)&gt;Model!$B$4,0,MAX(0,Model!$B$6-IF((A14+17)&gt;=Model!$B$11,Model!$B$20,0)-IF(17&lt;Model!$B$15,Model!$B$22,0))/(1-Model!$B$9)/(1+Model!$B$18)^17))</f>
        <v/>
      </c>
      <c r="AF14" s="7">
        <f>IF(A14="","",IF((A14+18)&gt;Model!$B$4,0,MAX(0,Model!$B$6-IF((A14+18)&gt;=Model!$B$11,Model!$B$20,0)-IF(18&lt;Model!$B$15,Model!$B$22,0))/(1-Model!$B$9)/(1+Model!$B$18)^18))</f>
        <v/>
      </c>
      <c r="AG14" s="7">
        <f>IF(A14="","",IF((A14+19)&gt;Model!$B$4,0,MAX(0,Model!$B$6-IF((A14+19)&gt;=Model!$B$11,Model!$B$20,0)-IF(19&lt;Model!$B$15,Model!$B$22,0))/(1-Model!$B$9)/(1+Model!$B$18)^19))</f>
        <v/>
      </c>
      <c r="AH14" s="7">
        <f>IF(A14="","",IF((A14+20)&gt;Model!$B$4,0,MAX(0,Model!$B$6-IF((A14+20)&gt;=Model!$B$11,Model!$B$20,0)-IF(20&lt;Model!$B$15,Model!$B$22,0))/(1-Model!$B$9)/(1+Model!$B$18)^20))</f>
        <v/>
      </c>
      <c r="AI14" s="7">
        <f>IF(A14="","",IF((A14+21)&gt;Model!$B$4,0,MAX(0,Model!$B$6-IF((A14+21)&gt;=Model!$B$11,Model!$B$20,0)-IF(21&lt;Model!$B$15,Model!$B$22,0))/(1-Model!$B$9)/(1+Model!$B$18)^21))</f>
        <v/>
      </c>
      <c r="AJ14" s="7">
        <f>IF(A14="","",IF((A14+22)&gt;Model!$B$4,0,MAX(0,Model!$B$6-IF((A14+22)&gt;=Model!$B$11,Model!$B$20,0)-IF(22&lt;Model!$B$15,Model!$B$22,0))/(1-Model!$B$9)/(1+Model!$B$18)^22))</f>
        <v/>
      </c>
      <c r="AK14" s="7">
        <f>IF(A14="","",IF((A14+23)&gt;Model!$B$4,0,MAX(0,Model!$B$6-IF((A14+23)&gt;=Model!$B$11,Model!$B$20,0)-IF(23&lt;Model!$B$15,Model!$B$22,0))/(1-Model!$B$9)/(1+Model!$B$18)^23))</f>
        <v/>
      </c>
      <c r="AL14" s="7">
        <f>IF(A14="","",IF((A14+24)&gt;Model!$B$4,0,MAX(0,Model!$B$6-IF((A14+24)&gt;=Model!$B$11,Model!$B$20,0)-IF(24&lt;Model!$B$15,Model!$B$22,0))/(1-Model!$B$9)/(1+Model!$B$18)^24))</f>
        <v/>
      </c>
      <c r="AM14" s="7">
        <f>IF(A14="","",IF((A14+25)&gt;Model!$B$4,0,MAX(0,Model!$B$6-IF((A14+25)&gt;=Model!$B$11,Model!$B$20,0)-IF(25&lt;Model!$B$15,Model!$B$22,0))/(1-Model!$B$9)/(1+Model!$B$18)^25))</f>
        <v/>
      </c>
      <c r="AN14" s="7">
        <f>IF(A14="","",IF((A14+26)&gt;Model!$B$4,0,MAX(0,Model!$B$6-IF((A14+26)&gt;=Model!$B$11,Model!$B$20,0)-IF(26&lt;Model!$B$15,Model!$B$22,0))/(1-Model!$B$9)/(1+Model!$B$18)^26))</f>
        <v/>
      </c>
      <c r="AO14" s="7">
        <f>IF(A14="","",IF((A14+27)&gt;Model!$B$4,0,MAX(0,Model!$B$6-IF((A14+27)&gt;=Model!$B$11,Model!$B$20,0)-IF(27&lt;Model!$B$15,Model!$B$22,0))/(1-Model!$B$9)/(1+Model!$B$18)^27))</f>
        <v/>
      </c>
      <c r="AP14" s="7">
        <f>IF(A14="","",IF((A14+28)&gt;Model!$B$4,0,MAX(0,Model!$B$6-IF((A14+28)&gt;=Model!$B$11,Model!$B$20,0)-IF(28&lt;Model!$B$15,Model!$B$22,0))/(1-Model!$B$9)/(1+Model!$B$18)^28))</f>
        <v/>
      </c>
      <c r="AQ14" s="7">
        <f>IF(A14="","",IF((A14+29)&gt;Model!$B$4,0,MAX(0,Model!$B$6-IF((A14+29)&gt;=Model!$B$11,Model!$B$20,0)-IF(29&lt;Model!$B$15,Model!$B$22,0))/(1-Model!$B$9)/(1+Model!$B$18)^29))</f>
        <v/>
      </c>
      <c r="AR14" s="7">
        <f>IF(A14="","",IF((A14+30)&gt;Model!$B$4,0,MAX(0,Model!$B$6-IF((A14+30)&gt;=Model!$B$11,Model!$B$20,0)-IF(30&lt;Model!$B$15,Model!$B$22,0))/(1-Model!$B$9)/(1+Model!$B$18)^30))</f>
        <v/>
      </c>
      <c r="AS14" s="7">
        <f>IF(A14="","",IF((A14+31)&gt;Model!$B$4,0,MAX(0,Model!$B$6-IF((A14+31)&gt;=Model!$B$11,Model!$B$20,0)-IF(31&lt;Model!$B$15,Model!$B$22,0))/(1-Model!$B$9)/(1+Model!$B$18)^31))</f>
        <v/>
      </c>
      <c r="AT14" s="7">
        <f>IF(A14="","",IF((A14+32)&gt;Model!$B$4,0,MAX(0,Model!$B$6-IF((A14+32)&gt;=Model!$B$11,Model!$B$20,0)-IF(32&lt;Model!$B$15,Model!$B$22,0))/(1-Model!$B$9)/(1+Model!$B$18)^32))</f>
        <v/>
      </c>
      <c r="AU14" s="7">
        <f>IF(A14="","",IF((A14+33)&gt;Model!$B$4,0,MAX(0,Model!$B$6-IF((A14+33)&gt;=Model!$B$11,Model!$B$20,0)-IF(33&lt;Model!$B$15,Model!$B$22,0))/(1-Model!$B$9)/(1+Model!$B$18)^33))</f>
        <v/>
      </c>
      <c r="AV14" s="7">
        <f>IF(A14="","",IF((A14+34)&gt;Model!$B$4,0,MAX(0,Model!$B$6-IF((A14+34)&gt;=Model!$B$11,Model!$B$20,0)-IF(34&lt;Model!$B$15,Model!$B$22,0))/(1-Model!$B$9)/(1+Model!$B$18)^34))</f>
        <v/>
      </c>
      <c r="AW14" s="7">
        <f>IF(A14="","",IF((A14+35)&gt;Model!$B$4,0,MAX(0,Model!$B$6-IF((A14+35)&gt;=Model!$B$11,Model!$B$20,0)-IF(35&lt;Model!$B$15,Model!$B$22,0))/(1-Model!$B$9)/(1+Model!$B$18)^35))</f>
        <v/>
      </c>
      <c r="AX14" s="7">
        <f>IF(A14="","",IF((A14+36)&gt;Model!$B$4,0,MAX(0,Model!$B$6-IF((A14+36)&gt;=Model!$B$11,Model!$B$20,0)-IF(36&lt;Model!$B$15,Model!$B$22,0))/(1-Model!$B$9)/(1+Model!$B$18)^36))</f>
        <v/>
      </c>
      <c r="AY14" s="7">
        <f>IF(A14="","",IF((A14+37)&gt;Model!$B$4,0,MAX(0,Model!$B$6-IF((A14+37)&gt;=Model!$B$11,Model!$B$20,0)-IF(37&lt;Model!$B$15,Model!$B$22,0))/(1-Model!$B$9)/(1+Model!$B$18)^37))</f>
        <v/>
      </c>
      <c r="AZ14" s="7">
        <f>IF(A14="","",IF((A14+38)&gt;Model!$B$4,0,MAX(0,Model!$B$6-IF((A14+38)&gt;=Model!$B$11,Model!$B$20,0)-IF(38&lt;Model!$B$15,Model!$B$22,0))/(1-Model!$B$9)/(1+Model!$B$18)^38))</f>
        <v/>
      </c>
      <c r="BA14" s="7">
        <f>IF(A14="","",IF((A14+39)&gt;Model!$B$4,0,MAX(0,Model!$B$6-IF((A14+39)&gt;=Model!$B$11,Model!$B$20,0)-IF(39&lt;Model!$B$15,Model!$B$22,0))/(1-Model!$B$9)/(1+Model!$B$18)^39))</f>
        <v/>
      </c>
      <c r="BB14" s="7">
        <f>IF(A14="","",IF((A14+40)&gt;Model!$B$4,0,MAX(0,Model!$B$6-IF((A14+40)&gt;=Model!$B$11,Model!$B$20,0)-IF(40&lt;Model!$B$15,Model!$B$22,0))/(1-Model!$B$9)/(1+Model!$B$18)^40))</f>
        <v/>
      </c>
      <c r="BC14" s="7">
        <f>IF(A14="","",IF((A14+41)&gt;Model!$B$4,0,MAX(0,Model!$B$6-IF((A14+41)&gt;=Model!$B$11,Model!$B$20,0)-IF(41&lt;Model!$B$15,Model!$B$22,0))/(1-Model!$B$9)/(1+Model!$B$18)^41))</f>
        <v/>
      </c>
      <c r="BD14" s="7">
        <f>IF(A14="","",IF((A14+42)&gt;Model!$B$4,0,MAX(0,Model!$B$6-IF((A14+42)&gt;=Model!$B$11,Model!$B$20,0)-IF(42&lt;Model!$B$15,Model!$B$22,0))/(1-Model!$B$9)/(1+Model!$B$18)^42))</f>
        <v/>
      </c>
      <c r="BE14" s="7">
        <f>IF(A14="","",IF((A14+43)&gt;Model!$B$4,0,MAX(0,Model!$B$6-IF((A14+43)&gt;=Model!$B$11,Model!$B$20,0)-IF(43&lt;Model!$B$15,Model!$B$22,0))/(1-Model!$B$9)/(1+Model!$B$18)^43))</f>
        <v/>
      </c>
      <c r="BF14" s="7">
        <f>IF(A14="","",IF((A14+44)&gt;Model!$B$4,0,MAX(0,Model!$B$6-IF((A14+44)&gt;=Model!$B$11,Model!$B$20,0)-IF(44&lt;Model!$B$15,Model!$B$22,0))/(1-Model!$B$9)/(1+Model!$B$18)^44))</f>
        <v/>
      </c>
      <c r="BG14" s="7">
        <f>IF(A14="","",IF((A14+45)&gt;Model!$B$4,0,MAX(0,Model!$B$6-IF((A14+45)&gt;=Model!$B$11,Model!$B$20,0)-IF(45&lt;Model!$B$15,Model!$B$22,0))/(1-Model!$B$9)/(1+Model!$B$18)^45))</f>
        <v/>
      </c>
      <c r="BH14" s="7">
        <f>IF(A14="","",IF((A14+46)&gt;Model!$B$4,0,MAX(0,Model!$B$6-IF((A14+46)&gt;=Model!$B$11,Model!$B$20,0)-IF(46&lt;Model!$B$15,Model!$B$22,0))/(1-Model!$B$9)/(1+Model!$B$18)^46))</f>
        <v/>
      </c>
      <c r="BI14" s="7">
        <f>IF(A14="","",IF((A14+47)&gt;Model!$B$4,0,MAX(0,Model!$B$6-IF((A14+47)&gt;=Model!$B$11,Model!$B$20,0)-IF(47&lt;Model!$B$15,Model!$B$22,0))/(1-Model!$B$9)/(1+Model!$B$18)^47))</f>
        <v/>
      </c>
      <c r="BJ14" s="7">
        <f>IF(A14="","",IF((A14+48)&gt;Model!$B$4,0,MAX(0,Model!$B$6-IF((A14+48)&gt;=Model!$B$11,Model!$B$20,0)-IF(48&lt;Model!$B$15,Model!$B$22,0))/(1-Model!$B$9)/(1+Model!$B$18)^48))</f>
        <v/>
      </c>
      <c r="BK14" s="7">
        <f>IF(A14="","",IF((A14+49)&gt;Model!$B$4,0,MAX(0,Model!$B$6-IF((A14+49)&gt;=Model!$B$11,Model!$B$20,0)-IF(49&lt;Model!$B$15,Model!$B$22,0))/(1-Model!$B$9)/(1+Model!$B$18)^49))</f>
        <v/>
      </c>
      <c r="BL14" s="7">
        <f>IF(A14="","",IF((A14+50)&gt;Model!$B$4,0,MAX(0,Model!$B$6-IF((A14+50)&gt;=Model!$B$11,Model!$B$20,0)-IF(50&lt;Model!$B$15,Model!$B$22,0))/(1-Model!$B$9)/(1+Model!$B$18)^50))</f>
        <v/>
      </c>
      <c r="BM14" s="7">
        <f>IF(A14="","",IF((A14+51)&gt;Model!$B$4,0,MAX(0,Model!$B$6-IF((A14+51)&gt;=Model!$B$11,Model!$B$20,0)-IF(51&lt;Model!$B$15,Model!$B$22,0))/(1-Model!$B$9)/(1+Model!$B$18)^51))</f>
        <v/>
      </c>
      <c r="BN14" s="7">
        <f>IF(A14="","",IF((A14+52)&gt;Model!$B$4,0,MAX(0,Model!$B$6-IF((A14+52)&gt;=Model!$B$11,Model!$B$20,0)-IF(52&lt;Model!$B$15,Model!$B$22,0))/(1-Model!$B$9)/(1+Model!$B$18)^52))</f>
        <v/>
      </c>
      <c r="BO14" s="7">
        <f>IF(A14="","",IF((A14+53)&gt;Model!$B$4,0,MAX(0,Model!$B$6-IF((A14+53)&gt;=Model!$B$11,Model!$B$20,0)-IF(53&lt;Model!$B$15,Model!$B$22,0))/(1-Model!$B$9)/(1+Model!$B$18)^53))</f>
        <v/>
      </c>
      <c r="BP14" s="7">
        <f>IF(A14="","",IF((A14+54)&gt;Model!$B$4,0,MAX(0,Model!$B$6-IF((A14+54)&gt;=Model!$B$11,Model!$B$20,0)-IF(54&lt;Model!$B$15,Model!$B$22,0))/(1-Model!$B$9)/(1+Model!$B$18)^54))</f>
        <v/>
      </c>
      <c r="BQ14" s="7">
        <f>IF(A14="","",IF((A14+55)&gt;Model!$B$4,0,MAX(0,Model!$B$6-IF((A14+55)&gt;=Model!$B$11,Model!$B$20,0)-IF(55&lt;Model!$B$15,Model!$B$22,0))/(1-Model!$B$9)/(1+Model!$B$18)^55))</f>
        <v/>
      </c>
      <c r="BR14" s="7">
        <f>IF(A14="","",IF((A14+56)&gt;Model!$B$4,0,MAX(0,Model!$B$6-IF((A14+56)&gt;=Model!$B$11,Model!$B$20,0)-IF(56&lt;Model!$B$15,Model!$B$22,0))/(1-Model!$B$9)/(1+Model!$B$18)^56))</f>
        <v/>
      </c>
      <c r="BS14" s="7">
        <f>IF(A14="","",IF((A14+57)&gt;Model!$B$4,0,MAX(0,Model!$B$6-IF((A14+57)&gt;=Model!$B$11,Model!$B$20,0)-IF(57&lt;Model!$B$15,Model!$B$22,0))/(1-Model!$B$9)/(1+Model!$B$18)^57))</f>
        <v/>
      </c>
      <c r="BT14" s="7">
        <f>IF(A14="","",IF((A14+58)&gt;Model!$B$4,0,MAX(0,Model!$B$6-IF((A14+58)&gt;=Model!$B$11,Model!$B$20,0)-IF(58&lt;Model!$B$15,Model!$B$22,0))/(1-Model!$B$9)/(1+Model!$B$18)^58))</f>
        <v/>
      </c>
      <c r="BU14" s="7">
        <f>IF(A14="","",IF((A14+59)&gt;Model!$B$4,0,MAX(0,Model!$B$6-IF((A14+59)&gt;=Model!$B$11,Model!$B$20,0)-IF(59&lt;Model!$B$15,Model!$B$22,0))/(1-Model!$B$9)/(1+Model!$B$18)^59))</f>
        <v/>
      </c>
      <c r="BV14" s="7">
        <f>IF(A14="","",IF((A14+60)&gt;Model!$B$4,0,MAX(0,Model!$B$6-IF((A14+60)&gt;=Model!$B$11,Model!$B$20,0)-IF(60&lt;Model!$B$15,Model!$B$22,0))/(1-Model!$B$9)/(1+Model!$B$18)^60))</f>
        <v/>
      </c>
      <c r="BW14" s="7">
        <f>IF(A14="","",IF((A14+61)&gt;Model!$B$4,0,MAX(0,Model!$B$6-IF((A14+61)&gt;=Model!$B$11,Model!$B$20,0)-IF(61&lt;Model!$B$15,Model!$B$22,0))/(1-Model!$B$9)/(1+Model!$B$18)^61))</f>
        <v/>
      </c>
      <c r="BX14" s="7">
        <f>IF(A14="","",IF((A14+62)&gt;Model!$B$4,0,MAX(0,Model!$B$6-IF((A14+62)&gt;=Model!$B$11,Model!$B$20,0)-IF(62&lt;Model!$B$15,Model!$B$22,0))/(1-Model!$B$9)/(1+Model!$B$18)^62))</f>
        <v/>
      </c>
      <c r="BY14" s="7">
        <f>IF(A14="","",IF((A14+63)&gt;Model!$B$4,0,MAX(0,Model!$B$6-IF((A14+63)&gt;=Model!$B$11,Model!$B$20,0)-IF(63&lt;Model!$B$15,Model!$B$22,0))/(1-Model!$B$9)/(1+Model!$B$18)^63))</f>
        <v/>
      </c>
      <c r="BZ14" s="7">
        <f>IF(A14="","",IF((A14+64)&gt;Model!$B$4,0,MAX(0,Model!$B$6-IF((A14+64)&gt;=Model!$B$11,Model!$B$20,0)-IF(64&lt;Model!$B$15,Model!$B$22,0))/(1-Model!$B$9)/(1+Model!$B$18)^64))</f>
        <v/>
      </c>
      <c r="CA14" s="7">
        <f>IF(A14="","",IF((A14+65)&gt;Model!$B$4,0,MAX(0,Model!$B$6-IF((A14+65)&gt;=Model!$B$11,Model!$B$20,0)-IF(65&lt;Model!$B$15,Model!$B$22,0))/(1-Model!$B$9)/(1+Model!$B$18)^65))</f>
        <v/>
      </c>
      <c r="CB14" s="7">
        <f>IF(A14="","",IF((A14+66)&gt;Model!$B$4,0,MAX(0,Model!$B$6-IF((A14+66)&gt;=Model!$B$11,Model!$B$20,0)-IF(66&lt;Model!$B$15,Model!$B$22,0))/(1-Model!$B$9)/(1+Model!$B$18)^66))</f>
        <v/>
      </c>
      <c r="CC14" s="7">
        <f>IF(A14="","",IF((A14+67)&gt;Model!$B$4,0,MAX(0,Model!$B$6-IF((A14+67)&gt;=Model!$B$11,Model!$B$20,0)-IF(67&lt;Model!$B$15,Model!$B$22,0))/(1-Model!$B$9)/(1+Model!$B$18)^67))</f>
        <v/>
      </c>
      <c r="CD14" s="7">
        <f>IF(A14="","",IF((A14+68)&gt;Model!$B$4,0,MAX(0,Model!$B$6-IF((A14+68)&gt;=Model!$B$11,Model!$B$20,0)-IF(68&lt;Model!$B$15,Model!$B$22,0))/(1-Model!$B$9)/(1+Model!$B$18)^68))</f>
        <v/>
      </c>
      <c r="CE14" s="7">
        <f>IF(A14="","",IF((A14+69)&gt;Model!$B$4,0,MAX(0,Model!$B$6-IF((A14+69)&gt;=Model!$B$11,Model!$B$20,0)-IF(69&lt;Model!$B$15,Model!$B$22,0))/(1-Model!$B$9)/(1+Model!$B$18)^69))</f>
        <v/>
      </c>
      <c r="CF14" s="7">
        <f>IF(A14="","",IF((A14+70)&gt;Model!$B$4,0,MAX(0,Model!$B$6-IF((A14+70)&gt;=Model!$B$11,Model!$B$20,0)-IF(70&lt;Model!$B$15,Model!$B$22,0))/(1-Model!$B$9)/(1+Model!$B$18)^70))</f>
        <v/>
      </c>
      <c r="CG14" s="7">
        <f>IF(A14="","",IF((A14+71)&gt;Model!$B$4,0,MAX(0,Model!$B$6-IF((A14+71)&gt;=Model!$B$11,Model!$B$20,0)-IF(71&lt;Model!$B$15,Model!$B$22,0))/(1-Model!$B$9)/(1+Model!$B$18)^71))</f>
        <v/>
      </c>
      <c r="CH14" s="7">
        <f>IF(A14="","",IF((A14+72)&gt;Model!$B$4,0,MAX(0,Model!$B$6-IF((A14+72)&gt;=Model!$B$11,Model!$B$20,0)-IF(72&lt;Model!$B$15,Model!$B$22,0))/(1-Model!$B$9)/(1+Model!$B$18)^72))</f>
        <v/>
      </c>
      <c r="CI14" s="7">
        <f>IF(A14="","",IF((A14+73)&gt;Model!$B$4,0,MAX(0,Model!$B$6-IF((A14+73)&gt;=Model!$B$11,Model!$B$20,0)-IF(73&lt;Model!$B$15,Model!$B$22,0))/(1-Model!$B$9)/(1+Model!$B$18)^73))</f>
        <v/>
      </c>
      <c r="CJ14" s="7">
        <f>IF(A14="","",IF((A14+74)&gt;Model!$B$4,0,MAX(0,Model!$B$6-IF((A14+74)&gt;=Model!$B$11,Model!$B$20,0)-IF(74&lt;Model!$B$15,Model!$B$22,0))/(1-Model!$B$9)/(1+Model!$B$18)^74))</f>
        <v/>
      </c>
      <c r="CK14" s="7">
        <f>IF(A14="","",IF((A14+75)&gt;Model!$B$4,0,MAX(0,Model!$B$6-IF((A14+75)&gt;=Model!$B$11,Model!$B$20,0)-IF(75&lt;Model!$B$15,Model!$B$22,0))/(1-Model!$B$9)/(1+Model!$B$18)^75))</f>
        <v/>
      </c>
      <c r="CL14" s="7">
        <f>IF(A14="","",IF((A14+76)&gt;Model!$B$4,0,MAX(0,Model!$B$6-IF((A14+76)&gt;=Model!$B$11,Model!$B$20,0)-IF(76&lt;Model!$B$15,Model!$B$22,0))/(1-Model!$B$9)/(1+Model!$B$18)^76))</f>
        <v/>
      </c>
      <c r="CM14" s="7">
        <f>IF(A14="","",IF((A14+77)&gt;Model!$B$4,0,MAX(0,Model!$B$6-IF((A14+77)&gt;=Model!$B$11,Model!$B$20,0)-IF(77&lt;Model!$B$15,Model!$B$22,0))/(1-Model!$B$9)/(1+Model!$B$18)^77))</f>
        <v/>
      </c>
      <c r="CN14" s="7">
        <f>IF(A14="","",IF((A14+78)&gt;Model!$B$4,0,MAX(0,Model!$B$6-IF((A14+78)&gt;=Model!$B$11,Model!$B$20,0)-IF(78&lt;Model!$B$15,Model!$B$22,0))/(1-Model!$B$9)/(1+Model!$B$18)^78))</f>
        <v/>
      </c>
      <c r="CO14" s="7">
        <f>IF(A14="","",IF((A14+79)&gt;Model!$B$4,0,MAX(0,Model!$B$6-IF((A14+79)&gt;=Model!$B$11,Model!$B$20,0)-IF(79&lt;Model!$B$15,Model!$B$22,0))/(1-Model!$B$9)/(1+Model!$B$18)^79))</f>
        <v/>
      </c>
      <c r="CP14" s="7">
        <f>IF(A14="","",IF((A14+80)&gt;Model!$B$4,0,MAX(0,Model!$B$6-IF((A14+80)&gt;=Model!$B$11,Model!$B$20,0)-IF(80&lt;Model!$B$15,Model!$B$22,0))/(1-Model!$B$9)/(1+Model!$B$18)^80))</f>
        <v/>
      </c>
      <c r="CQ14" s="7">
        <f>IF(A14="","",IF((A14+81)&gt;Model!$B$4,0,MAX(0,Model!$B$6-IF((A14+81)&gt;=Model!$B$11,Model!$B$20,0)-IF(81&lt;Model!$B$15,Model!$B$22,0))/(1-Model!$B$9)/(1+Model!$B$18)^81))</f>
        <v/>
      </c>
      <c r="CR14" s="7">
        <f>IF(A14="","",IF((A14+82)&gt;Model!$B$4,0,MAX(0,Model!$B$6-IF((A14+82)&gt;=Model!$B$11,Model!$B$20,0)-IF(82&lt;Model!$B$15,Model!$B$22,0))/(1-Model!$B$9)/(1+Model!$B$18)^82))</f>
        <v/>
      </c>
      <c r="CS14" s="7">
        <f>IF(A14="","",IF((A14+83)&gt;Model!$B$4,0,MAX(0,Model!$B$6-IF((A14+83)&gt;=Model!$B$11,Model!$B$20,0)-IF(83&lt;Model!$B$15,Model!$B$22,0))/(1-Model!$B$9)/(1+Model!$B$18)^83))</f>
        <v/>
      </c>
      <c r="CT14" s="7">
        <f>IF(A14="","",IF((A14+84)&gt;Model!$B$4,0,MAX(0,Model!$B$6-IF((A14+84)&gt;=Model!$B$11,Model!$B$20,0)-IF(84&lt;Model!$B$15,Model!$B$22,0))/(1-Model!$B$9)/(1+Model!$B$18)^84))</f>
        <v/>
      </c>
      <c r="CU14" s="7">
        <f>IF(A14="","",IF((A14+85)&gt;Model!$B$4,0,MAX(0,Model!$B$6-IF((A14+85)&gt;=Model!$B$11,Model!$B$20,0)-IF(85&lt;Model!$B$15,Model!$B$22,0))/(1-Model!$B$9)/(1+Model!$B$18)^85))</f>
        <v/>
      </c>
      <c r="CV14" s="7">
        <f>IF(A14="","",IF((A14+86)&gt;Model!$B$4,0,MAX(0,Model!$B$6-IF((A14+86)&gt;=Model!$B$11,Model!$B$20,0)-IF(86&lt;Model!$B$15,Model!$B$22,0))/(1-Model!$B$9)/(1+Model!$B$18)^86))</f>
        <v/>
      </c>
      <c r="CW14" s="7">
        <f>IF(A14="","",IF((A14+87)&gt;Model!$B$4,0,MAX(0,Model!$B$6-IF((A14+87)&gt;=Model!$B$11,Model!$B$20,0)-IF(87&lt;Model!$B$15,Model!$B$22,0))/(1-Model!$B$9)/(1+Model!$B$18)^87))</f>
        <v/>
      </c>
      <c r="CX14" s="7">
        <f>IF(A14="","",IF((A14+88)&gt;Model!$B$4,0,MAX(0,Model!$B$6-IF((A14+88)&gt;=Model!$B$11,Model!$B$20,0)-IF(88&lt;Model!$B$15,Model!$B$22,0))/(1-Model!$B$9)/(1+Model!$B$18)^88))</f>
        <v/>
      </c>
      <c r="CY14" s="7">
        <f>IF(A14="","",IF((A14+89)&gt;Model!$B$4,0,MAX(0,Model!$B$6-IF((A14+89)&gt;=Model!$B$11,Model!$B$20,0)-IF(89&lt;Model!$B$15,Model!$B$22,0))/(1-Model!$B$9)/(1+Model!$B$18)^89))</f>
        <v/>
      </c>
      <c r="CZ14" s="7">
        <f>IF(A14="","",IF((A14+90)&gt;Model!$B$4,0,MAX(0,Model!$B$6-IF((A14+90)&gt;=Model!$B$11,Model!$B$20,0)-IF(90&lt;Model!$B$15,Model!$B$22,0))/(1-Model!$B$9)/(1+Model!$B$18)^90))</f>
        <v/>
      </c>
      <c r="DA14" s="7">
        <f>IF(A14="","",IF((A14+91)&gt;Model!$B$4,0,MAX(0,Model!$B$6-IF((A14+91)&gt;=Model!$B$11,Model!$B$20,0)-IF(91&lt;Model!$B$15,Model!$B$22,0))/(1-Model!$B$9)/(1+Model!$B$18)^91))</f>
        <v/>
      </c>
      <c r="DB14" s="7">
        <f>IF(A14="","",IF((A14+92)&gt;Model!$B$4,0,MAX(0,Model!$B$6-IF((A14+92)&gt;=Model!$B$11,Model!$B$20,0)-IF(92&lt;Model!$B$15,Model!$B$22,0))/(1-Model!$B$9)/(1+Model!$B$18)^92))</f>
        <v/>
      </c>
      <c r="DC14" s="7">
        <f>IF(A14="","",IF((A14+93)&gt;Model!$B$4,0,MAX(0,Model!$B$6-IF((A14+93)&gt;=Model!$B$11,Model!$B$20,0)-IF(93&lt;Model!$B$15,Model!$B$22,0))/(1-Model!$B$9)/(1+Model!$B$18)^93))</f>
        <v/>
      </c>
      <c r="DD14" s="7">
        <f>IF(A14="","",IF((A14+94)&gt;Model!$B$4,0,MAX(0,Model!$B$6-IF((A14+94)&gt;=Model!$B$11,Model!$B$20,0)-IF(94&lt;Model!$B$15,Model!$B$22,0))/(1-Model!$B$9)/(1+Model!$B$18)^94))</f>
        <v/>
      </c>
      <c r="DE14" s="7">
        <f>IF(A14="","",IF((A14+95)&gt;Model!$B$4,0,MAX(0,Model!$B$6-IF((A14+95)&gt;=Model!$B$11,Model!$B$20,0)-IF(95&lt;Model!$B$15,Model!$B$22,0))/(1-Model!$B$9)/(1+Model!$B$18)^95))</f>
        <v/>
      </c>
      <c r="DF14" s="7">
        <f>IF(A14="","",IF((A14+96)&gt;Model!$B$4,0,MAX(0,Model!$B$6-IF((A14+96)&gt;=Model!$B$11,Model!$B$20,0)-IF(96&lt;Model!$B$15,Model!$B$22,0))/(1-Model!$B$9)/(1+Model!$B$18)^96))</f>
        <v/>
      </c>
      <c r="DG14" s="7">
        <f>IF(A14="","",IF((A14+97)&gt;Model!$B$4,0,MAX(0,Model!$B$6-IF((A14+97)&gt;=Model!$B$11,Model!$B$20,0)-IF(97&lt;Model!$B$15,Model!$B$22,0))/(1-Model!$B$9)/(1+Model!$B$18)^97))</f>
        <v/>
      </c>
      <c r="DH14" s="7">
        <f>IF(A14="","",IF((A14+98)&gt;Model!$B$4,0,MAX(0,Model!$B$6-IF((A14+98)&gt;=Model!$B$11,Model!$B$20,0)-IF(98&lt;Model!$B$15,Model!$B$22,0))/(1-Model!$B$9)/(1+Model!$B$18)^98))</f>
        <v/>
      </c>
      <c r="DI14" s="7">
        <f>IF(A14="","",IF((A14+99)&gt;Model!$B$4,0,MAX(0,Model!$B$6-IF((A14+99)&gt;=Model!$B$11,Model!$B$20,0)-IF(99&lt;Model!$B$15,Model!$B$22,0))/(1-Model!$B$9)/(1+Model!$B$18)^99))</f>
        <v/>
      </c>
      <c r="DJ14" s="7">
        <f>IF(A14="","",IF((A14+100)&gt;Model!$B$4,0,MAX(0,Model!$B$6-IF((A14+100)&gt;=Model!$B$11,Model!$B$20,0)-IF(100&lt;Model!$B$15,Model!$B$22,0))/(1-Model!$B$9)/(1+Model!$B$18)^100))</f>
        <v/>
      </c>
      <c r="DK14" s="7">
        <f>IF(A14="","",IF((A14+101)&gt;Model!$B$4,0,MAX(0,Model!$B$6-IF((A14+101)&gt;=Model!$B$11,Model!$B$20,0)-IF(101&lt;Model!$B$15,Model!$B$22,0))/(1-Model!$B$9)/(1+Model!$B$18)^101))</f>
        <v/>
      </c>
      <c r="DL14" s="7">
        <f>IF(A14="","",IF((A14+102)&gt;Model!$B$4,0,MAX(0,Model!$B$6-IF((A14+102)&gt;=Model!$B$11,Model!$B$20,0)-IF(102&lt;Model!$B$15,Model!$B$22,0))/(1-Model!$B$9)/(1+Model!$B$18)^102))</f>
        <v/>
      </c>
      <c r="DM14" s="7">
        <f>IF(A14="","",IF((A14+103)&gt;Model!$B$4,0,MAX(0,Model!$B$6-IF((A14+103)&gt;=Model!$B$11,Model!$B$20,0)-IF(103&lt;Model!$B$15,Model!$B$22,0))/(1-Model!$B$9)/(1+Model!$B$18)^103))</f>
        <v/>
      </c>
      <c r="DN14" s="7">
        <f>IF(A14="","",IF((A14+104)&gt;Model!$B$4,0,MAX(0,Model!$B$6-IF((A14+104)&gt;=Model!$B$11,Model!$B$20,0)-IF(104&lt;Model!$B$15,Model!$B$22,0))/(1-Model!$B$9)/(1+Model!$B$18)^104))</f>
        <v/>
      </c>
      <c r="DO14" s="7">
        <f>IF(A14="","",IF((A14+105)&gt;Model!$B$4,0,MAX(0,Model!$B$6-IF((A14+105)&gt;=Model!$B$11,Model!$B$20,0)-IF(105&lt;Model!$B$15,Model!$B$22,0))/(1-Model!$B$9)/(1+Model!$B$18)^105))</f>
        <v/>
      </c>
      <c r="DP14" s="7">
        <f>IF(A14="","",IF((A14+106)&gt;Model!$B$4,0,MAX(0,Model!$B$6-IF((A14+106)&gt;=Model!$B$11,Model!$B$20,0)-IF(106&lt;Model!$B$15,Model!$B$22,0))/(1-Model!$B$9)/(1+Model!$B$18)^106))</f>
        <v/>
      </c>
      <c r="DQ14" s="7">
        <f>IF(A14="","",IF((A14+107)&gt;Model!$B$4,0,MAX(0,Model!$B$6-IF((A14+107)&gt;=Model!$B$11,Model!$B$20,0)-IF(107&lt;Model!$B$15,Model!$B$22,0))/(1-Model!$B$9)/(1+Model!$B$18)^107))</f>
        <v/>
      </c>
      <c r="DR14" s="7">
        <f>IF(A14="","",IF((A14+108)&gt;Model!$B$4,0,MAX(0,Model!$B$6-IF((A14+108)&gt;=Model!$B$11,Model!$B$20,0)-IF(108&lt;Model!$B$15,Model!$B$22,0))/(1-Model!$B$9)/(1+Model!$B$18)^108))</f>
        <v/>
      </c>
      <c r="DS14" s="7">
        <f>IF(A14="","",IF((A14+109)&gt;Model!$B$4,0,MAX(0,Model!$B$6-IF((A14+109)&gt;=Model!$B$11,Model!$B$20,0)-IF(109&lt;Model!$B$15,Model!$B$22,0))/(1-Model!$B$9)/(1+Model!$B$18)^109))</f>
        <v/>
      </c>
      <c r="DT14" s="7">
        <f>IF(A14="","",IF((A14+110)&gt;Model!$B$4,0,MAX(0,Model!$B$6-IF((A14+110)&gt;=Model!$B$11,Model!$B$20,0)-IF(110&lt;Model!$B$15,Model!$B$22,0))/(1-Model!$B$9)/(1+Model!$B$18)^110))</f>
        <v/>
      </c>
      <c r="DU14" s="7">
        <f>IF(A14="","",IF((A14+111)&gt;Model!$B$4,0,MAX(0,Model!$B$6-IF((A14+111)&gt;=Model!$B$11,Model!$B$20,0)-IF(111&lt;Model!$B$15,Model!$B$22,0))/(1-Model!$B$9)/(1+Model!$B$18)^111))</f>
        <v/>
      </c>
      <c r="DV14" s="7">
        <f>IF(A14="","",IF((A14+112)&gt;Model!$B$4,0,MAX(0,Model!$B$6-IF((A14+112)&gt;=Model!$B$11,Model!$B$20,0)-IF(112&lt;Model!$B$15,Model!$B$22,0))/(1-Model!$B$9)/(1+Model!$B$18)^112))</f>
        <v/>
      </c>
      <c r="DW14" s="7">
        <f>IF(A14="","",IF((A14+113)&gt;Model!$B$4,0,MAX(0,Model!$B$6-IF((A14+113)&gt;=Model!$B$11,Model!$B$20,0)-IF(113&lt;Model!$B$15,Model!$B$22,0))/(1-Model!$B$9)/(1+Model!$B$18)^113))</f>
        <v/>
      </c>
      <c r="DX14" s="7">
        <f>IF(A14="","",IF((A14+114)&gt;Model!$B$4,0,MAX(0,Model!$B$6-IF((A14+114)&gt;=Model!$B$11,Model!$B$20,0)-IF(114&lt;Model!$B$15,Model!$B$22,0))/(1-Model!$B$9)/(1+Model!$B$18)^114))</f>
        <v/>
      </c>
      <c r="DY14" s="7">
        <f>IF(A14="","",IF((A14+115)&gt;Model!$B$4,0,MAX(0,Model!$B$6-IF((A14+115)&gt;=Model!$B$11,Model!$B$20,0)-IF(115&lt;Model!$B$15,Model!$B$22,0))/(1-Model!$B$9)/(1+Model!$B$18)^115))</f>
        <v/>
      </c>
      <c r="DZ14" s="7">
        <f>IF(A14="","",IF((A14+116)&gt;Model!$B$4,0,MAX(0,Model!$B$6-IF((A14+116)&gt;=Model!$B$11,Model!$B$20,0)-IF(116&lt;Model!$B$15,Model!$B$22,0))/(1-Model!$B$9)/(1+Model!$B$18)^116))</f>
        <v/>
      </c>
      <c r="EA14" s="7">
        <f>IF(A14="","",IF((A14+117)&gt;Model!$B$4,0,MAX(0,Model!$B$6-IF((A14+117)&gt;=Model!$B$11,Model!$B$20,0)-IF(117&lt;Model!$B$15,Model!$B$22,0))/(1-Model!$B$9)/(1+Model!$B$18)^117))</f>
        <v/>
      </c>
      <c r="EB14" s="7">
        <f>IF(A14="","",IF((A14+118)&gt;Model!$B$4,0,MAX(0,Model!$B$6-IF((A14+118)&gt;=Model!$B$11,Model!$B$20,0)-IF(118&lt;Model!$B$15,Model!$B$22,0))/(1-Model!$B$9)/(1+Model!$B$18)^118))</f>
        <v/>
      </c>
      <c r="EC14" s="7">
        <f>IF(A14="","",IF((A14+119)&gt;Model!$B$4,0,MAX(0,Model!$B$6-IF((A14+119)&gt;=Model!$B$11,Model!$B$20,0)-IF(119&lt;Model!$B$15,Model!$B$22,0))/(1-Model!$B$9)/(1+Model!$B$18)^119))</f>
        <v/>
      </c>
      <c r="ED14" s="7">
        <f>IF(A14="","",IF((A14+120)&gt;Model!$B$4,0,MAX(0,Model!$B$6-IF((A14+120)&gt;=Model!$B$11,Model!$B$20,0)-IF(120&lt;Model!$B$15,Model!$B$22,0))/(1-Model!$B$9)/(1+Model!$B$18)^120))</f>
        <v/>
      </c>
    </row>
    <row r="15">
      <c r="A15">
        <f>IF(Model!$B$10+ROW()-2&lt;=Model!$B$4,Model!$B$10+ROW()-2,"")</f>
        <v/>
      </c>
      <c r="B15">
        <f>IF(A15="","",A15-Model!$B$10)</f>
        <v/>
      </c>
      <c r="C15" s="7">
        <f>IF(A15="","",Model!$B$5*(1+Model!$B$18)^B15)</f>
        <v/>
      </c>
      <c r="D15" s="7">
        <f>IF(A15="","",SUM(N15:ED15))</f>
        <v/>
      </c>
      <c r="E15" s="7">
        <f>IF(A15="","",IF(A15&gt;=Model!$B$11,Model!$B$20,0))</f>
        <v/>
      </c>
      <c r="F15" s="7">
        <f>IF(A15="","",IF(Model!$B$15&gt;0,Model!$B$22,0))</f>
        <v/>
      </c>
      <c r="G15" s="7">
        <f>IF(A15="","",E15+F15)</f>
        <v/>
      </c>
      <c r="H15" s="7">
        <f>IF(A15="","",MAX(0,Model!$B$6-G15))</f>
        <v/>
      </c>
      <c r="I15" s="7">
        <f>IF(A15="","",H15/(1-Model!$B$9))</f>
        <v/>
      </c>
      <c r="J15" s="7">
        <f>IF(A15="","",C15-D15)</f>
        <v/>
      </c>
      <c r="K15">
        <f>IF(A15="","",C15&gt;=D15)</f>
        <v/>
      </c>
      <c r="L15" s="7">
        <f>IF(A15="","",IF(A15&gt;=Model!$B$11,Model!$B$19*(1+Model!$B$13)^B15,0))</f>
        <v/>
      </c>
      <c r="M15" s="7">
        <f>IF(A15="","",IF(Model!$B$15&gt;0,Model!$B$21*(1+Model!$B$13)^B15,0))</f>
        <v/>
      </c>
      <c r="N15" s="7">
        <f>IF(A15="","",IF((A15+0)&gt;Model!$B$4,0,MAX(0,Model!$B$6-IF((A15+0)&gt;=Model!$B$11,Model!$B$20,0)-IF(0&lt;Model!$B$15,Model!$B$22,0))/(1-Model!$B$9)/(1+Model!$B$18)^0))</f>
        <v/>
      </c>
      <c r="O15" s="7">
        <f>IF(A15="","",IF((A15+1)&gt;Model!$B$4,0,MAX(0,Model!$B$6-IF((A15+1)&gt;=Model!$B$11,Model!$B$20,0)-IF(1&lt;Model!$B$15,Model!$B$22,0))/(1-Model!$B$9)/(1+Model!$B$18)^1))</f>
        <v/>
      </c>
      <c r="P15" s="7">
        <f>IF(A15="","",IF((A15+2)&gt;Model!$B$4,0,MAX(0,Model!$B$6-IF((A15+2)&gt;=Model!$B$11,Model!$B$20,0)-IF(2&lt;Model!$B$15,Model!$B$22,0))/(1-Model!$B$9)/(1+Model!$B$18)^2))</f>
        <v/>
      </c>
      <c r="Q15" s="7">
        <f>IF(A15="","",IF((A15+3)&gt;Model!$B$4,0,MAX(0,Model!$B$6-IF((A15+3)&gt;=Model!$B$11,Model!$B$20,0)-IF(3&lt;Model!$B$15,Model!$B$22,0))/(1-Model!$B$9)/(1+Model!$B$18)^3))</f>
        <v/>
      </c>
      <c r="R15" s="7">
        <f>IF(A15="","",IF((A15+4)&gt;Model!$B$4,0,MAX(0,Model!$B$6-IF((A15+4)&gt;=Model!$B$11,Model!$B$20,0)-IF(4&lt;Model!$B$15,Model!$B$22,0))/(1-Model!$B$9)/(1+Model!$B$18)^4))</f>
        <v/>
      </c>
      <c r="S15" s="7">
        <f>IF(A15="","",IF((A15+5)&gt;Model!$B$4,0,MAX(0,Model!$B$6-IF((A15+5)&gt;=Model!$B$11,Model!$B$20,0)-IF(5&lt;Model!$B$15,Model!$B$22,0))/(1-Model!$B$9)/(1+Model!$B$18)^5))</f>
        <v/>
      </c>
      <c r="T15" s="7">
        <f>IF(A15="","",IF((A15+6)&gt;Model!$B$4,0,MAX(0,Model!$B$6-IF((A15+6)&gt;=Model!$B$11,Model!$B$20,0)-IF(6&lt;Model!$B$15,Model!$B$22,0))/(1-Model!$B$9)/(1+Model!$B$18)^6))</f>
        <v/>
      </c>
      <c r="U15" s="7">
        <f>IF(A15="","",IF((A15+7)&gt;Model!$B$4,0,MAX(0,Model!$B$6-IF((A15+7)&gt;=Model!$B$11,Model!$B$20,0)-IF(7&lt;Model!$B$15,Model!$B$22,0))/(1-Model!$B$9)/(1+Model!$B$18)^7))</f>
        <v/>
      </c>
      <c r="V15" s="7">
        <f>IF(A15="","",IF((A15+8)&gt;Model!$B$4,0,MAX(0,Model!$B$6-IF((A15+8)&gt;=Model!$B$11,Model!$B$20,0)-IF(8&lt;Model!$B$15,Model!$B$22,0))/(1-Model!$B$9)/(1+Model!$B$18)^8))</f>
        <v/>
      </c>
      <c r="W15" s="7">
        <f>IF(A15="","",IF((A15+9)&gt;Model!$B$4,0,MAX(0,Model!$B$6-IF((A15+9)&gt;=Model!$B$11,Model!$B$20,0)-IF(9&lt;Model!$B$15,Model!$B$22,0))/(1-Model!$B$9)/(1+Model!$B$18)^9))</f>
        <v/>
      </c>
      <c r="X15" s="7">
        <f>IF(A15="","",IF((A15+10)&gt;Model!$B$4,0,MAX(0,Model!$B$6-IF((A15+10)&gt;=Model!$B$11,Model!$B$20,0)-IF(10&lt;Model!$B$15,Model!$B$22,0))/(1-Model!$B$9)/(1+Model!$B$18)^10))</f>
        <v/>
      </c>
      <c r="Y15" s="7">
        <f>IF(A15="","",IF((A15+11)&gt;Model!$B$4,0,MAX(0,Model!$B$6-IF((A15+11)&gt;=Model!$B$11,Model!$B$20,0)-IF(11&lt;Model!$B$15,Model!$B$22,0))/(1-Model!$B$9)/(1+Model!$B$18)^11))</f>
        <v/>
      </c>
      <c r="Z15" s="7">
        <f>IF(A15="","",IF((A15+12)&gt;Model!$B$4,0,MAX(0,Model!$B$6-IF((A15+12)&gt;=Model!$B$11,Model!$B$20,0)-IF(12&lt;Model!$B$15,Model!$B$22,0))/(1-Model!$B$9)/(1+Model!$B$18)^12))</f>
        <v/>
      </c>
      <c r="AA15" s="7">
        <f>IF(A15="","",IF((A15+13)&gt;Model!$B$4,0,MAX(0,Model!$B$6-IF((A15+13)&gt;=Model!$B$11,Model!$B$20,0)-IF(13&lt;Model!$B$15,Model!$B$22,0))/(1-Model!$B$9)/(1+Model!$B$18)^13))</f>
        <v/>
      </c>
      <c r="AB15" s="7">
        <f>IF(A15="","",IF((A15+14)&gt;Model!$B$4,0,MAX(0,Model!$B$6-IF((A15+14)&gt;=Model!$B$11,Model!$B$20,0)-IF(14&lt;Model!$B$15,Model!$B$22,0))/(1-Model!$B$9)/(1+Model!$B$18)^14))</f>
        <v/>
      </c>
      <c r="AC15" s="7">
        <f>IF(A15="","",IF((A15+15)&gt;Model!$B$4,0,MAX(0,Model!$B$6-IF((A15+15)&gt;=Model!$B$11,Model!$B$20,0)-IF(15&lt;Model!$B$15,Model!$B$22,0))/(1-Model!$B$9)/(1+Model!$B$18)^15))</f>
        <v/>
      </c>
      <c r="AD15" s="7">
        <f>IF(A15="","",IF((A15+16)&gt;Model!$B$4,0,MAX(0,Model!$B$6-IF((A15+16)&gt;=Model!$B$11,Model!$B$20,0)-IF(16&lt;Model!$B$15,Model!$B$22,0))/(1-Model!$B$9)/(1+Model!$B$18)^16))</f>
        <v/>
      </c>
      <c r="AE15" s="7">
        <f>IF(A15="","",IF((A15+17)&gt;Model!$B$4,0,MAX(0,Model!$B$6-IF((A15+17)&gt;=Model!$B$11,Model!$B$20,0)-IF(17&lt;Model!$B$15,Model!$B$22,0))/(1-Model!$B$9)/(1+Model!$B$18)^17))</f>
        <v/>
      </c>
      <c r="AF15" s="7">
        <f>IF(A15="","",IF((A15+18)&gt;Model!$B$4,0,MAX(0,Model!$B$6-IF((A15+18)&gt;=Model!$B$11,Model!$B$20,0)-IF(18&lt;Model!$B$15,Model!$B$22,0))/(1-Model!$B$9)/(1+Model!$B$18)^18))</f>
        <v/>
      </c>
      <c r="AG15" s="7">
        <f>IF(A15="","",IF((A15+19)&gt;Model!$B$4,0,MAX(0,Model!$B$6-IF((A15+19)&gt;=Model!$B$11,Model!$B$20,0)-IF(19&lt;Model!$B$15,Model!$B$22,0))/(1-Model!$B$9)/(1+Model!$B$18)^19))</f>
        <v/>
      </c>
      <c r="AH15" s="7">
        <f>IF(A15="","",IF((A15+20)&gt;Model!$B$4,0,MAX(0,Model!$B$6-IF((A15+20)&gt;=Model!$B$11,Model!$B$20,0)-IF(20&lt;Model!$B$15,Model!$B$22,0))/(1-Model!$B$9)/(1+Model!$B$18)^20))</f>
        <v/>
      </c>
      <c r="AI15" s="7">
        <f>IF(A15="","",IF((A15+21)&gt;Model!$B$4,0,MAX(0,Model!$B$6-IF((A15+21)&gt;=Model!$B$11,Model!$B$20,0)-IF(21&lt;Model!$B$15,Model!$B$22,0))/(1-Model!$B$9)/(1+Model!$B$18)^21))</f>
        <v/>
      </c>
      <c r="AJ15" s="7">
        <f>IF(A15="","",IF((A15+22)&gt;Model!$B$4,0,MAX(0,Model!$B$6-IF((A15+22)&gt;=Model!$B$11,Model!$B$20,0)-IF(22&lt;Model!$B$15,Model!$B$22,0))/(1-Model!$B$9)/(1+Model!$B$18)^22))</f>
        <v/>
      </c>
      <c r="AK15" s="7">
        <f>IF(A15="","",IF((A15+23)&gt;Model!$B$4,0,MAX(0,Model!$B$6-IF((A15+23)&gt;=Model!$B$11,Model!$B$20,0)-IF(23&lt;Model!$B$15,Model!$B$22,0))/(1-Model!$B$9)/(1+Model!$B$18)^23))</f>
        <v/>
      </c>
      <c r="AL15" s="7">
        <f>IF(A15="","",IF((A15+24)&gt;Model!$B$4,0,MAX(0,Model!$B$6-IF((A15+24)&gt;=Model!$B$11,Model!$B$20,0)-IF(24&lt;Model!$B$15,Model!$B$22,0))/(1-Model!$B$9)/(1+Model!$B$18)^24))</f>
        <v/>
      </c>
      <c r="AM15" s="7">
        <f>IF(A15="","",IF((A15+25)&gt;Model!$B$4,0,MAX(0,Model!$B$6-IF((A15+25)&gt;=Model!$B$11,Model!$B$20,0)-IF(25&lt;Model!$B$15,Model!$B$22,0))/(1-Model!$B$9)/(1+Model!$B$18)^25))</f>
        <v/>
      </c>
      <c r="AN15" s="7">
        <f>IF(A15="","",IF((A15+26)&gt;Model!$B$4,0,MAX(0,Model!$B$6-IF((A15+26)&gt;=Model!$B$11,Model!$B$20,0)-IF(26&lt;Model!$B$15,Model!$B$22,0))/(1-Model!$B$9)/(1+Model!$B$18)^26))</f>
        <v/>
      </c>
      <c r="AO15" s="7">
        <f>IF(A15="","",IF((A15+27)&gt;Model!$B$4,0,MAX(0,Model!$B$6-IF((A15+27)&gt;=Model!$B$11,Model!$B$20,0)-IF(27&lt;Model!$B$15,Model!$B$22,0))/(1-Model!$B$9)/(1+Model!$B$18)^27))</f>
        <v/>
      </c>
      <c r="AP15" s="7">
        <f>IF(A15="","",IF((A15+28)&gt;Model!$B$4,0,MAX(0,Model!$B$6-IF((A15+28)&gt;=Model!$B$11,Model!$B$20,0)-IF(28&lt;Model!$B$15,Model!$B$22,0))/(1-Model!$B$9)/(1+Model!$B$18)^28))</f>
        <v/>
      </c>
      <c r="AQ15" s="7">
        <f>IF(A15="","",IF((A15+29)&gt;Model!$B$4,0,MAX(0,Model!$B$6-IF((A15+29)&gt;=Model!$B$11,Model!$B$20,0)-IF(29&lt;Model!$B$15,Model!$B$22,0))/(1-Model!$B$9)/(1+Model!$B$18)^29))</f>
        <v/>
      </c>
      <c r="AR15" s="7">
        <f>IF(A15="","",IF((A15+30)&gt;Model!$B$4,0,MAX(0,Model!$B$6-IF((A15+30)&gt;=Model!$B$11,Model!$B$20,0)-IF(30&lt;Model!$B$15,Model!$B$22,0))/(1-Model!$B$9)/(1+Model!$B$18)^30))</f>
        <v/>
      </c>
      <c r="AS15" s="7">
        <f>IF(A15="","",IF((A15+31)&gt;Model!$B$4,0,MAX(0,Model!$B$6-IF((A15+31)&gt;=Model!$B$11,Model!$B$20,0)-IF(31&lt;Model!$B$15,Model!$B$22,0))/(1-Model!$B$9)/(1+Model!$B$18)^31))</f>
        <v/>
      </c>
      <c r="AT15" s="7">
        <f>IF(A15="","",IF((A15+32)&gt;Model!$B$4,0,MAX(0,Model!$B$6-IF((A15+32)&gt;=Model!$B$11,Model!$B$20,0)-IF(32&lt;Model!$B$15,Model!$B$22,0))/(1-Model!$B$9)/(1+Model!$B$18)^32))</f>
        <v/>
      </c>
      <c r="AU15" s="7">
        <f>IF(A15="","",IF((A15+33)&gt;Model!$B$4,0,MAX(0,Model!$B$6-IF((A15+33)&gt;=Model!$B$11,Model!$B$20,0)-IF(33&lt;Model!$B$15,Model!$B$22,0))/(1-Model!$B$9)/(1+Model!$B$18)^33))</f>
        <v/>
      </c>
      <c r="AV15" s="7">
        <f>IF(A15="","",IF((A15+34)&gt;Model!$B$4,0,MAX(0,Model!$B$6-IF((A15+34)&gt;=Model!$B$11,Model!$B$20,0)-IF(34&lt;Model!$B$15,Model!$B$22,0))/(1-Model!$B$9)/(1+Model!$B$18)^34))</f>
        <v/>
      </c>
      <c r="AW15" s="7">
        <f>IF(A15="","",IF((A15+35)&gt;Model!$B$4,0,MAX(0,Model!$B$6-IF((A15+35)&gt;=Model!$B$11,Model!$B$20,0)-IF(35&lt;Model!$B$15,Model!$B$22,0))/(1-Model!$B$9)/(1+Model!$B$18)^35))</f>
        <v/>
      </c>
      <c r="AX15" s="7">
        <f>IF(A15="","",IF((A15+36)&gt;Model!$B$4,0,MAX(0,Model!$B$6-IF((A15+36)&gt;=Model!$B$11,Model!$B$20,0)-IF(36&lt;Model!$B$15,Model!$B$22,0))/(1-Model!$B$9)/(1+Model!$B$18)^36))</f>
        <v/>
      </c>
      <c r="AY15" s="7">
        <f>IF(A15="","",IF((A15+37)&gt;Model!$B$4,0,MAX(0,Model!$B$6-IF((A15+37)&gt;=Model!$B$11,Model!$B$20,0)-IF(37&lt;Model!$B$15,Model!$B$22,0))/(1-Model!$B$9)/(1+Model!$B$18)^37))</f>
        <v/>
      </c>
      <c r="AZ15" s="7">
        <f>IF(A15="","",IF((A15+38)&gt;Model!$B$4,0,MAX(0,Model!$B$6-IF((A15+38)&gt;=Model!$B$11,Model!$B$20,0)-IF(38&lt;Model!$B$15,Model!$B$22,0))/(1-Model!$B$9)/(1+Model!$B$18)^38))</f>
        <v/>
      </c>
      <c r="BA15" s="7">
        <f>IF(A15="","",IF((A15+39)&gt;Model!$B$4,0,MAX(0,Model!$B$6-IF((A15+39)&gt;=Model!$B$11,Model!$B$20,0)-IF(39&lt;Model!$B$15,Model!$B$22,0))/(1-Model!$B$9)/(1+Model!$B$18)^39))</f>
        <v/>
      </c>
      <c r="BB15" s="7">
        <f>IF(A15="","",IF((A15+40)&gt;Model!$B$4,0,MAX(0,Model!$B$6-IF((A15+40)&gt;=Model!$B$11,Model!$B$20,0)-IF(40&lt;Model!$B$15,Model!$B$22,0))/(1-Model!$B$9)/(1+Model!$B$18)^40))</f>
        <v/>
      </c>
      <c r="BC15" s="7">
        <f>IF(A15="","",IF((A15+41)&gt;Model!$B$4,0,MAX(0,Model!$B$6-IF((A15+41)&gt;=Model!$B$11,Model!$B$20,0)-IF(41&lt;Model!$B$15,Model!$B$22,0))/(1-Model!$B$9)/(1+Model!$B$18)^41))</f>
        <v/>
      </c>
      <c r="BD15" s="7">
        <f>IF(A15="","",IF((A15+42)&gt;Model!$B$4,0,MAX(0,Model!$B$6-IF((A15+42)&gt;=Model!$B$11,Model!$B$20,0)-IF(42&lt;Model!$B$15,Model!$B$22,0))/(1-Model!$B$9)/(1+Model!$B$18)^42))</f>
        <v/>
      </c>
      <c r="BE15" s="7">
        <f>IF(A15="","",IF((A15+43)&gt;Model!$B$4,0,MAX(0,Model!$B$6-IF((A15+43)&gt;=Model!$B$11,Model!$B$20,0)-IF(43&lt;Model!$B$15,Model!$B$22,0))/(1-Model!$B$9)/(1+Model!$B$18)^43))</f>
        <v/>
      </c>
      <c r="BF15" s="7">
        <f>IF(A15="","",IF((A15+44)&gt;Model!$B$4,0,MAX(0,Model!$B$6-IF((A15+44)&gt;=Model!$B$11,Model!$B$20,0)-IF(44&lt;Model!$B$15,Model!$B$22,0))/(1-Model!$B$9)/(1+Model!$B$18)^44))</f>
        <v/>
      </c>
      <c r="BG15" s="7">
        <f>IF(A15="","",IF((A15+45)&gt;Model!$B$4,0,MAX(0,Model!$B$6-IF((A15+45)&gt;=Model!$B$11,Model!$B$20,0)-IF(45&lt;Model!$B$15,Model!$B$22,0))/(1-Model!$B$9)/(1+Model!$B$18)^45))</f>
        <v/>
      </c>
      <c r="BH15" s="7">
        <f>IF(A15="","",IF((A15+46)&gt;Model!$B$4,0,MAX(0,Model!$B$6-IF((A15+46)&gt;=Model!$B$11,Model!$B$20,0)-IF(46&lt;Model!$B$15,Model!$B$22,0))/(1-Model!$B$9)/(1+Model!$B$18)^46))</f>
        <v/>
      </c>
      <c r="BI15" s="7">
        <f>IF(A15="","",IF((A15+47)&gt;Model!$B$4,0,MAX(0,Model!$B$6-IF((A15+47)&gt;=Model!$B$11,Model!$B$20,0)-IF(47&lt;Model!$B$15,Model!$B$22,0))/(1-Model!$B$9)/(1+Model!$B$18)^47))</f>
        <v/>
      </c>
      <c r="BJ15" s="7">
        <f>IF(A15="","",IF((A15+48)&gt;Model!$B$4,0,MAX(0,Model!$B$6-IF((A15+48)&gt;=Model!$B$11,Model!$B$20,0)-IF(48&lt;Model!$B$15,Model!$B$22,0))/(1-Model!$B$9)/(1+Model!$B$18)^48))</f>
        <v/>
      </c>
      <c r="BK15" s="7">
        <f>IF(A15="","",IF((A15+49)&gt;Model!$B$4,0,MAX(0,Model!$B$6-IF((A15+49)&gt;=Model!$B$11,Model!$B$20,0)-IF(49&lt;Model!$B$15,Model!$B$22,0))/(1-Model!$B$9)/(1+Model!$B$18)^49))</f>
        <v/>
      </c>
      <c r="BL15" s="7">
        <f>IF(A15="","",IF((A15+50)&gt;Model!$B$4,0,MAX(0,Model!$B$6-IF((A15+50)&gt;=Model!$B$11,Model!$B$20,0)-IF(50&lt;Model!$B$15,Model!$B$22,0))/(1-Model!$B$9)/(1+Model!$B$18)^50))</f>
        <v/>
      </c>
      <c r="BM15" s="7">
        <f>IF(A15="","",IF((A15+51)&gt;Model!$B$4,0,MAX(0,Model!$B$6-IF((A15+51)&gt;=Model!$B$11,Model!$B$20,0)-IF(51&lt;Model!$B$15,Model!$B$22,0))/(1-Model!$B$9)/(1+Model!$B$18)^51))</f>
        <v/>
      </c>
      <c r="BN15" s="7">
        <f>IF(A15="","",IF((A15+52)&gt;Model!$B$4,0,MAX(0,Model!$B$6-IF((A15+52)&gt;=Model!$B$11,Model!$B$20,0)-IF(52&lt;Model!$B$15,Model!$B$22,0))/(1-Model!$B$9)/(1+Model!$B$18)^52))</f>
        <v/>
      </c>
      <c r="BO15" s="7">
        <f>IF(A15="","",IF((A15+53)&gt;Model!$B$4,0,MAX(0,Model!$B$6-IF((A15+53)&gt;=Model!$B$11,Model!$B$20,0)-IF(53&lt;Model!$B$15,Model!$B$22,0))/(1-Model!$B$9)/(1+Model!$B$18)^53))</f>
        <v/>
      </c>
      <c r="BP15" s="7">
        <f>IF(A15="","",IF((A15+54)&gt;Model!$B$4,0,MAX(0,Model!$B$6-IF((A15+54)&gt;=Model!$B$11,Model!$B$20,0)-IF(54&lt;Model!$B$15,Model!$B$22,0))/(1-Model!$B$9)/(1+Model!$B$18)^54))</f>
        <v/>
      </c>
      <c r="BQ15" s="7">
        <f>IF(A15="","",IF((A15+55)&gt;Model!$B$4,0,MAX(0,Model!$B$6-IF((A15+55)&gt;=Model!$B$11,Model!$B$20,0)-IF(55&lt;Model!$B$15,Model!$B$22,0))/(1-Model!$B$9)/(1+Model!$B$18)^55))</f>
        <v/>
      </c>
      <c r="BR15" s="7">
        <f>IF(A15="","",IF((A15+56)&gt;Model!$B$4,0,MAX(0,Model!$B$6-IF((A15+56)&gt;=Model!$B$11,Model!$B$20,0)-IF(56&lt;Model!$B$15,Model!$B$22,0))/(1-Model!$B$9)/(1+Model!$B$18)^56))</f>
        <v/>
      </c>
      <c r="BS15" s="7">
        <f>IF(A15="","",IF((A15+57)&gt;Model!$B$4,0,MAX(0,Model!$B$6-IF((A15+57)&gt;=Model!$B$11,Model!$B$20,0)-IF(57&lt;Model!$B$15,Model!$B$22,0))/(1-Model!$B$9)/(1+Model!$B$18)^57))</f>
        <v/>
      </c>
      <c r="BT15" s="7">
        <f>IF(A15="","",IF((A15+58)&gt;Model!$B$4,0,MAX(0,Model!$B$6-IF((A15+58)&gt;=Model!$B$11,Model!$B$20,0)-IF(58&lt;Model!$B$15,Model!$B$22,0))/(1-Model!$B$9)/(1+Model!$B$18)^58))</f>
        <v/>
      </c>
      <c r="BU15" s="7">
        <f>IF(A15="","",IF((A15+59)&gt;Model!$B$4,0,MAX(0,Model!$B$6-IF((A15+59)&gt;=Model!$B$11,Model!$B$20,0)-IF(59&lt;Model!$B$15,Model!$B$22,0))/(1-Model!$B$9)/(1+Model!$B$18)^59))</f>
        <v/>
      </c>
      <c r="BV15" s="7">
        <f>IF(A15="","",IF((A15+60)&gt;Model!$B$4,0,MAX(0,Model!$B$6-IF((A15+60)&gt;=Model!$B$11,Model!$B$20,0)-IF(60&lt;Model!$B$15,Model!$B$22,0))/(1-Model!$B$9)/(1+Model!$B$18)^60))</f>
        <v/>
      </c>
      <c r="BW15" s="7">
        <f>IF(A15="","",IF((A15+61)&gt;Model!$B$4,0,MAX(0,Model!$B$6-IF((A15+61)&gt;=Model!$B$11,Model!$B$20,0)-IF(61&lt;Model!$B$15,Model!$B$22,0))/(1-Model!$B$9)/(1+Model!$B$18)^61))</f>
        <v/>
      </c>
      <c r="BX15" s="7">
        <f>IF(A15="","",IF((A15+62)&gt;Model!$B$4,0,MAX(0,Model!$B$6-IF((A15+62)&gt;=Model!$B$11,Model!$B$20,0)-IF(62&lt;Model!$B$15,Model!$B$22,0))/(1-Model!$B$9)/(1+Model!$B$18)^62))</f>
        <v/>
      </c>
      <c r="BY15" s="7">
        <f>IF(A15="","",IF((A15+63)&gt;Model!$B$4,0,MAX(0,Model!$B$6-IF((A15+63)&gt;=Model!$B$11,Model!$B$20,0)-IF(63&lt;Model!$B$15,Model!$B$22,0))/(1-Model!$B$9)/(1+Model!$B$18)^63))</f>
        <v/>
      </c>
      <c r="BZ15" s="7">
        <f>IF(A15="","",IF((A15+64)&gt;Model!$B$4,0,MAX(0,Model!$B$6-IF((A15+64)&gt;=Model!$B$11,Model!$B$20,0)-IF(64&lt;Model!$B$15,Model!$B$22,0))/(1-Model!$B$9)/(1+Model!$B$18)^64))</f>
        <v/>
      </c>
      <c r="CA15" s="7">
        <f>IF(A15="","",IF((A15+65)&gt;Model!$B$4,0,MAX(0,Model!$B$6-IF((A15+65)&gt;=Model!$B$11,Model!$B$20,0)-IF(65&lt;Model!$B$15,Model!$B$22,0))/(1-Model!$B$9)/(1+Model!$B$18)^65))</f>
        <v/>
      </c>
      <c r="CB15" s="7">
        <f>IF(A15="","",IF((A15+66)&gt;Model!$B$4,0,MAX(0,Model!$B$6-IF((A15+66)&gt;=Model!$B$11,Model!$B$20,0)-IF(66&lt;Model!$B$15,Model!$B$22,0))/(1-Model!$B$9)/(1+Model!$B$18)^66))</f>
        <v/>
      </c>
      <c r="CC15" s="7">
        <f>IF(A15="","",IF((A15+67)&gt;Model!$B$4,0,MAX(0,Model!$B$6-IF((A15+67)&gt;=Model!$B$11,Model!$B$20,0)-IF(67&lt;Model!$B$15,Model!$B$22,0))/(1-Model!$B$9)/(1+Model!$B$18)^67))</f>
        <v/>
      </c>
      <c r="CD15" s="7">
        <f>IF(A15="","",IF((A15+68)&gt;Model!$B$4,0,MAX(0,Model!$B$6-IF((A15+68)&gt;=Model!$B$11,Model!$B$20,0)-IF(68&lt;Model!$B$15,Model!$B$22,0))/(1-Model!$B$9)/(1+Model!$B$18)^68))</f>
        <v/>
      </c>
      <c r="CE15" s="7">
        <f>IF(A15="","",IF((A15+69)&gt;Model!$B$4,0,MAX(0,Model!$B$6-IF((A15+69)&gt;=Model!$B$11,Model!$B$20,0)-IF(69&lt;Model!$B$15,Model!$B$22,0))/(1-Model!$B$9)/(1+Model!$B$18)^69))</f>
        <v/>
      </c>
      <c r="CF15" s="7">
        <f>IF(A15="","",IF((A15+70)&gt;Model!$B$4,0,MAX(0,Model!$B$6-IF((A15+70)&gt;=Model!$B$11,Model!$B$20,0)-IF(70&lt;Model!$B$15,Model!$B$22,0))/(1-Model!$B$9)/(1+Model!$B$18)^70))</f>
        <v/>
      </c>
      <c r="CG15" s="7">
        <f>IF(A15="","",IF((A15+71)&gt;Model!$B$4,0,MAX(0,Model!$B$6-IF((A15+71)&gt;=Model!$B$11,Model!$B$20,0)-IF(71&lt;Model!$B$15,Model!$B$22,0))/(1-Model!$B$9)/(1+Model!$B$18)^71))</f>
        <v/>
      </c>
      <c r="CH15" s="7">
        <f>IF(A15="","",IF((A15+72)&gt;Model!$B$4,0,MAX(0,Model!$B$6-IF((A15+72)&gt;=Model!$B$11,Model!$B$20,0)-IF(72&lt;Model!$B$15,Model!$B$22,0))/(1-Model!$B$9)/(1+Model!$B$18)^72))</f>
        <v/>
      </c>
      <c r="CI15" s="7">
        <f>IF(A15="","",IF((A15+73)&gt;Model!$B$4,0,MAX(0,Model!$B$6-IF((A15+73)&gt;=Model!$B$11,Model!$B$20,0)-IF(73&lt;Model!$B$15,Model!$B$22,0))/(1-Model!$B$9)/(1+Model!$B$18)^73))</f>
        <v/>
      </c>
      <c r="CJ15" s="7">
        <f>IF(A15="","",IF((A15+74)&gt;Model!$B$4,0,MAX(0,Model!$B$6-IF((A15+74)&gt;=Model!$B$11,Model!$B$20,0)-IF(74&lt;Model!$B$15,Model!$B$22,0))/(1-Model!$B$9)/(1+Model!$B$18)^74))</f>
        <v/>
      </c>
      <c r="CK15" s="7">
        <f>IF(A15="","",IF((A15+75)&gt;Model!$B$4,0,MAX(0,Model!$B$6-IF((A15+75)&gt;=Model!$B$11,Model!$B$20,0)-IF(75&lt;Model!$B$15,Model!$B$22,0))/(1-Model!$B$9)/(1+Model!$B$18)^75))</f>
        <v/>
      </c>
      <c r="CL15" s="7">
        <f>IF(A15="","",IF((A15+76)&gt;Model!$B$4,0,MAX(0,Model!$B$6-IF((A15+76)&gt;=Model!$B$11,Model!$B$20,0)-IF(76&lt;Model!$B$15,Model!$B$22,0))/(1-Model!$B$9)/(1+Model!$B$18)^76))</f>
        <v/>
      </c>
      <c r="CM15" s="7">
        <f>IF(A15="","",IF((A15+77)&gt;Model!$B$4,0,MAX(0,Model!$B$6-IF((A15+77)&gt;=Model!$B$11,Model!$B$20,0)-IF(77&lt;Model!$B$15,Model!$B$22,0))/(1-Model!$B$9)/(1+Model!$B$18)^77))</f>
        <v/>
      </c>
      <c r="CN15" s="7">
        <f>IF(A15="","",IF((A15+78)&gt;Model!$B$4,0,MAX(0,Model!$B$6-IF((A15+78)&gt;=Model!$B$11,Model!$B$20,0)-IF(78&lt;Model!$B$15,Model!$B$22,0))/(1-Model!$B$9)/(1+Model!$B$18)^78))</f>
        <v/>
      </c>
      <c r="CO15" s="7">
        <f>IF(A15="","",IF((A15+79)&gt;Model!$B$4,0,MAX(0,Model!$B$6-IF((A15+79)&gt;=Model!$B$11,Model!$B$20,0)-IF(79&lt;Model!$B$15,Model!$B$22,0))/(1-Model!$B$9)/(1+Model!$B$18)^79))</f>
        <v/>
      </c>
      <c r="CP15" s="7">
        <f>IF(A15="","",IF((A15+80)&gt;Model!$B$4,0,MAX(0,Model!$B$6-IF((A15+80)&gt;=Model!$B$11,Model!$B$20,0)-IF(80&lt;Model!$B$15,Model!$B$22,0))/(1-Model!$B$9)/(1+Model!$B$18)^80))</f>
        <v/>
      </c>
      <c r="CQ15" s="7">
        <f>IF(A15="","",IF((A15+81)&gt;Model!$B$4,0,MAX(0,Model!$B$6-IF((A15+81)&gt;=Model!$B$11,Model!$B$20,0)-IF(81&lt;Model!$B$15,Model!$B$22,0))/(1-Model!$B$9)/(1+Model!$B$18)^81))</f>
        <v/>
      </c>
      <c r="CR15" s="7">
        <f>IF(A15="","",IF((A15+82)&gt;Model!$B$4,0,MAX(0,Model!$B$6-IF((A15+82)&gt;=Model!$B$11,Model!$B$20,0)-IF(82&lt;Model!$B$15,Model!$B$22,0))/(1-Model!$B$9)/(1+Model!$B$18)^82))</f>
        <v/>
      </c>
      <c r="CS15" s="7">
        <f>IF(A15="","",IF((A15+83)&gt;Model!$B$4,0,MAX(0,Model!$B$6-IF((A15+83)&gt;=Model!$B$11,Model!$B$20,0)-IF(83&lt;Model!$B$15,Model!$B$22,0))/(1-Model!$B$9)/(1+Model!$B$18)^83))</f>
        <v/>
      </c>
      <c r="CT15" s="7">
        <f>IF(A15="","",IF((A15+84)&gt;Model!$B$4,0,MAX(0,Model!$B$6-IF((A15+84)&gt;=Model!$B$11,Model!$B$20,0)-IF(84&lt;Model!$B$15,Model!$B$22,0))/(1-Model!$B$9)/(1+Model!$B$18)^84))</f>
        <v/>
      </c>
      <c r="CU15" s="7">
        <f>IF(A15="","",IF((A15+85)&gt;Model!$B$4,0,MAX(0,Model!$B$6-IF((A15+85)&gt;=Model!$B$11,Model!$B$20,0)-IF(85&lt;Model!$B$15,Model!$B$22,0))/(1-Model!$B$9)/(1+Model!$B$18)^85))</f>
        <v/>
      </c>
      <c r="CV15" s="7">
        <f>IF(A15="","",IF((A15+86)&gt;Model!$B$4,0,MAX(0,Model!$B$6-IF((A15+86)&gt;=Model!$B$11,Model!$B$20,0)-IF(86&lt;Model!$B$15,Model!$B$22,0))/(1-Model!$B$9)/(1+Model!$B$18)^86))</f>
        <v/>
      </c>
      <c r="CW15" s="7">
        <f>IF(A15="","",IF((A15+87)&gt;Model!$B$4,0,MAX(0,Model!$B$6-IF((A15+87)&gt;=Model!$B$11,Model!$B$20,0)-IF(87&lt;Model!$B$15,Model!$B$22,0))/(1-Model!$B$9)/(1+Model!$B$18)^87))</f>
        <v/>
      </c>
      <c r="CX15" s="7">
        <f>IF(A15="","",IF((A15+88)&gt;Model!$B$4,0,MAX(0,Model!$B$6-IF((A15+88)&gt;=Model!$B$11,Model!$B$20,0)-IF(88&lt;Model!$B$15,Model!$B$22,0))/(1-Model!$B$9)/(1+Model!$B$18)^88))</f>
        <v/>
      </c>
      <c r="CY15" s="7">
        <f>IF(A15="","",IF((A15+89)&gt;Model!$B$4,0,MAX(0,Model!$B$6-IF((A15+89)&gt;=Model!$B$11,Model!$B$20,0)-IF(89&lt;Model!$B$15,Model!$B$22,0))/(1-Model!$B$9)/(1+Model!$B$18)^89))</f>
        <v/>
      </c>
      <c r="CZ15" s="7">
        <f>IF(A15="","",IF((A15+90)&gt;Model!$B$4,0,MAX(0,Model!$B$6-IF((A15+90)&gt;=Model!$B$11,Model!$B$20,0)-IF(90&lt;Model!$B$15,Model!$B$22,0))/(1-Model!$B$9)/(1+Model!$B$18)^90))</f>
        <v/>
      </c>
      <c r="DA15" s="7">
        <f>IF(A15="","",IF((A15+91)&gt;Model!$B$4,0,MAX(0,Model!$B$6-IF((A15+91)&gt;=Model!$B$11,Model!$B$20,0)-IF(91&lt;Model!$B$15,Model!$B$22,0))/(1-Model!$B$9)/(1+Model!$B$18)^91))</f>
        <v/>
      </c>
      <c r="DB15" s="7">
        <f>IF(A15="","",IF((A15+92)&gt;Model!$B$4,0,MAX(0,Model!$B$6-IF((A15+92)&gt;=Model!$B$11,Model!$B$20,0)-IF(92&lt;Model!$B$15,Model!$B$22,0))/(1-Model!$B$9)/(1+Model!$B$18)^92))</f>
        <v/>
      </c>
      <c r="DC15" s="7">
        <f>IF(A15="","",IF((A15+93)&gt;Model!$B$4,0,MAX(0,Model!$B$6-IF((A15+93)&gt;=Model!$B$11,Model!$B$20,0)-IF(93&lt;Model!$B$15,Model!$B$22,0))/(1-Model!$B$9)/(1+Model!$B$18)^93))</f>
        <v/>
      </c>
      <c r="DD15" s="7">
        <f>IF(A15="","",IF((A15+94)&gt;Model!$B$4,0,MAX(0,Model!$B$6-IF((A15+94)&gt;=Model!$B$11,Model!$B$20,0)-IF(94&lt;Model!$B$15,Model!$B$22,0))/(1-Model!$B$9)/(1+Model!$B$18)^94))</f>
        <v/>
      </c>
      <c r="DE15" s="7">
        <f>IF(A15="","",IF((A15+95)&gt;Model!$B$4,0,MAX(0,Model!$B$6-IF((A15+95)&gt;=Model!$B$11,Model!$B$20,0)-IF(95&lt;Model!$B$15,Model!$B$22,0))/(1-Model!$B$9)/(1+Model!$B$18)^95))</f>
        <v/>
      </c>
      <c r="DF15" s="7">
        <f>IF(A15="","",IF((A15+96)&gt;Model!$B$4,0,MAX(0,Model!$B$6-IF((A15+96)&gt;=Model!$B$11,Model!$B$20,0)-IF(96&lt;Model!$B$15,Model!$B$22,0))/(1-Model!$B$9)/(1+Model!$B$18)^96))</f>
        <v/>
      </c>
      <c r="DG15" s="7">
        <f>IF(A15="","",IF((A15+97)&gt;Model!$B$4,0,MAX(0,Model!$B$6-IF((A15+97)&gt;=Model!$B$11,Model!$B$20,0)-IF(97&lt;Model!$B$15,Model!$B$22,0))/(1-Model!$B$9)/(1+Model!$B$18)^97))</f>
        <v/>
      </c>
      <c r="DH15" s="7">
        <f>IF(A15="","",IF((A15+98)&gt;Model!$B$4,0,MAX(0,Model!$B$6-IF((A15+98)&gt;=Model!$B$11,Model!$B$20,0)-IF(98&lt;Model!$B$15,Model!$B$22,0))/(1-Model!$B$9)/(1+Model!$B$18)^98))</f>
        <v/>
      </c>
      <c r="DI15" s="7">
        <f>IF(A15="","",IF((A15+99)&gt;Model!$B$4,0,MAX(0,Model!$B$6-IF((A15+99)&gt;=Model!$B$11,Model!$B$20,0)-IF(99&lt;Model!$B$15,Model!$B$22,0))/(1-Model!$B$9)/(1+Model!$B$18)^99))</f>
        <v/>
      </c>
      <c r="DJ15" s="7">
        <f>IF(A15="","",IF((A15+100)&gt;Model!$B$4,0,MAX(0,Model!$B$6-IF((A15+100)&gt;=Model!$B$11,Model!$B$20,0)-IF(100&lt;Model!$B$15,Model!$B$22,0))/(1-Model!$B$9)/(1+Model!$B$18)^100))</f>
        <v/>
      </c>
      <c r="DK15" s="7">
        <f>IF(A15="","",IF((A15+101)&gt;Model!$B$4,0,MAX(0,Model!$B$6-IF((A15+101)&gt;=Model!$B$11,Model!$B$20,0)-IF(101&lt;Model!$B$15,Model!$B$22,0))/(1-Model!$B$9)/(1+Model!$B$18)^101))</f>
        <v/>
      </c>
      <c r="DL15" s="7">
        <f>IF(A15="","",IF((A15+102)&gt;Model!$B$4,0,MAX(0,Model!$B$6-IF((A15+102)&gt;=Model!$B$11,Model!$B$20,0)-IF(102&lt;Model!$B$15,Model!$B$22,0))/(1-Model!$B$9)/(1+Model!$B$18)^102))</f>
        <v/>
      </c>
      <c r="DM15" s="7">
        <f>IF(A15="","",IF((A15+103)&gt;Model!$B$4,0,MAX(0,Model!$B$6-IF((A15+103)&gt;=Model!$B$11,Model!$B$20,0)-IF(103&lt;Model!$B$15,Model!$B$22,0))/(1-Model!$B$9)/(1+Model!$B$18)^103))</f>
        <v/>
      </c>
      <c r="DN15" s="7">
        <f>IF(A15="","",IF((A15+104)&gt;Model!$B$4,0,MAX(0,Model!$B$6-IF((A15+104)&gt;=Model!$B$11,Model!$B$20,0)-IF(104&lt;Model!$B$15,Model!$B$22,0))/(1-Model!$B$9)/(1+Model!$B$18)^104))</f>
        <v/>
      </c>
      <c r="DO15" s="7">
        <f>IF(A15="","",IF((A15+105)&gt;Model!$B$4,0,MAX(0,Model!$B$6-IF((A15+105)&gt;=Model!$B$11,Model!$B$20,0)-IF(105&lt;Model!$B$15,Model!$B$22,0))/(1-Model!$B$9)/(1+Model!$B$18)^105))</f>
        <v/>
      </c>
      <c r="DP15" s="7">
        <f>IF(A15="","",IF((A15+106)&gt;Model!$B$4,0,MAX(0,Model!$B$6-IF((A15+106)&gt;=Model!$B$11,Model!$B$20,0)-IF(106&lt;Model!$B$15,Model!$B$22,0))/(1-Model!$B$9)/(1+Model!$B$18)^106))</f>
        <v/>
      </c>
      <c r="DQ15" s="7">
        <f>IF(A15="","",IF((A15+107)&gt;Model!$B$4,0,MAX(0,Model!$B$6-IF((A15+107)&gt;=Model!$B$11,Model!$B$20,0)-IF(107&lt;Model!$B$15,Model!$B$22,0))/(1-Model!$B$9)/(1+Model!$B$18)^107))</f>
        <v/>
      </c>
      <c r="DR15" s="7">
        <f>IF(A15="","",IF((A15+108)&gt;Model!$B$4,0,MAX(0,Model!$B$6-IF((A15+108)&gt;=Model!$B$11,Model!$B$20,0)-IF(108&lt;Model!$B$15,Model!$B$22,0))/(1-Model!$B$9)/(1+Model!$B$18)^108))</f>
        <v/>
      </c>
      <c r="DS15" s="7">
        <f>IF(A15="","",IF((A15+109)&gt;Model!$B$4,0,MAX(0,Model!$B$6-IF((A15+109)&gt;=Model!$B$11,Model!$B$20,0)-IF(109&lt;Model!$B$15,Model!$B$22,0))/(1-Model!$B$9)/(1+Model!$B$18)^109))</f>
        <v/>
      </c>
      <c r="DT15" s="7">
        <f>IF(A15="","",IF((A15+110)&gt;Model!$B$4,0,MAX(0,Model!$B$6-IF((A15+110)&gt;=Model!$B$11,Model!$B$20,0)-IF(110&lt;Model!$B$15,Model!$B$22,0))/(1-Model!$B$9)/(1+Model!$B$18)^110))</f>
        <v/>
      </c>
      <c r="DU15" s="7">
        <f>IF(A15="","",IF((A15+111)&gt;Model!$B$4,0,MAX(0,Model!$B$6-IF((A15+111)&gt;=Model!$B$11,Model!$B$20,0)-IF(111&lt;Model!$B$15,Model!$B$22,0))/(1-Model!$B$9)/(1+Model!$B$18)^111))</f>
        <v/>
      </c>
      <c r="DV15" s="7">
        <f>IF(A15="","",IF((A15+112)&gt;Model!$B$4,0,MAX(0,Model!$B$6-IF((A15+112)&gt;=Model!$B$11,Model!$B$20,0)-IF(112&lt;Model!$B$15,Model!$B$22,0))/(1-Model!$B$9)/(1+Model!$B$18)^112))</f>
        <v/>
      </c>
      <c r="DW15" s="7">
        <f>IF(A15="","",IF((A15+113)&gt;Model!$B$4,0,MAX(0,Model!$B$6-IF((A15+113)&gt;=Model!$B$11,Model!$B$20,0)-IF(113&lt;Model!$B$15,Model!$B$22,0))/(1-Model!$B$9)/(1+Model!$B$18)^113))</f>
        <v/>
      </c>
      <c r="DX15" s="7">
        <f>IF(A15="","",IF((A15+114)&gt;Model!$B$4,0,MAX(0,Model!$B$6-IF((A15+114)&gt;=Model!$B$11,Model!$B$20,0)-IF(114&lt;Model!$B$15,Model!$B$22,0))/(1-Model!$B$9)/(1+Model!$B$18)^114))</f>
        <v/>
      </c>
      <c r="DY15" s="7">
        <f>IF(A15="","",IF((A15+115)&gt;Model!$B$4,0,MAX(0,Model!$B$6-IF((A15+115)&gt;=Model!$B$11,Model!$B$20,0)-IF(115&lt;Model!$B$15,Model!$B$22,0))/(1-Model!$B$9)/(1+Model!$B$18)^115))</f>
        <v/>
      </c>
      <c r="DZ15" s="7">
        <f>IF(A15="","",IF((A15+116)&gt;Model!$B$4,0,MAX(0,Model!$B$6-IF((A15+116)&gt;=Model!$B$11,Model!$B$20,0)-IF(116&lt;Model!$B$15,Model!$B$22,0))/(1-Model!$B$9)/(1+Model!$B$18)^116))</f>
        <v/>
      </c>
      <c r="EA15" s="7">
        <f>IF(A15="","",IF((A15+117)&gt;Model!$B$4,0,MAX(0,Model!$B$6-IF((A15+117)&gt;=Model!$B$11,Model!$B$20,0)-IF(117&lt;Model!$B$15,Model!$B$22,0))/(1-Model!$B$9)/(1+Model!$B$18)^117))</f>
        <v/>
      </c>
      <c r="EB15" s="7">
        <f>IF(A15="","",IF((A15+118)&gt;Model!$B$4,0,MAX(0,Model!$B$6-IF((A15+118)&gt;=Model!$B$11,Model!$B$20,0)-IF(118&lt;Model!$B$15,Model!$B$22,0))/(1-Model!$B$9)/(1+Model!$B$18)^118))</f>
        <v/>
      </c>
      <c r="EC15" s="7">
        <f>IF(A15="","",IF((A15+119)&gt;Model!$B$4,0,MAX(0,Model!$B$6-IF((A15+119)&gt;=Model!$B$11,Model!$B$20,0)-IF(119&lt;Model!$B$15,Model!$B$22,0))/(1-Model!$B$9)/(1+Model!$B$18)^119))</f>
        <v/>
      </c>
      <c r="ED15" s="7">
        <f>IF(A15="","",IF((A15+120)&gt;Model!$B$4,0,MAX(0,Model!$B$6-IF((A15+120)&gt;=Model!$B$11,Model!$B$20,0)-IF(120&lt;Model!$B$15,Model!$B$22,0))/(1-Model!$B$9)/(1+Model!$B$18)^120))</f>
        <v/>
      </c>
    </row>
    <row r="16">
      <c r="A16">
        <f>IF(Model!$B$10+ROW()-2&lt;=Model!$B$4,Model!$B$10+ROW()-2,"")</f>
        <v/>
      </c>
      <c r="B16">
        <f>IF(A16="","",A16-Model!$B$10)</f>
        <v/>
      </c>
      <c r="C16" s="7">
        <f>IF(A16="","",Model!$B$5*(1+Model!$B$18)^B16)</f>
        <v/>
      </c>
      <c r="D16" s="7">
        <f>IF(A16="","",SUM(N16:ED16))</f>
        <v/>
      </c>
      <c r="E16" s="7">
        <f>IF(A16="","",IF(A16&gt;=Model!$B$11,Model!$B$20,0))</f>
        <v/>
      </c>
      <c r="F16" s="7">
        <f>IF(A16="","",IF(Model!$B$15&gt;0,Model!$B$22,0))</f>
        <v/>
      </c>
      <c r="G16" s="7">
        <f>IF(A16="","",E16+F16)</f>
        <v/>
      </c>
      <c r="H16" s="7">
        <f>IF(A16="","",MAX(0,Model!$B$6-G16))</f>
        <v/>
      </c>
      <c r="I16" s="7">
        <f>IF(A16="","",H16/(1-Model!$B$9))</f>
        <v/>
      </c>
      <c r="J16" s="7">
        <f>IF(A16="","",C16-D16)</f>
        <v/>
      </c>
      <c r="K16">
        <f>IF(A16="","",C16&gt;=D16)</f>
        <v/>
      </c>
      <c r="L16" s="7">
        <f>IF(A16="","",IF(A16&gt;=Model!$B$11,Model!$B$19*(1+Model!$B$13)^B16,0))</f>
        <v/>
      </c>
      <c r="M16" s="7">
        <f>IF(A16="","",IF(Model!$B$15&gt;0,Model!$B$21*(1+Model!$B$13)^B16,0))</f>
        <v/>
      </c>
      <c r="N16" s="7">
        <f>IF(A16="","",IF((A16+0)&gt;Model!$B$4,0,MAX(0,Model!$B$6-IF((A16+0)&gt;=Model!$B$11,Model!$B$20,0)-IF(0&lt;Model!$B$15,Model!$B$22,0))/(1-Model!$B$9)/(1+Model!$B$18)^0))</f>
        <v/>
      </c>
      <c r="O16" s="7">
        <f>IF(A16="","",IF((A16+1)&gt;Model!$B$4,0,MAX(0,Model!$B$6-IF((A16+1)&gt;=Model!$B$11,Model!$B$20,0)-IF(1&lt;Model!$B$15,Model!$B$22,0))/(1-Model!$B$9)/(1+Model!$B$18)^1))</f>
        <v/>
      </c>
      <c r="P16" s="7">
        <f>IF(A16="","",IF((A16+2)&gt;Model!$B$4,0,MAX(0,Model!$B$6-IF((A16+2)&gt;=Model!$B$11,Model!$B$20,0)-IF(2&lt;Model!$B$15,Model!$B$22,0))/(1-Model!$B$9)/(1+Model!$B$18)^2))</f>
        <v/>
      </c>
      <c r="Q16" s="7">
        <f>IF(A16="","",IF((A16+3)&gt;Model!$B$4,0,MAX(0,Model!$B$6-IF((A16+3)&gt;=Model!$B$11,Model!$B$20,0)-IF(3&lt;Model!$B$15,Model!$B$22,0))/(1-Model!$B$9)/(1+Model!$B$18)^3))</f>
        <v/>
      </c>
      <c r="R16" s="7">
        <f>IF(A16="","",IF((A16+4)&gt;Model!$B$4,0,MAX(0,Model!$B$6-IF((A16+4)&gt;=Model!$B$11,Model!$B$20,0)-IF(4&lt;Model!$B$15,Model!$B$22,0))/(1-Model!$B$9)/(1+Model!$B$18)^4))</f>
        <v/>
      </c>
      <c r="S16" s="7">
        <f>IF(A16="","",IF((A16+5)&gt;Model!$B$4,0,MAX(0,Model!$B$6-IF((A16+5)&gt;=Model!$B$11,Model!$B$20,0)-IF(5&lt;Model!$B$15,Model!$B$22,0))/(1-Model!$B$9)/(1+Model!$B$18)^5))</f>
        <v/>
      </c>
      <c r="T16" s="7">
        <f>IF(A16="","",IF((A16+6)&gt;Model!$B$4,0,MAX(0,Model!$B$6-IF((A16+6)&gt;=Model!$B$11,Model!$B$20,0)-IF(6&lt;Model!$B$15,Model!$B$22,0))/(1-Model!$B$9)/(1+Model!$B$18)^6))</f>
        <v/>
      </c>
      <c r="U16" s="7">
        <f>IF(A16="","",IF((A16+7)&gt;Model!$B$4,0,MAX(0,Model!$B$6-IF((A16+7)&gt;=Model!$B$11,Model!$B$20,0)-IF(7&lt;Model!$B$15,Model!$B$22,0))/(1-Model!$B$9)/(1+Model!$B$18)^7))</f>
        <v/>
      </c>
      <c r="V16" s="7">
        <f>IF(A16="","",IF((A16+8)&gt;Model!$B$4,0,MAX(0,Model!$B$6-IF((A16+8)&gt;=Model!$B$11,Model!$B$20,0)-IF(8&lt;Model!$B$15,Model!$B$22,0))/(1-Model!$B$9)/(1+Model!$B$18)^8))</f>
        <v/>
      </c>
      <c r="W16" s="7">
        <f>IF(A16="","",IF((A16+9)&gt;Model!$B$4,0,MAX(0,Model!$B$6-IF((A16+9)&gt;=Model!$B$11,Model!$B$20,0)-IF(9&lt;Model!$B$15,Model!$B$22,0))/(1-Model!$B$9)/(1+Model!$B$18)^9))</f>
        <v/>
      </c>
      <c r="X16" s="7">
        <f>IF(A16="","",IF((A16+10)&gt;Model!$B$4,0,MAX(0,Model!$B$6-IF((A16+10)&gt;=Model!$B$11,Model!$B$20,0)-IF(10&lt;Model!$B$15,Model!$B$22,0))/(1-Model!$B$9)/(1+Model!$B$18)^10))</f>
        <v/>
      </c>
      <c r="Y16" s="7">
        <f>IF(A16="","",IF((A16+11)&gt;Model!$B$4,0,MAX(0,Model!$B$6-IF((A16+11)&gt;=Model!$B$11,Model!$B$20,0)-IF(11&lt;Model!$B$15,Model!$B$22,0))/(1-Model!$B$9)/(1+Model!$B$18)^11))</f>
        <v/>
      </c>
      <c r="Z16" s="7">
        <f>IF(A16="","",IF((A16+12)&gt;Model!$B$4,0,MAX(0,Model!$B$6-IF((A16+12)&gt;=Model!$B$11,Model!$B$20,0)-IF(12&lt;Model!$B$15,Model!$B$22,0))/(1-Model!$B$9)/(1+Model!$B$18)^12))</f>
        <v/>
      </c>
      <c r="AA16" s="7">
        <f>IF(A16="","",IF((A16+13)&gt;Model!$B$4,0,MAX(0,Model!$B$6-IF((A16+13)&gt;=Model!$B$11,Model!$B$20,0)-IF(13&lt;Model!$B$15,Model!$B$22,0))/(1-Model!$B$9)/(1+Model!$B$18)^13))</f>
        <v/>
      </c>
      <c r="AB16" s="7">
        <f>IF(A16="","",IF((A16+14)&gt;Model!$B$4,0,MAX(0,Model!$B$6-IF((A16+14)&gt;=Model!$B$11,Model!$B$20,0)-IF(14&lt;Model!$B$15,Model!$B$22,0))/(1-Model!$B$9)/(1+Model!$B$18)^14))</f>
        <v/>
      </c>
      <c r="AC16" s="7">
        <f>IF(A16="","",IF((A16+15)&gt;Model!$B$4,0,MAX(0,Model!$B$6-IF((A16+15)&gt;=Model!$B$11,Model!$B$20,0)-IF(15&lt;Model!$B$15,Model!$B$22,0))/(1-Model!$B$9)/(1+Model!$B$18)^15))</f>
        <v/>
      </c>
      <c r="AD16" s="7">
        <f>IF(A16="","",IF((A16+16)&gt;Model!$B$4,0,MAX(0,Model!$B$6-IF((A16+16)&gt;=Model!$B$11,Model!$B$20,0)-IF(16&lt;Model!$B$15,Model!$B$22,0))/(1-Model!$B$9)/(1+Model!$B$18)^16))</f>
        <v/>
      </c>
      <c r="AE16" s="7">
        <f>IF(A16="","",IF((A16+17)&gt;Model!$B$4,0,MAX(0,Model!$B$6-IF((A16+17)&gt;=Model!$B$11,Model!$B$20,0)-IF(17&lt;Model!$B$15,Model!$B$22,0))/(1-Model!$B$9)/(1+Model!$B$18)^17))</f>
        <v/>
      </c>
      <c r="AF16" s="7">
        <f>IF(A16="","",IF((A16+18)&gt;Model!$B$4,0,MAX(0,Model!$B$6-IF((A16+18)&gt;=Model!$B$11,Model!$B$20,0)-IF(18&lt;Model!$B$15,Model!$B$22,0))/(1-Model!$B$9)/(1+Model!$B$18)^18))</f>
        <v/>
      </c>
      <c r="AG16" s="7">
        <f>IF(A16="","",IF((A16+19)&gt;Model!$B$4,0,MAX(0,Model!$B$6-IF((A16+19)&gt;=Model!$B$11,Model!$B$20,0)-IF(19&lt;Model!$B$15,Model!$B$22,0))/(1-Model!$B$9)/(1+Model!$B$18)^19))</f>
        <v/>
      </c>
      <c r="AH16" s="7">
        <f>IF(A16="","",IF((A16+20)&gt;Model!$B$4,0,MAX(0,Model!$B$6-IF((A16+20)&gt;=Model!$B$11,Model!$B$20,0)-IF(20&lt;Model!$B$15,Model!$B$22,0))/(1-Model!$B$9)/(1+Model!$B$18)^20))</f>
        <v/>
      </c>
      <c r="AI16" s="7">
        <f>IF(A16="","",IF((A16+21)&gt;Model!$B$4,0,MAX(0,Model!$B$6-IF((A16+21)&gt;=Model!$B$11,Model!$B$20,0)-IF(21&lt;Model!$B$15,Model!$B$22,0))/(1-Model!$B$9)/(1+Model!$B$18)^21))</f>
        <v/>
      </c>
      <c r="AJ16" s="7">
        <f>IF(A16="","",IF((A16+22)&gt;Model!$B$4,0,MAX(0,Model!$B$6-IF((A16+22)&gt;=Model!$B$11,Model!$B$20,0)-IF(22&lt;Model!$B$15,Model!$B$22,0))/(1-Model!$B$9)/(1+Model!$B$18)^22))</f>
        <v/>
      </c>
      <c r="AK16" s="7">
        <f>IF(A16="","",IF((A16+23)&gt;Model!$B$4,0,MAX(0,Model!$B$6-IF((A16+23)&gt;=Model!$B$11,Model!$B$20,0)-IF(23&lt;Model!$B$15,Model!$B$22,0))/(1-Model!$B$9)/(1+Model!$B$18)^23))</f>
        <v/>
      </c>
      <c r="AL16" s="7">
        <f>IF(A16="","",IF((A16+24)&gt;Model!$B$4,0,MAX(0,Model!$B$6-IF((A16+24)&gt;=Model!$B$11,Model!$B$20,0)-IF(24&lt;Model!$B$15,Model!$B$22,0))/(1-Model!$B$9)/(1+Model!$B$18)^24))</f>
        <v/>
      </c>
      <c r="AM16" s="7">
        <f>IF(A16="","",IF((A16+25)&gt;Model!$B$4,0,MAX(0,Model!$B$6-IF((A16+25)&gt;=Model!$B$11,Model!$B$20,0)-IF(25&lt;Model!$B$15,Model!$B$22,0))/(1-Model!$B$9)/(1+Model!$B$18)^25))</f>
        <v/>
      </c>
      <c r="AN16" s="7">
        <f>IF(A16="","",IF((A16+26)&gt;Model!$B$4,0,MAX(0,Model!$B$6-IF((A16+26)&gt;=Model!$B$11,Model!$B$20,0)-IF(26&lt;Model!$B$15,Model!$B$22,0))/(1-Model!$B$9)/(1+Model!$B$18)^26))</f>
        <v/>
      </c>
      <c r="AO16" s="7">
        <f>IF(A16="","",IF((A16+27)&gt;Model!$B$4,0,MAX(0,Model!$B$6-IF((A16+27)&gt;=Model!$B$11,Model!$B$20,0)-IF(27&lt;Model!$B$15,Model!$B$22,0))/(1-Model!$B$9)/(1+Model!$B$18)^27))</f>
        <v/>
      </c>
      <c r="AP16" s="7">
        <f>IF(A16="","",IF((A16+28)&gt;Model!$B$4,0,MAX(0,Model!$B$6-IF((A16+28)&gt;=Model!$B$11,Model!$B$20,0)-IF(28&lt;Model!$B$15,Model!$B$22,0))/(1-Model!$B$9)/(1+Model!$B$18)^28))</f>
        <v/>
      </c>
      <c r="AQ16" s="7">
        <f>IF(A16="","",IF((A16+29)&gt;Model!$B$4,0,MAX(0,Model!$B$6-IF((A16+29)&gt;=Model!$B$11,Model!$B$20,0)-IF(29&lt;Model!$B$15,Model!$B$22,0))/(1-Model!$B$9)/(1+Model!$B$18)^29))</f>
        <v/>
      </c>
      <c r="AR16" s="7">
        <f>IF(A16="","",IF((A16+30)&gt;Model!$B$4,0,MAX(0,Model!$B$6-IF((A16+30)&gt;=Model!$B$11,Model!$B$20,0)-IF(30&lt;Model!$B$15,Model!$B$22,0))/(1-Model!$B$9)/(1+Model!$B$18)^30))</f>
        <v/>
      </c>
      <c r="AS16" s="7">
        <f>IF(A16="","",IF((A16+31)&gt;Model!$B$4,0,MAX(0,Model!$B$6-IF((A16+31)&gt;=Model!$B$11,Model!$B$20,0)-IF(31&lt;Model!$B$15,Model!$B$22,0))/(1-Model!$B$9)/(1+Model!$B$18)^31))</f>
        <v/>
      </c>
      <c r="AT16" s="7">
        <f>IF(A16="","",IF((A16+32)&gt;Model!$B$4,0,MAX(0,Model!$B$6-IF((A16+32)&gt;=Model!$B$11,Model!$B$20,0)-IF(32&lt;Model!$B$15,Model!$B$22,0))/(1-Model!$B$9)/(1+Model!$B$18)^32))</f>
        <v/>
      </c>
      <c r="AU16" s="7">
        <f>IF(A16="","",IF((A16+33)&gt;Model!$B$4,0,MAX(0,Model!$B$6-IF((A16+33)&gt;=Model!$B$11,Model!$B$20,0)-IF(33&lt;Model!$B$15,Model!$B$22,0))/(1-Model!$B$9)/(1+Model!$B$18)^33))</f>
        <v/>
      </c>
      <c r="AV16" s="7">
        <f>IF(A16="","",IF((A16+34)&gt;Model!$B$4,0,MAX(0,Model!$B$6-IF((A16+34)&gt;=Model!$B$11,Model!$B$20,0)-IF(34&lt;Model!$B$15,Model!$B$22,0))/(1-Model!$B$9)/(1+Model!$B$18)^34))</f>
        <v/>
      </c>
      <c r="AW16" s="7">
        <f>IF(A16="","",IF((A16+35)&gt;Model!$B$4,0,MAX(0,Model!$B$6-IF((A16+35)&gt;=Model!$B$11,Model!$B$20,0)-IF(35&lt;Model!$B$15,Model!$B$22,0))/(1-Model!$B$9)/(1+Model!$B$18)^35))</f>
        <v/>
      </c>
      <c r="AX16" s="7">
        <f>IF(A16="","",IF((A16+36)&gt;Model!$B$4,0,MAX(0,Model!$B$6-IF((A16+36)&gt;=Model!$B$11,Model!$B$20,0)-IF(36&lt;Model!$B$15,Model!$B$22,0))/(1-Model!$B$9)/(1+Model!$B$18)^36))</f>
        <v/>
      </c>
      <c r="AY16" s="7">
        <f>IF(A16="","",IF((A16+37)&gt;Model!$B$4,0,MAX(0,Model!$B$6-IF((A16+37)&gt;=Model!$B$11,Model!$B$20,0)-IF(37&lt;Model!$B$15,Model!$B$22,0))/(1-Model!$B$9)/(1+Model!$B$18)^37))</f>
        <v/>
      </c>
      <c r="AZ16" s="7">
        <f>IF(A16="","",IF((A16+38)&gt;Model!$B$4,0,MAX(0,Model!$B$6-IF((A16+38)&gt;=Model!$B$11,Model!$B$20,0)-IF(38&lt;Model!$B$15,Model!$B$22,0))/(1-Model!$B$9)/(1+Model!$B$18)^38))</f>
        <v/>
      </c>
      <c r="BA16" s="7">
        <f>IF(A16="","",IF((A16+39)&gt;Model!$B$4,0,MAX(0,Model!$B$6-IF((A16+39)&gt;=Model!$B$11,Model!$B$20,0)-IF(39&lt;Model!$B$15,Model!$B$22,0))/(1-Model!$B$9)/(1+Model!$B$18)^39))</f>
        <v/>
      </c>
      <c r="BB16" s="7">
        <f>IF(A16="","",IF((A16+40)&gt;Model!$B$4,0,MAX(0,Model!$B$6-IF((A16+40)&gt;=Model!$B$11,Model!$B$20,0)-IF(40&lt;Model!$B$15,Model!$B$22,0))/(1-Model!$B$9)/(1+Model!$B$18)^40))</f>
        <v/>
      </c>
      <c r="BC16" s="7">
        <f>IF(A16="","",IF((A16+41)&gt;Model!$B$4,0,MAX(0,Model!$B$6-IF((A16+41)&gt;=Model!$B$11,Model!$B$20,0)-IF(41&lt;Model!$B$15,Model!$B$22,0))/(1-Model!$B$9)/(1+Model!$B$18)^41))</f>
        <v/>
      </c>
      <c r="BD16" s="7">
        <f>IF(A16="","",IF((A16+42)&gt;Model!$B$4,0,MAX(0,Model!$B$6-IF((A16+42)&gt;=Model!$B$11,Model!$B$20,0)-IF(42&lt;Model!$B$15,Model!$B$22,0))/(1-Model!$B$9)/(1+Model!$B$18)^42))</f>
        <v/>
      </c>
      <c r="BE16" s="7">
        <f>IF(A16="","",IF((A16+43)&gt;Model!$B$4,0,MAX(0,Model!$B$6-IF((A16+43)&gt;=Model!$B$11,Model!$B$20,0)-IF(43&lt;Model!$B$15,Model!$B$22,0))/(1-Model!$B$9)/(1+Model!$B$18)^43))</f>
        <v/>
      </c>
      <c r="BF16" s="7">
        <f>IF(A16="","",IF((A16+44)&gt;Model!$B$4,0,MAX(0,Model!$B$6-IF((A16+44)&gt;=Model!$B$11,Model!$B$20,0)-IF(44&lt;Model!$B$15,Model!$B$22,0))/(1-Model!$B$9)/(1+Model!$B$18)^44))</f>
        <v/>
      </c>
      <c r="BG16" s="7">
        <f>IF(A16="","",IF((A16+45)&gt;Model!$B$4,0,MAX(0,Model!$B$6-IF((A16+45)&gt;=Model!$B$11,Model!$B$20,0)-IF(45&lt;Model!$B$15,Model!$B$22,0))/(1-Model!$B$9)/(1+Model!$B$18)^45))</f>
        <v/>
      </c>
      <c r="BH16" s="7">
        <f>IF(A16="","",IF((A16+46)&gt;Model!$B$4,0,MAX(0,Model!$B$6-IF((A16+46)&gt;=Model!$B$11,Model!$B$20,0)-IF(46&lt;Model!$B$15,Model!$B$22,0))/(1-Model!$B$9)/(1+Model!$B$18)^46))</f>
        <v/>
      </c>
      <c r="BI16" s="7">
        <f>IF(A16="","",IF((A16+47)&gt;Model!$B$4,0,MAX(0,Model!$B$6-IF((A16+47)&gt;=Model!$B$11,Model!$B$20,0)-IF(47&lt;Model!$B$15,Model!$B$22,0))/(1-Model!$B$9)/(1+Model!$B$18)^47))</f>
        <v/>
      </c>
      <c r="BJ16" s="7">
        <f>IF(A16="","",IF((A16+48)&gt;Model!$B$4,0,MAX(0,Model!$B$6-IF((A16+48)&gt;=Model!$B$11,Model!$B$20,0)-IF(48&lt;Model!$B$15,Model!$B$22,0))/(1-Model!$B$9)/(1+Model!$B$18)^48))</f>
        <v/>
      </c>
      <c r="BK16" s="7">
        <f>IF(A16="","",IF((A16+49)&gt;Model!$B$4,0,MAX(0,Model!$B$6-IF((A16+49)&gt;=Model!$B$11,Model!$B$20,0)-IF(49&lt;Model!$B$15,Model!$B$22,0))/(1-Model!$B$9)/(1+Model!$B$18)^49))</f>
        <v/>
      </c>
      <c r="BL16" s="7">
        <f>IF(A16="","",IF((A16+50)&gt;Model!$B$4,0,MAX(0,Model!$B$6-IF((A16+50)&gt;=Model!$B$11,Model!$B$20,0)-IF(50&lt;Model!$B$15,Model!$B$22,0))/(1-Model!$B$9)/(1+Model!$B$18)^50))</f>
        <v/>
      </c>
      <c r="BM16" s="7">
        <f>IF(A16="","",IF((A16+51)&gt;Model!$B$4,0,MAX(0,Model!$B$6-IF((A16+51)&gt;=Model!$B$11,Model!$B$20,0)-IF(51&lt;Model!$B$15,Model!$B$22,0))/(1-Model!$B$9)/(1+Model!$B$18)^51))</f>
        <v/>
      </c>
      <c r="BN16" s="7">
        <f>IF(A16="","",IF((A16+52)&gt;Model!$B$4,0,MAX(0,Model!$B$6-IF((A16+52)&gt;=Model!$B$11,Model!$B$20,0)-IF(52&lt;Model!$B$15,Model!$B$22,0))/(1-Model!$B$9)/(1+Model!$B$18)^52))</f>
        <v/>
      </c>
      <c r="BO16" s="7">
        <f>IF(A16="","",IF((A16+53)&gt;Model!$B$4,0,MAX(0,Model!$B$6-IF((A16+53)&gt;=Model!$B$11,Model!$B$20,0)-IF(53&lt;Model!$B$15,Model!$B$22,0))/(1-Model!$B$9)/(1+Model!$B$18)^53))</f>
        <v/>
      </c>
      <c r="BP16" s="7">
        <f>IF(A16="","",IF((A16+54)&gt;Model!$B$4,0,MAX(0,Model!$B$6-IF((A16+54)&gt;=Model!$B$11,Model!$B$20,0)-IF(54&lt;Model!$B$15,Model!$B$22,0))/(1-Model!$B$9)/(1+Model!$B$18)^54))</f>
        <v/>
      </c>
      <c r="BQ16" s="7">
        <f>IF(A16="","",IF((A16+55)&gt;Model!$B$4,0,MAX(0,Model!$B$6-IF((A16+55)&gt;=Model!$B$11,Model!$B$20,0)-IF(55&lt;Model!$B$15,Model!$B$22,0))/(1-Model!$B$9)/(1+Model!$B$18)^55))</f>
        <v/>
      </c>
      <c r="BR16" s="7">
        <f>IF(A16="","",IF((A16+56)&gt;Model!$B$4,0,MAX(0,Model!$B$6-IF((A16+56)&gt;=Model!$B$11,Model!$B$20,0)-IF(56&lt;Model!$B$15,Model!$B$22,0))/(1-Model!$B$9)/(1+Model!$B$18)^56))</f>
        <v/>
      </c>
      <c r="BS16" s="7">
        <f>IF(A16="","",IF((A16+57)&gt;Model!$B$4,0,MAX(0,Model!$B$6-IF((A16+57)&gt;=Model!$B$11,Model!$B$20,0)-IF(57&lt;Model!$B$15,Model!$B$22,0))/(1-Model!$B$9)/(1+Model!$B$18)^57))</f>
        <v/>
      </c>
      <c r="BT16" s="7">
        <f>IF(A16="","",IF((A16+58)&gt;Model!$B$4,0,MAX(0,Model!$B$6-IF((A16+58)&gt;=Model!$B$11,Model!$B$20,0)-IF(58&lt;Model!$B$15,Model!$B$22,0))/(1-Model!$B$9)/(1+Model!$B$18)^58))</f>
        <v/>
      </c>
      <c r="BU16" s="7">
        <f>IF(A16="","",IF((A16+59)&gt;Model!$B$4,0,MAX(0,Model!$B$6-IF((A16+59)&gt;=Model!$B$11,Model!$B$20,0)-IF(59&lt;Model!$B$15,Model!$B$22,0))/(1-Model!$B$9)/(1+Model!$B$18)^59))</f>
        <v/>
      </c>
      <c r="BV16" s="7">
        <f>IF(A16="","",IF((A16+60)&gt;Model!$B$4,0,MAX(0,Model!$B$6-IF((A16+60)&gt;=Model!$B$11,Model!$B$20,0)-IF(60&lt;Model!$B$15,Model!$B$22,0))/(1-Model!$B$9)/(1+Model!$B$18)^60))</f>
        <v/>
      </c>
      <c r="BW16" s="7">
        <f>IF(A16="","",IF((A16+61)&gt;Model!$B$4,0,MAX(0,Model!$B$6-IF((A16+61)&gt;=Model!$B$11,Model!$B$20,0)-IF(61&lt;Model!$B$15,Model!$B$22,0))/(1-Model!$B$9)/(1+Model!$B$18)^61))</f>
        <v/>
      </c>
      <c r="BX16" s="7">
        <f>IF(A16="","",IF((A16+62)&gt;Model!$B$4,0,MAX(0,Model!$B$6-IF((A16+62)&gt;=Model!$B$11,Model!$B$20,0)-IF(62&lt;Model!$B$15,Model!$B$22,0))/(1-Model!$B$9)/(1+Model!$B$18)^62))</f>
        <v/>
      </c>
      <c r="BY16" s="7">
        <f>IF(A16="","",IF((A16+63)&gt;Model!$B$4,0,MAX(0,Model!$B$6-IF((A16+63)&gt;=Model!$B$11,Model!$B$20,0)-IF(63&lt;Model!$B$15,Model!$B$22,0))/(1-Model!$B$9)/(1+Model!$B$18)^63))</f>
        <v/>
      </c>
      <c r="BZ16" s="7">
        <f>IF(A16="","",IF((A16+64)&gt;Model!$B$4,0,MAX(0,Model!$B$6-IF((A16+64)&gt;=Model!$B$11,Model!$B$20,0)-IF(64&lt;Model!$B$15,Model!$B$22,0))/(1-Model!$B$9)/(1+Model!$B$18)^64))</f>
        <v/>
      </c>
      <c r="CA16" s="7">
        <f>IF(A16="","",IF((A16+65)&gt;Model!$B$4,0,MAX(0,Model!$B$6-IF((A16+65)&gt;=Model!$B$11,Model!$B$20,0)-IF(65&lt;Model!$B$15,Model!$B$22,0))/(1-Model!$B$9)/(1+Model!$B$18)^65))</f>
        <v/>
      </c>
      <c r="CB16" s="7">
        <f>IF(A16="","",IF((A16+66)&gt;Model!$B$4,0,MAX(0,Model!$B$6-IF((A16+66)&gt;=Model!$B$11,Model!$B$20,0)-IF(66&lt;Model!$B$15,Model!$B$22,0))/(1-Model!$B$9)/(1+Model!$B$18)^66))</f>
        <v/>
      </c>
      <c r="CC16" s="7">
        <f>IF(A16="","",IF((A16+67)&gt;Model!$B$4,0,MAX(0,Model!$B$6-IF((A16+67)&gt;=Model!$B$11,Model!$B$20,0)-IF(67&lt;Model!$B$15,Model!$B$22,0))/(1-Model!$B$9)/(1+Model!$B$18)^67))</f>
        <v/>
      </c>
      <c r="CD16" s="7">
        <f>IF(A16="","",IF((A16+68)&gt;Model!$B$4,0,MAX(0,Model!$B$6-IF((A16+68)&gt;=Model!$B$11,Model!$B$20,0)-IF(68&lt;Model!$B$15,Model!$B$22,0))/(1-Model!$B$9)/(1+Model!$B$18)^68))</f>
        <v/>
      </c>
      <c r="CE16" s="7">
        <f>IF(A16="","",IF((A16+69)&gt;Model!$B$4,0,MAX(0,Model!$B$6-IF((A16+69)&gt;=Model!$B$11,Model!$B$20,0)-IF(69&lt;Model!$B$15,Model!$B$22,0))/(1-Model!$B$9)/(1+Model!$B$18)^69))</f>
        <v/>
      </c>
      <c r="CF16" s="7">
        <f>IF(A16="","",IF((A16+70)&gt;Model!$B$4,0,MAX(0,Model!$B$6-IF((A16+70)&gt;=Model!$B$11,Model!$B$20,0)-IF(70&lt;Model!$B$15,Model!$B$22,0))/(1-Model!$B$9)/(1+Model!$B$18)^70))</f>
        <v/>
      </c>
      <c r="CG16" s="7">
        <f>IF(A16="","",IF((A16+71)&gt;Model!$B$4,0,MAX(0,Model!$B$6-IF((A16+71)&gt;=Model!$B$11,Model!$B$20,0)-IF(71&lt;Model!$B$15,Model!$B$22,0))/(1-Model!$B$9)/(1+Model!$B$18)^71))</f>
        <v/>
      </c>
      <c r="CH16" s="7">
        <f>IF(A16="","",IF((A16+72)&gt;Model!$B$4,0,MAX(0,Model!$B$6-IF((A16+72)&gt;=Model!$B$11,Model!$B$20,0)-IF(72&lt;Model!$B$15,Model!$B$22,0))/(1-Model!$B$9)/(1+Model!$B$18)^72))</f>
        <v/>
      </c>
      <c r="CI16" s="7">
        <f>IF(A16="","",IF((A16+73)&gt;Model!$B$4,0,MAX(0,Model!$B$6-IF((A16+73)&gt;=Model!$B$11,Model!$B$20,0)-IF(73&lt;Model!$B$15,Model!$B$22,0))/(1-Model!$B$9)/(1+Model!$B$18)^73))</f>
        <v/>
      </c>
      <c r="CJ16" s="7">
        <f>IF(A16="","",IF((A16+74)&gt;Model!$B$4,0,MAX(0,Model!$B$6-IF((A16+74)&gt;=Model!$B$11,Model!$B$20,0)-IF(74&lt;Model!$B$15,Model!$B$22,0))/(1-Model!$B$9)/(1+Model!$B$18)^74))</f>
        <v/>
      </c>
      <c r="CK16" s="7">
        <f>IF(A16="","",IF((A16+75)&gt;Model!$B$4,0,MAX(0,Model!$B$6-IF((A16+75)&gt;=Model!$B$11,Model!$B$20,0)-IF(75&lt;Model!$B$15,Model!$B$22,0))/(1-Model!$B$9)/(1+Model!$B$18)^75))</f>
        <v/>
      </c>
      <c r="CL16" s="7">
        <f>IF(A16="","",IF((A16+76)&gt;Model!$B$4,0,MAX(0,Model!$B$6-IF((A16+76)&gt;=Model!$B$11,Model!$B$20,0)-IF(76&lt;Model!$B$15,Model!$B$22,0))/(1-Model!$B$9)/(1+Model!$B$18)^76))</f>
        <v/>
      </c>
      <c r="CM16" s="7">
        <f>IF(A16="","",IF((A16+77)&gt;Model!$B$4,0,MAX(0,Model!$B$6-IF((A16+77)&gt;=Model!$B$11,Model!$B$20,0)-IF(77&lt;Model!$B$15,Model!$B$22,0))/(1-Model!$B$9)/(1+Model!$B$18)^77))</f>
        <v/>
      </c>
      <c r="CN16" s="7">
        <f>IF(A16="","",IF((A16+78)&gt;Model!$B$4,0,MAX(0,Model!$B$6-IF((A16+78)&gt;=Model!$B$11,Model!$B$20,0)-IF(78&lt;Model!$B$15,Model!$B$22,0))/(1-Model!$B$9)/(1+Model!$B$18)^78))</f>
        <v/>
      </c>
      <c r="CO16" s="7">
        <f>IF(A16="","",IF((A16+79)&gt;Model!$B$4,0,MAX(0,Model!$B$6-IF((A16+79)&gt;=Model!$B$11,Model!$B$20,0)-IF(79&lt;Model!$B$15,Model!$B$22,0))/(1-Model!$B$9)/(1+Model!$B$18)^79))</f>
        <v/>
      </c>
      <c r="CP16" s="7">
        <f>IF(A16="","",IF((A16+80)&gt;Model!$B$4,0,MAX(0,Model!$B$6-IF((A16+80)&gt;=Model!$B$11,Model!$B$20,0)-IF(80&lt;Model!$B$15,Model!$B$22,0))/(1-Model!$B$9)/(1+Model!$B$18)^80))</f>
        <v/>
      </c>
      <c r="CQ16" s="7">
        <f>IF(A16="","",IF((A16+81)&gt;Model!$B$4,0,MAX(0,Model!$B$6-IF((A16+81)&gt;=Model!$B$11,Model!$B$20,0)-IF(81&lt;Model!$B$15,Model!$B$22,0))/(1-Model!$B$9)/(1+Model!$B$18)^81))</f>
        <v/>
      </c>
      <c r="CR16" s="7">
        <f>IF(A16="","",IF((A16+82)&gt;Model!$B$4,0,MAX(0,Model!$B$6-IF((A16+82)&gt;=Model!$B$11,Model!$B$20,0)-IF(82&lt;Model!$B$15,Model!$B$22,0))/(1-Model!$B$9)/(1+Model!$B$18)^82))</f>
        <v/>
      </c>
      <c r="CS16" s="7">
        <f>IF(A16="","",IF((A16+83)&gt;Model!$B$4,0,MAX(0,Model!$B$6-IF((A16+83)&gt;=Model!$B$11,Model!$B$20,0)-IF(83&lt;Model!$B$15,Model!$B$22,0))/(1-Model!$B$9)/(1+Model!$B$18)^83))</f>
        <v/>
      </c>
      <c r="CT16" s="7">
        <f>IF(A16="","",IF((A16+84)&gt;Model!$B$4,0,MAX(0,Model!$B$6-IF((A16+84)&gt;=Model!$B$11,Model!$B$20,0)-IF(84&lt;Model!$B$15,Model!$B$22,0))/(1-Model!$B$9)/(1+Model!$B$18)^84))</f>
        <v/>
      </c>
      <c r="CU16" s="7">
        <f>IF(A16="","",IF((A16+85)&gt;Model!$B$4,0,MAX(0,Model!$B$6-IF((A16+85)&gt;=Model!$B$11,Model!$B$20,0)-IF(85&lt;Model!$B$15,Model!$B$22,0))/(1-Model!$B$9)/(1+Model!$B$18)^85))</f>
        <v/>
      </c>
      <c r="CV16" s="7">
        <f>IF(A16="","",IF((A16+86)&gt;Model!$B$4,0,MAX(0,Model!$B$6-IF((A16+86)&gt;=Model!$B$11,Model!$B$20,0)-IF(86&lt;Model!$B$15,Model!$B$22,0))/(1-Model!$B$9)/(1+Model!$B$18)^86))</f>
        <v/>
      </c>
      <c r="CW16" s="7">
        <f>IF(A16="","",IF((A16+87)&gt;Model!$B$4,0,MAX(0,Model!$B$6-IF((A16+87)&gt;=Model!$B$11,Model!$B$20,0)-IF(87&lt;Model!$B$15,Model!$B$22,0))/(1-Model!$B$9)/(1+Model!$B$18)^87))</f>
        <v/>
      </c>
      <c r="CX16" s="7">
        <f>IF(A16="","",IF((A16+88)&gt;Model!$B$4,0,MAX(0,Model!$B$6-IF((A16+88)&gt;=Model!$B$11,Model!$B$20,0)-IF(88&lt;Model!$B$15,Model!$B$22,0))/(1-Model!$B$9)/(1+Model!$B$18)^88))</f>
        <v/>
      </c>
      <c r="CY16" s="7">
        <f>IF(A16="","",IF((A16+89)&gt;Model!$B$4,0,MAX(0,Model!$B$6-IF((A16+89)&gt;=Model!$B$11,Model!$B$20,0)-IF(89&lt;Model!$B$15,Model!$B$22,0))/(1-Model!$B$9)/(1+Model!$B$18)^89))</f>
        <v/>
      </c>
      <c r="CZ16" s="7">
        <f>IF(A16="","",IF((A16+90)&gt;Model!$B$4,0,MAX(0,Model!$B$6-IF((A16+90)&gt;=Model!$B$11,Model!$B$20,0)-IF(90&lt;Model!$B$15,Model!$B$22,0))/(1-Model!$B$9)/(1+Model!$B$18)^90))</f>
        <v/>
      </c>
      <c r="DA16" s="7">
        <f>IF(A16="","",IF((A16+91)&gt;Model!$B$4,0,MAX(0,Model!$B$6-IF((A16+91)&gt;=Model!$B$11,Model!$B$20,0)-IF(91&lt;Model!$B$15,Model!$B$22,0))/(1-Model!$B$9)/(1+Model!$B$18)^91))</f>
        <v/>
      </c>
      <c r="DB16" s="7">
        <f>IF(A16="","",IF((A16+92)&gt;Model!$B$4,0,MAX(0,Model!$B$6-IF((A16+92)&gt;=Model!$B$11,Model!$B$20,0)-IF(92&lt;Model!$B$15,Model!$B$22,0))/(1-Model!$B$9)/(1+Model!$B$18)^92))</f>
        <v/>
      </c>
      <c r="DC16" s="7">
        <f>IF(A16="","",IF((A16+93)&gt;Model!$B$4,0,MAX(0,Model!$B$6-IF((A16+93)&gt;=Model!$B$11,Model!$B$20,0)-IF(93&lt;Model!$B$15,Model!$B$22,0))/(1-Model!$B$9)/(1+Model!$B$18)^93))</f>
        <v/>
      </c>
      <c r="DD16" s="7">
        <f>IF(A16="","",IF((A16+94)&gt;Model!$B$4,0,MAX(0,Model!$B$6-IF((A16+94)&gt;=Model!$B$11,Model!$B$20,0)-IF(94&lt;Model!$B$15,Model!$B$22,0))/(1-Model!$B$9)/(1+Model!$B$18)^94))</f>
        <v/>
      </c>
      <c r="DE16" s="7">
        <f>IF(A16="","",IF((A16+95)&gt;Model!$B$4,0,MAX(0,Model!$B$6-IF((A16+95)&gt;=Model!$B$11,Model!$B$20,0)-IF(95&lt;Model!$B$15,Model!$B$22,0))/(1-Model!$B$9)/(1+Model!$B$18)^95))</f>
        <v/>
      </c>
      <c r="DF16" s="7">
        <f>IF(A16="","",IF((A16+96)&gt;Model!$B$4,0,MAX(0,Model!$B$6-IF((A16+96)&gt;=Model!$B$11,Model!$B$20,0)-IF(96&lt;Model!$B$15,Model!$B$22,0))/(1-Model!$B$9)/(1+Model!$B$18)^96))</f>
        <v/>
      </c>
      <c r="DG16" s="7">
        <f>IF(A16="","",IF((A16+97)&gt;Model!$B$4,0,MAX(0,Model!$B$6-IF((A16+97)&gt;=Model!$B$11,Model!$B$20,0)-IF(97&lt;Model!$B$15,Model!$B$22,0))/(1-Model!$B$9)/(1+Model!$B$18)^97))</f>
        <v/>
      </c>
      <c r="DH16" s="7">
        <f>IF(A16="","",IF((A16+98)&gt;Model!$B$4,0,MAX(0,Model!$B$6-IF((A16+98)&gt;=Model!$B$11,Model!$B$20,0)-IF(98&lt;Model!$B$15,Model!$B$22,0))/(1-Model!$B$9)/(1+Model!$B$18)^98))</f>
        <v/>
      </c>
      <c r="DI16" s="7">
        <f>IF(A16="","",IF((A16+99)&gt;Model!$B$4,0,MAX(0,Model!$B$6-IF((A16+99)&gt;=Model!$B$11,Model!$B$20,0)-IF(99&lt;Model!$B$15,Model!$B$22,0))/(1-Model!$B$9)/(1+Model!$B$18)^99))</f>
        <v/>
      </c>
      <c r="DJ16" s="7">
        <f>IF(A16="","",IF((A16+100)&gt;Model!$B$4,0,MAX(0,Model!$B$6-IF((A16+100)&gt;=Model!$B$11,Model!$B$20,0)-IF(100&lt;Model!$B$15,Model!$B$22,0))/(1-Model!$B$9)/(1+Model!$B$18)^100))</f>
        <v/>
      </c>
      <c r="DK16" s="7">
        <f>IF(A16="","",IF((A16+101)&gt;Model!$B$4,0,MAX(0,Model!$B$6-IF((A16+101)&gt;=Model!$B$11,Model!$B$20,0)-IF(101&lt;Model!$B$15,Model!$B$22,0))/(1-Model!$B$9)/(1+Model!$B$18)^101))</f>
        <v/>
      </c>
      <c r="DL16" s="7">
        <f>IF(A16="","",IF((A16+102)&gt;Model!$B$4,0,MAX(0,Model!$B$6-IF((A16+102)&gt;=Model!$B$11,Model!$B$20,0)-IF(102&lt;Model!$B$15,Model!$B$22,0))/(1-Model!$B$9)/(1+Model!$B$18)^102))</f>
        <v/>
      </c>
      <c r="DM16" s="7">
        <f>IF(A16="","",IF((A16+103)&gt;Model!$B$4,0,MAX(0,Model!$B$6-IF((A16+103)&gt;=Model!$B$11,Model!$B$20,0)-IF(103&lt;Model!$B$15,Model!$B$22,0))/(1-Model!$B$9)/(1+Model!$B$18)^103))</f>
        <v/>
      </c>
      <c r="DN16" s="7">
        <f>IF(A16="","",IF((A16+104)&gt;Model!$B$4,0,MAX(0,Model!$B$6-IF((A16+104)&gt;=Model!$B$11,Model!$B$20,0)-IF(104&lt;Model!$B$15,Model!$B$22,0))/(1-Model!$B$9)/(1+Model!$B$18)^104))</f>
        <v/>
      </c>
      <c r="DO16" s="7">
        <f>IF(A16="","",IF((A16+105)&gt;Model!$B$4,0,MAX(0,Model!$B$6-IF((A16+105)&gt;=Model!$B$11,Model!$B$20,0)-IF(105&lt;Model!$B$15,Model!$B$22,0))/(1-Model!$B$9)/(1+Model!$B$18)^105))</f>
        <v/>
      </c>
      <c r="DP16" s="7">
        <f>IF(A16="","",IF((A16+106)&gt;Model!$B$4,0,MAX(0,Model!$B$6-IF((A16+106)&gt;=Model!$B$11,Model!$B$20,0)-IF(106&lt;Model!$B$15,Model!$B$22,0))/(1-Model!$B$9)/(1+Model!$B$18)^106))</f>
        <v/>
      </c>
      <c r="DQ16" s="7">
        <f>IF(A16="","",IF((A16+107)&gt;Model!$B$4,0,MAX(0,Model!$B$6-IF((A16+107)&gt;=Model!$B$11,Model!$B$20,0)-IF(107&lt;Model!$B$15,Model!$B$22,0))/(1-Model!$B$9)/(1+Model!$B$18)^107))</f>
        <v/>
      </c>
      <c r="DR16" s="7">
        <f>IF(A16="","",IF((A16+108)&gt;Model!$B$4,0,MAX(0,Model!$B$6-IF((A16+108)&gt;=Model!$B$11,Model!$B$20,0)-IF(108&lt;Model!$B$15,Model!$B$22,0))/(1-Model!$B$9)/(1+Model!$B$18)^108))</f>
        <v/>
      </c>
      <c r="DS16" s="7">
        <f>IF(A16="","",IF((A16+109)&gt;Model!$B$4,0,MAX(0,Model!$B$6-IF((A16+109)&gt;=Model!$B$11,Model!$B$20,0)-IF(109&lt;Model!$B$15,Model!$B$22,0))/(1-Model!$B$9)/(1+Model!$B$18)^109))</f>
        <v/>
      </c>
      <c r="DT16" s="7">
        <f>IF(A16="","",IF((A16+110)&gt;Model!$B$4,0,MAX(0,Model!$B$6-IF((A16+110)&gt;=Model!$B$11,Model!$B$20,0)-IF(110&lt;Model!$B$15,Model!$B$22,0))/(1-Model!$B$9)/(1+Model!$B$18)^110))</f>
        <v/>
      </c>
      <c r="DU16" s="7">
        <f>IF(A16="","",IF((A16+111)&gt;Model!$B$4,0,MAX(0,Model!$B$6-IF((A16+111)&gt;=Model!$B$11,Model!$B$20,0)-IF(111&lt;Model!$B$15,Model!$B$22,0))/(1-Model!$B$9)/(1+Model!$B$18)^111))</f>
        <v/>
      </c>
      <c r="DV16" s="7">
        <f>IF(A16="","",IF((A16+112)&gt;Model!$B$4,0,MAX(0,Model!$B$6-IF((A16+112)&gt;=Model!$B$11,Model!$B$20,0)-IF(112&lt;Model!$B$15,Model!$B$22,0))/(1-Model!$B$9)/(1+Model!$B$18)^112))</f>
        <v/>
      </c>
      <c r="DW16" s="7">
        <f>IF(A16="","",IF((A16+113)&gt;Model!$B$4,0,MAX(0,Model!$B$6-IF((A16+113)&gt;=Model!$B$11,Model!$B$20,0)-IF(113&lt;Model!$B$15,Model!$B$22,0))/(1-Model!$B$9)/(1+Model!$B$18)^113))</f>
        <v/>
      </c>
      <c r="DX16" s="7">
        <f>IF(A16="","",IF((A16+114)&gt;Model!$B$4,0,MAX(0,Model!$B$6-IF((A16+114)&gt;=Model!$B$11,Model!$B$20,0)-IF(114&lt;Model!$B$15,Model!$B$22,0))/(1-Model!$B$9)/(1+Model!$B$18)^114))</f>
        <v/>
      </c>
      <c r="DY16" s="7">
        <f>IF(A16="","",IF((A16+115)&gt;Model!$B$4,0,MAX(0,Model!$B$6-IF((A16+115)&gt;=Model!$B$11,Model!$B$20,0)-IF(115&lt;Model!$B$15,Model!$B$22,0))/(1-Model!$B$9)/(1+Model!$B$18)^115))</f>
        <v/>
      </c>
      <c r="DZ16" s="7">
        <f>IF(A16="","",IF((A16+116)&gt;Model!$B$4,0,MAX(0,Model!$B$6-IF((A16+116)&gt;=Model!$B$11,Model!$B$20,0)-IF(116&lt;Model!$B$15,Model!$B$22,0))/(1-Model!$B$9)/(1+Model!$B$18)^116))</f>
        <v/>
      </c>
      <c r="EA16" s="7">
        <f>IF(A16="","",IF((A16+117)&gt;Model!$B$4,0,MAX(0,Model!$B$6-IF((A16+117)&gt;=Model!$B$11,Model!$B$20,0)-IF(117&lt;Model!$B$15,Model!$B$22,0))/(1-Model!$B$9)/(1+Model!$B$18)^117))</f>
        <v/>
      </c>
      <c r="EB16" s="7">
        <f>IF(A16="","",IF((A16+118)&gt;Model!$B$4,0,MAX(0,Model!$B$6-IF((A16+118)&gt;=Model!$B$11,Model!$B$20,0)-IF(118&lt;Model!$B$15,Model!$B$22,0))/(1-Model!$B$9)/(1+Model!$B$18)^118))</f>
        <v/>
      </c>
      <c r="EC16" s="7">
        <f>IF(A16="","",IF((A16+119)&gt;Model!$B$4,0,MAX(0,Model!$B$6-IF((A16+119)&gt;=Model!$B$11,Model!$B$20,0)-IF(119&lt;Model!$B$15,Model!$B$22,0))/(1-Model!$B$9)/(1+Model!$B$18)^119))</f>
        <v/>
      </c>
      <c r="ED16" s="7">
        <f>IF(A16="","",IF((A16+120)&gt;Model!$B$4,0,MAX(0,Model!$B$6-IF((A16+120)&gt;=Model!$B$11,Model!$B$20,0)-IF(120&lt;Model!$B$15,Model!$B$22,0))/(1-Model!$B$9)/(1+Model!$B$18)^120))</f>
        <v/>
      </c>
    </row>
    <row r="17">
      <c r="A17">
        <f>IF(Model!$B$10+ROW()-2&lt;=Model!$B$4,Model!$B$10+ROW()-2,"")</f>
        <v/>
      </c>
      <c r="B17">
        <f>IF(A17="","",A17-Model!$B$10)</f>
        <v/>
      </c>
      <c r="C17" s="7">
        <f>IF(A17="","",Model!$B$5*(1+Model!$B$18)^B17)</f>
        <v/>
      </c>
      <c r="D17" s="7">
        <f>IF(A17="","",SUM(N17:ED17))</f>
        <v/>
      </c>
      <c r="E17" s="7">
        <f>IF(A17="","",IF(A17&gt;=Model!$B$11,Model!$B$20,0))</f>
        <v/>
      </c>
      <c r="F17" s="7">
        <f>IF(A17="","",IF(Model!$B$15&gt;0,Model!$B$22,0))</f>
        <v/>
      </c>
      <c r="G17" s="7">
        <f>IF(A17="","",E17+F17)</f>
        <v/>
      </c>
      <c r="H17" s="7">
        <f>IF(A17="","",MAX(0,Model!$B$6-G17))</f>
        <v/>
      </c>
      <c r="I17" s="7">
        <f>IF(A17="","",H17/(1-Model!$B$9))</f>
        <v/>
      </c>
      <c r="J17" s="7">
        <f>IF(A17="","",C17-D17)</f>
        <v/>
      </c>
      <c r="K17">
        <f>IF(A17="","",C17&gt;=D17)</f>
        <v/>
      </c>
      <c r="L17" s="7">
        <f>IF(A17="","",IF(A17&gt;=Model!$B$11,Model!$B$19*(1+Model!$B$13)^B17,0))</f>
        <v/>
      </c>
      <c r="M17" s="7">
        <f>IF(A17="","",IF(Model!$B$15&gt;0,Model!$B$21*(1+Model!$B$13)^B17,0))</f>
        <v/>
      </c>
      <c r="N17" s="7">
        <f>IF(A17="","",IF((A17+0)&gt;Model!$B$4,0,MAX(0,Model!$B$6-IF((A17+0)&gt;=Model!$B$11,Model!$B$20,0)-IF(0&lt;Model!$B$15,Model!$B$22,0))/(1-Model!$B$9)/(1+Model!$B$18)^0))</f>
        <v/>
      </c>
      <c r="O17" s="7">
        <f>IF(A17="","",IF((A17+1)&gt;Model!$B$4,0,MAX(0,Model!$B$6-IF((A17+1)&gt;=Model!$B$11,Model!$B$20,0)-IF(1&lt;Model!$B$15,Model!$B$22,0))/(1-Model!$B$9)/(1+Model!$B$18)^1))</f>
        <v/>
      </c>
      <c r="P17" s="7">
        <f>IF(A17="","",IF((A17+2)&gt;Model!$B$4,0,MAX(0,Model!$B$6-IF((A17+2)&gt;=Model!$B$11,Model!$B$20,0)-IF(2&lt;Model!$B$15,Model!$B$22,0))/(1-Model!$B$9)/(1+Model!$B$18)^2))</f>
        <v/>
      </c>
      <c r="Q17" s="7">
        <f>IF(A17="","",IF((A17+3)&gt;Model!$B$4,0,MAX(0,Model!$B$6-IF((A17+3)&gt;=Model!$B$11,Model!$B$20,0)-IF(3&lt;Model!$B$15,Model!$B$22,0))/(1-Model!$B$9)/(1+Model!$B$18)^3))</f>
        <v/>
      </c>
      <c r="R17" s="7">
        <f>IF(A17="","",IF((A17+4)&gt;Model!$B$4,0,MAX(0,Model!$B$6-IF((A17+4)&gt;=Model!$B$11,Model!$B$20,0)-IF(4&lt;Model!$B$15,Model!$B$22,0))/(1-Model!$B$9)/(1+Model!$B$18)^4))</f>
        <v/>
      </c>
      <c r="S17" s="7">
        <f>IF(A17="","",IF((A17+5)&gt;Model!$B$4,0,MAX(0,Model!$B$6-IF((A17+5)&gt;=Model!$B$11,Model!$B$20,0)-IF(5&lt;Model!$B$15,Model!$B$22,0))/(1-Model!$B$9)/(1+Model!$B$18)^5))</f>
        <v/>
      </c>
      <c r="T17" s="7">
        <f>IF(A17="","",IF((A17+6)&gt;Model!$B$4,0,MAX(0,Model!$B$6-IF((A17+6)&gt;=Model!$B$11,Model!$B$20,0)-IF(6&lt;Model!$B$15,Model!$B$22,0))/(1-Model!$B$9)/(1+Model!$B$18)^6))</f>
        <v/>
      </c>
      <c r="U17" s="7">
        <f>IF(A17="","",IF((A17+7)&gt;Model!$B$4,0,MAX(0,Model!$B$6-IF((A17+7)&gt;=Model!$B$11,Model!$B$20,0)-IF(7&lt;Model!$B$15,Model!$B$22,0))/(1-Model!$B$9)/(1+Model!$B$18)^7))</f>
        <v/>
      </c>
      <c r="V17" s="7">
        <f>IF(A17="","",IF((A17+8)&gt;Model!$B$4,0,MAX(0,Model!$B$6-IF((A17+8)&gt;=Model!$B$11,Model!$B$20,0)-IF(8&lt;Model!$B$15,Model!$B$22,0))/(1-Model!$B$9)/(1+Model!$B$18)^8))</f>
        <v/>
      </c>
      <c r="W17" s="7">
        <f>IF(A17="","",IF((A17+9)&gt;Model!$B$4,0,MAX(0,Model!$B$6-IF((A17+9)&gt;=Model!$B$11,Model!$B$20,0)-IF(9&lt;Model!$B$15,Model!$B$22,0))/(1-Model!$B$9)/(1+Model!$B$18)^9))</f>
        <v/>
      </c>
      <c r="X17" s="7">
        <f>IF(A17="","",IF((A17+10)&gt;Model!$B$4,0,MAX(0,Model!$B$6-IF((A17+10)&gt;=Model!$B$11,Model!$B$20,0)-IF(10&lt;Model!$B$15,Model!$B$22,0))/(1-Model!$B$9)/(1+Model!$B$18)^10))</f>
        <v/>
      </c>
      <c r="Y17" s="7">
        <f>IF(A17="","",IF((A17+11)&gt;Model!$B$4,0,MAX(0,Model!$B$6-IF((A17+11)&gt;=Model!$B$11,Model!$B$20,0)-IF(11&lt;Model!$B$15,Model!$B$22,0))/(1-Model!$B$9)/(1+Model!$B$18)^11))</f>
        <v/>
      </c>
      <c r="Z17" s="7">
        <f>IF(A17="","",IF((A17+12)&gt;Model!$B$4,0,MAX(0,Model!$B$6-IF((A17+12)&gt;=Model!$B$11,Model!$B$20,0)-IF(12&lt;Model!$B$15,Model!$B$22,0))/(1-Model!$B$9)/(1+Model!$B$18)^12))</f>
        <v/>
      </c>
      <c r="AA17" s="7">
        <f>IF(A17="","",IF((A17+13)&gt;Model!$B$4,0,MAX(0,Model!$B$6-IF((A17+13)&gt;=Model!$B$11,Model!$B$20,0)-IF(13&lt;Model!$B$15,Model!$B$22,0))/(1-Model!$B$9)/(1+Model!$B$18)^13))</f>
        <v/>
      </c>
      <c r="AB17" s="7">
        <f>IF(A17="","",IF((A17+14)&gt;Model!$B$4,0,MAX(0,Model!$B$6-IF((A17+14)&gt;=Model!$B$11,Model!$B$20,0)-IF(14&lt;Model!$B$15,Model!$B$22,0))/(1-Model!$B$9)/(1+Model!$B$18)^14))</f>
        <v/>
      </c>
      <c r="AC17" s="7">
        <f>IF(A17="","",IF((A17+15)&gt;Model!$B$4,0,MAX(0,Model!$B$6-IF((A17+15)&gt;=Model!$B$11,Model!$B$20,0)-IF(15&lt;Model!$B$15,Model!$B$22,0))/(1-Model!$B$9)/(1+Model!$B$18)^15))</f>
        <v/>
      </c>
      <c r="AD17" s="7">
        <f>IF(A17="","",IF((A17+16)&gt;Model!$B$4,0,MAX(0,Model!$B$6-IF((A17+16)&gt;=Model!$B$11,Model!$B$20,0)-IF(16&lt;Model!$B$15,Model!$B$22,0))/(1-Model!$B$9)/(1+Model!$B$18)^16))</f>
        <v/>
      </c>
      <c r="AE17" s="7">
        <f>IF(A17="","",IF((A17+17)&gt;Model!$B$4,0,MAX(0,Model!$B$6-IF((A17+17)&gt;=Model!$B$11,Model!$B$20,0)-IF(17&lt;Model!$B$15,Model!$B$22,0))/(1-Model!$B$9)/(1+Model!$B$18)^17))</f>
        <v/>
      </c>
      <c r="AF17" s="7">
        <f>IF(A17="","",IF((A17+18)&gt;Model!$B$4,0,MAX(0,Model!$B$6-IF((A17+18)&gt;=Model!$B$11,Model!$B$20,0)-IF(18&lt;Model!$B$15,Model!$B$22,0))/(1-Model!$B$9)/(1+Model!$B$18)^18))</f>
        <v/>
      </c>
      <c r="AG17" s="7">
        <f>IF(A17="","",IF((A17+19)&gt;Model!$B$4,0,MAX(0,Model!$B$6-IF((A17+19)&gt;=Model!$B$11,Model!$B$20,0)-IF(19&lt;Model!$B$15,Model!$B$22,0))/(1-Model!$B$9)/(1+Model!$B$18)^19))</f>
        <v/>
      </c>
      <c r="AH17" s="7">
        <f>IF(A17="","",IF((A17+20)&gt;Model!$B$4,0,MAX(0,Model!$B$6-IF((A17+20)&gt;=Model!$B$11,Model!$B$20,0)-IF(20&lt;Model!$B$15,Model!$B$22,0))/(1-Model!$B$9)/(1+Model!$B$18)^20))</f>
        <v/>
      </c>
      <c r="AI17" s="7">
        <f>IF(A17="","",IF((A17+21)&gt;Model!$B$4,0,MAX(0,Model!$B$6-IF((A17+21)&gt;=Model!$B$11,Model!$B$20,0)-IF(21&lt;Model!$B$15,Model!$B$22,0))/(1-Model!$B$9)/(1+Model!$B$18)^21))</f>
        <v/>
      </c>
      <c r="AJ17" s="7">
        <f>IF(A17="","",IF((A17+22)&gt;Model!$B$4,0,MAX(0,Model!$B$6-IF((A17+22)&gt;=Model!$B$11,Model!$B$20,0)-IF(22&lt;Model!$B$15,Model!$B$22,0))/(1-Model!$B$9)/(1+Model!$B$18)^22))</f>
        <v/>
      </c>
      <c r="AK17" s="7">
        <f>IF(A17="","",IF((A17+23)&gt;Model!$B$4,0,MAX(0,Model!$B$6-IF((A17+23)&gt;=Model!$B$11,Model!$B$20,0)-IF(23&lt;Model!$B$15,Model!$B$22,0))/(1-Model!$B$9)/(1+Model!$B$18)^23))</f>
        <v/>
      </c>
      <c r="AL17" s="7">
        <f>IF(A17="","",IF((A17+24)&gt;Model!$B$4,0,MAX(0,Model!$B$6-IF((A17+24)&gt;=Model!$B$11,Model!$B$20,0)-IF(24&lt;Model!$B$15,Model!$B$22,0))/(1-Model!$B$9)/(1+Model!$B$18)^24))</f>
        <v/>
      </c>
      <c r="AM17" s="7">
        <f>IF(A17="","",IF((A17+25)&gt;Model!$B$4,0,MAX(0,Model!$B$6-IF((A17+25)&gt;=Model!$B$11,Model!$B$20,0)-IF(25&lt;Model!$B$15,Model!$B$22,0))/(1-Model!$B$9)/(1+Model!$B$18)^25))</f>
        <v/>
      </c>
      <c r="AN17" s="7">
        <f>IF(A17="","",IF((A17+26)&gt;Model!$B$4,0,MAX(0,Model!$B$6-IF((A17+26)&gt;=Model!$B$11,Model!$B$20,0)-IF(26&lt;Model!$B$15,Model!$B$22,0))/(1-Model!$B$9)/(1+Model!$B$18)^26))</f>
        <v/>
      </c>
      <c r="AO17" s="7">
        <f>IF(A17="","",IF((A17+27)&gt;Model!$B$4,0,MAX(0,Model!$B$6-IF((A17+27)&gt;=Model!$B$11,Model!$B$20,0)-IF(27&lt;Model!$B$15,Model!$B$22,0))/(1-Model!$B$9)/(1+Model!$B$18)^27))</f>
        <v/>
      </c>
      <c r="AP17" s="7">
        <f>IF(A17="","",IF((A17+28)&gt;Model!$B$4,0,MAX(0,Model!$B$6-IF((A17+28)&gt;=Model!$B$11,Model!$B$20,0)-IF(28&lt;Model!$B$15,Model!$B$22,0))/(1-Model!$B$9)/(1+Model!$B$18)^28))</f>
        <v/>
      </c>
      <c r="AQ17" s="7">
        <f>IF(A17="","",IF((A17+29)&gt;Model!$B$4,0,MAX(0,Model!$B$6-IF((A17+29)&gt;=Model!$B$11,Model!$B$20,0)-IF(29&lt;Model!$B$15,Model!$B$22,0))/(1-Model!$B$9)/(1+Model!$B$18)^29))</f>
        <v/>
      </c>
      <c r="AR17" s="7">
        <f>IF(A17="","",IF((A17+30)&gt;Model!$B$4,0,MAX(0,Model!$B$6-IF((A17+30)&gt;=Model!$B$11,Model!$B$20,0)-IF(30&lt;Model!$B$15,Model!$B$22,0))/(1-Model!$B$9)/(1+Model!$B$18)^30))</f>
        <v/>
      </c>
      <c r="AS17" s="7">
        <f>IF(A17="","",IF((A17+31)&gt;Model!$B$4,0,MAX(0,Model!$B$6-IF((A17+31)&gt;=Model!$B$11,Model!$B$20,0)-IF(31&lt;Model!$B$15,Model!$B$22,0))/(1-Model!$B$9)/(1+Model!$B$18)^31))</f>
        <v/>
      </c>
      <c r="AT17" s="7">
        <f>IF(A17="","",IF((A17+32)&gt;Model!$B$4,0,MAX(0,Model!$B$6-IF((A17+32)&gt;=Model!$B$11,Model!$B$20,0)-IF(32&lt;Model!$B$15,Model!$B$22,0))/(1-Model!$B$9)/(1+Model!$B$18)^32))</f>
        <v/>
      </c>
      <c r="AU17" s="7">
        <f>IF(A17="","",IF((A17+33)&gt;Model!$B$4,0,MAX(0,Model!$B$6-IF((A17+33)&gt;=Model!$B$11,Model!$B$20,0)-IF(33&lt;Model!$B$15,Model!$B$22,0))/(1-Model!$B$9)/(1+Model!$B$18)^33))</f>
        <v/>
      </c>
      <c r="AV17" s="7">
        <f>IF(A17="","",IF((A17+34)&gt;Model!$B$4,0,MAX(0,Model!$B$6-IF((A17+34)&gt;=Model!$B$11,Model!$B$20,0)-IF(34&lt;Model!$B$15,Model!$B$22,0))/(1-Model!$B$9)/(1+Model!$B$18)^34))</f>
        <v/>
      </c>
      <c r="AW17" s="7">
        <f>IF(A17="","",IF((A17+35)&gt;Model!$B$4,0,MAX(0,Model!$B$6-IF((A17+35)&gt;=Model!$B$11,Model!$B$20,0)-IF(35&lt;Model!$B$15,Model!$B$22,0))/(1-Model!$B$9)/(1+Model!$B$18)^35))</f>
        <v/>
      </c>
      <c r="AX17" s="7">
        <f>IF(A17="","",IF((A17+36)&gt;Model!$B$4,0,MAX(0,Model!$B$6-IF((A17+36)&gt;=Model!$B$11,Model!$B$20,0)-IF(36&lt;Model!$B$15,Model!$B$22,0))/(1-Model!$B$9)/(1+Model!$B$18)^36))</f>
        <v/>
      </c>
      <c r="AY17" s="7">
        <f>IF(A17="","",IF((A17+37)&gt;Model!$B$4,0,MAX(0,Model!$B$6-IF((A17+37)&gt;=Model!$B$11,Model!$B$20,0)-IF(37&lt;Model!$B$15,Model!$B$22,0))/(1-Model!$B$9)/(1+Model!$B$18)^37))</f>
        <v/>
      </c>
      <c r="AZ17" s="7">
        <f>IF(A17="","",IF((A17+38)&gt;Model!$B$4,0,MAX(0,Model!$B$6-IF((A17+38)&gt;=Model!$B$11,Model!$B$20,0)-IF(38&lt;Model!$B$15,Model!$B$22,0))/(1-Model!$B$9)/(1+Model!$B$18)^38))</f>
        <v/>
      </c>
      <c r="BA17" s="7">
        <f>IF(A17="","",IF((A17+39)&gt;Model!$B$4,0,MAX(0,Model!$B$6-IF((A17+39)&gt;=Model!$B$11,Model!$B$20,0)-IF(39&lt;Model!$B$15,Model!$B$22,0))/(1-Model!$B$9)/(1+Model!$B$18)^39))</f>
        <v/>
      </c>
      <c r="BB17" s="7">
        <f>IF(A17="","",IF((A17+40)&gt;Model!$B$4,0,MAX(0,Model!$B$6-IF((A17+40)&gt;=Model!$B$11,Model!$B$20,0)-IF(40&lt;Model!$B$15,Model!$B$22,0))/(1-Model!$B$9)/(1+Model!$B$18)^40))</f>
        <v/>
      </c>
      <c r="BC17" s="7">
        <f>IF(A17="","",IF((A17+41)&gt;Model!$B$4,0,MAX(0,Model!$B$6-IF((A17+41)&gt;=Model!$B$11,Model!$B$20,0)-IF(41&lt;Model!$B$15,Model!$B$22,0))/(1-Model!$B$9)/(1+Model!$B$18)^41))</f>
        <v/>
      </c>
      <c r="BD17" s="7">
        <f>IF(A17="","",IF((A17+42)&gt;Model!$B$4,0,MAX(0,Model!$B$6-IF((A17+42)&gt;=Model!$B$11,Model!$B$20,0)-IF(42&lt;Model!$B$15,Model!$B$22,0))/(1-Model!$B$9)/(1+Model!$B$18)^42))</f>
        <v/>
      </c>
      <c r="BE17" s="7">
        <f>IF(A17="","",IF((A17+43)&gt;Model!$B$4,0,MAX(0,Model!$B$6-IF((A17+43)&gt;=Model!$B$11,Model!$B$20,0)-IF(43&lt;Model!$B$15,Model!$B$22,0))/(1-Model!$B$9)/(1+Model!$B$18)^43))</f>
        <v/>
      </c>
      <c r="BF17" s="7">
        <f>IF(A17="","",IF((A17+44)&gt;Model!$B$4,0,MAX(0,Model!$B$6-IF((A17+44)&gt;=Model!$B$11,Model!$B$20,0)-IF(44&lt;Model!$B$15,Model!$B$22,0))/(1-Model!$B$9)/(1+Model!$B$18)^44))</f>
        <v/>
      </c>
      <c r="BG17" s="7">
        <f>IF(A17="","",IF((A17+45)&gt;Model!$B$4,0,MAX(0,Model!$B$6-IF((A17+45)&gt;=Model!$B$11,Model!$B$20,0)-IF(45&lt;Model!$B$15,Model!$B$22,0))/(1-Model!$B$9)/(1+Model!$B$18)^45))</f>
        <v/>
      </c>
      <c r="BH17" s="7">
        <f>IF(A17="","",IF((A17+46)&gt;Model!$B$4,0,MAX(0,Model!$B$6-IF((A17+46)&gt;=Model!$B$11,Model!$B$20,0)-IF(46&lt;Model!$B$15,Model!$B$22,0))/(1-Model!$B$9)/(1+Model!$B$18)^46))</f>
        <v/>
      </c>
      <c r="BI17" s="7">
        <f>IF(A17="","",IF((A17+47)&gt;Model!$B$4,0,MAX(0,Model!$B$6-IF((A17+47)&gt;=Model!$B$11,Model!$B$20,0)-IF(47&lt;Model!$B$15,Model!$B$22,0))/(1-Model!$B$9)/(1+Model!$B$18)^47))</f>
        <v/>
      </c>
      <c r="BJ17" s="7">
        <f>IF(A17="","",IF((A17+48)&gt;Model!$B$4,0,MAX(0,Model!$B$6-IF((A17+48)&gt;=Model!$B$11,Model!$B$20,0)-IF(48&lt;Model!$B$15,Model!$B$22,0))/(1-Model!$B$9)/(1+Model!$B$18)^48))</f>
        <v/>
      </c>
      <c r="BK17" s="7">
        <f>IF(A17="","",IF((A17+49)&gt;Model!$B$4,0,MAX(0,Model!$B$6-IF((A17+49)&gt;=Model!$B$11,Model!$B$20,0)-IF(49&lt;Model!$B$15,Model!$B$22,0))/(1-Model!$B$9)/(1+Model!$B$18)^49))</f>
        <v/>
      </c>
      <c r="BL17" s="7">
        <f>IF(A17="","",IF((A17+50)&gt;Model!$B$4,0,MAX(0,Model!$B$6-IF((A17+50)&gt;=Model!$B$11,Model!$B$20,0)-IF(50&lt;Model!$B$15,Model!$B$22,0))/(1-Model!$B$9)/(1+Model!$B$18)^50))</f>
        <v/>
      </c>
      <c r="BM17" s="7">
        <f>IF(A17="","",IF((A17+51)&gt;Model!$B$4,0,MAX(0,Model!$B$6-IF((A17+51)&gt;=Model!$B$11,Model!$B$20,0)-IF(51&lt;Model!$B$15,Model!$B$22,0))/(1-Model!$B$9)/(1+Model!$B$18)^51))</f>
        <v/>
      </c>
      <c r="BN17" s="7">
        <f>IF(A17="","",IF((A17+52)&gt;Model!$B$4,0,MAX(0,Model!$B$6-IF((A17+52)&gt;=Model!$B$11,Model!$B$20,0)-IF(52&lt;Model!$B$15,Model!$B$22,0))/(1-Model!$B$9)/(1+Model!$B$18)^52))</f>
        <v/>
      </c>
      <c r="BO17" s="7">
        <f>IF(A17="","",IF((A17+53)&gt;Model!$B$4,0,MAX(0,Model!$B$6-IF((A17+53)&gt;=Model!$B$11,Model!$B$20,0)-IF(53&lt;Model!$B$15,Model!$B$22,0))/(1-Model!$B$9)/(1+Model!$B$18)^53))</f>
        <v/>
      </c>
      <c r="BP17" s="7">
        <f>IF(A17="","",IF((A17+54)&gt;Model!$B$4,0,MAX(0,Model!$B$6-IF((A17+54)&gt;=Model!$B$11,Model!$B$20,0)-IF(54&lt;Model!$B$15,Model!$B$22,0))/(1-Model!$B$9)/(1+Model!$B$18)^54))</f>
        <v/>
      </c>
      <c r="BQ17" s="7">
        <f>IF(A17="","",IF((A17+55)&gt;Model!$B$4,0,MAX(0,Model!$B$6-IF((A17+55)&gt;=Model!$B$11,Model!$B$20,0)-IF(55&lt;Model!$B$15,Model!$B$22,0))/(1-Model!$B$9)/(1+Model!$B$18)^55))</f>
        <v/>
      </c>
      <c r="BR17" s="7">
        <f>IF(A17="","",IF((A17+56)&gt;Model!$B$4,0,MAX(0,Model!$B$6-IF((A17+56)&gt;=Model!$B$11,Model!$B$20,0)-IF(56&lt;Model!$B$15,Model!$B$22,0))/(1-Model!$B$9)/(1+Model!$B$18)^56))</f>
        <v/>
      </c>
      <c r="BS17" s="7">
        <f>IF(A17="","",IF((A17+57)&gt;Model!$B$4,0,MAX(0,Model!$B$6-IF((A17+57)&gt;=Model!$B$11,Model!$B$20,0)-IF(57&lt;Model!$B$15,Model!$B$22,0))/(1-Model!$B$9)/(1+Model!$B$18)^57))</f>
        <v/>
      </c>
      <c r="BT17" s="7">
        <f>IF(A17="","",IF((A17+58)&gt;Model!$B$4,0,MAX(0,Model!$B$6-IF((A17+58)&gt;=Model!$B$11,Model!$B$20,0)-IF(58&lt;Model!$B$15,Model!$B$22,0))/(1-Model!$B$9)/(1+Model!$B$18)^58))</f>
        <v/>
      </c>
      <c r="BU17" s="7">
        <f>IF(A17="","",IF((A17+59)&gt;Model!$B$4,0,MAX(0,Model!$B$6-IF((A17+59)&gt;=Model!$B$11,Model!$B$20,0)-IF(59&lt;Model!$B$15,Model!$B$22,0))/(1-Model!$B$9)/(1+Model!$B$18)^59))</f>
        <v/>
      </c>
      <c r="BV17" s="7">
        <f>IF(A17="","",IF((A17+60)&gt;Model!$B$4,0,MAX(0,Model!$B$6-IF((A17+60)&gt;=Model!$B$11,Model!$B$20,0)-IF(60&lt;Model!$B$15,Model!$B$22,0))/(1-Model!$B$9)/(1+Model!$B$18)^60))</f>
        <v/>
      </c>
      <c r="BW17" s="7">
        <f>IF(A17="","",IF((A17+61)&gt;Model!$B$4,0,MAX(0,Model!$B$6-IF((A17+61)&gt;=Model!$B$11,Model!$B$20,0)-IF(61&lt;Model!$B$15,Model!$B$22,0))/(1-Model!$B$9)/(1+Model!$B$18)^61))</f>
        <v/>
      </c>
      <c r="BX17" s="7">
        <f>IF(A17="","",IF((A17+62)&gt;Model!$B$4,0,MAX(0,Model!$B$6-IF((A17+62)&gt;=Model!$B$11,Model!$B$20,0)-IF(62&lt;Model!$B$15,Model!$B$22,0))/(1-Model!$B$9)/(1+Model!$B$18)^62))</f>
        <v/>
      </c>
      <c r="BY17" s="7">
        <f>IF(A17="","",IF((A17+63)&gt;Model!$B$4,0,MAX(0,Model!$B$6-IF((A17+63)&gt;=Model!$B$11,Model!$B$20,0)-IF(63&lt;Model!$B$15,Model!$B$22,0))/(1-Model!$B$9)/(1+Model!$B$18)^63))</f>
        <v/>
      </c>
      <c r="BZ17" s="7">
        <f>IF(A17="","",IF((A17+64)&gt;Model!$B$4,0,MAX(0,Model!$B$6-IF((A17+64)&gt;=Model!$B$11,Model!$B$20,0)-IF(64&lt;Model!$B$15,Model!$B$22,0))/(1-Model!$B$9)/(1+Model!$B$18)^64))</f>
        <v/>
      </c>
      <c r="CA17" s="7">
        <f>IF(A17="","",IF((A17+65)&gt;Model!$B$4,0,MAX(0,Model!$B$6-IF((A17+65)&gt;=Model!$B$11,Model!$B$20,0)-IF(65&lt;Model!$B$15,Model!$B$22,0))/(1-Model!$B$9)/(1+Model!$B$18)^65))</f>
        <v/>
      </c>
      <c r="CB17" s="7">
        <f>IF(A17="","",IF((A17+66)&gt;Model!$B$4,0,MAX(0,Model!$B$6-IF((A17+66)&gt;=Model!$B$11,Model!$B$20,0)-IF(66&lt;Model!$B$15,Model!$B$22,0))/(1-Model!$B$9)/(1+Model!$B$18)^66))</f>
        <v/>
      </c>
      <c r="CC17" s="7">
        <f>IF(A17="","",IF((A17+67)&gt;Model!$B$4,0,MAX(0,Model!$B$6-IF((A17+67)&gt;=Model!$B$11,Model!$B$20,0)-IF(67&lt;Model!$B$15,Model!$B$22,0))/(1-Model!$B$9)/(1+Model!$B$18)^67))</f>
        <v/>
      </c>
      <c r="CD17" s="7">
        <f>IF(A17="","",IF((A17+68)&gt;Model!$B$4,0,MAX(0,Model!$B$6-IF((A17+68)&gt;=Model!$B$11,Model!$B$20,0)-IF(68&lt;Model!$B$15,Model!$B$22,0))/(1-Model!$B$9)/(1+Model!$B$18)^68))</f>
        <v/>
      </c>
      <c r="CE17" s="7">
        <f>IF(A17="","",IF((A17+69)&gt;Model!$B$4,0,MAX(0,Model!$B$6-IF((A17+69)&gt;=Model!$B$11,Model!$B$20,0)-IF(69&lt;Model!$B$15,Model!$B$22,0))/(1-Model!$B$9)/(1+Model!$B$18)^69))</f>
        <v/>
      </c>
      <c r="CF17" s="7">
        <f>IF(A17="","",IF((A17+70)&gt;Model!$B$4,0,MAX(0,Model!$B$6-IF((A17+70)&gt;=Model!$B$11,Model!$B$20,0)-IF(70&lt;Model!$B$15,Model!$B$22,0))/(1-Model!$B$9)/(1+Model!$B$18)^70))</f>
        <v/>
      </c>
      <c r="CG17" s="7">
        <f>IF(A17="","",IF((A17+71)&gt;Model!$B$4,0,MAX(0,Model!$B$6-IF((A17+71)&gt;=Model!$B$11,Model!$B$20,0)-IF(71&lt;Model!$B$15,Model!$B$22,0))/(1-Model!$B$9)/(1+Model!$B$18)^71))</f>
        <v/>
      </c>
      <c r="CH17" s="7">
        <f>IF(A17="","",IF((A17+72)&gt;Model!$B$4,0,MAX(0,Model!$B$6-IF((A17+72)&gt;=Model!$B$11,Model!$B$20,0)-IF(72&lt;Model!$B$15,Model!$B$22,0))/(1-Model!$B$9)/(1+Model!$B$18)^72))</f>
        <v/>
      </c>
      <c r="CI17" s="7">
        <f>IF(A17="","",IF((A17+73)&gt;Model!$B$4,0,MAX(0,Model!$B$6-IF((A17+73)&gt;=Model!$B$11,Model!$B$20,0)-IF(73&lt;Model!$B$15,Model!$B$22,0))/(1-Model!$B$9)/(1+Model!$B$18)^73))</f>
        <v/>
      </c>
      <c r="CJ17" s="7">
        <f>IF(A17="","",IF((A17+74)&gt;Model!$B$4,0,MAX(0,Model!$B$6-IF((A17+74)&gt;=Model!$B$11,Model!$B$20,0)-IF(74&lt;Model!$B$15,Model!$B$22,0))/(1-Model!$B$9)/(1+Model!$B$18)^74))</f>
        <v/>
      </c>
      <c r="CK17" s="7">
        <f>IF(A17="","",IF((A17+75)&gt;Model!$B$4,0,MAX(0,Model!$B$6-IF((A17+75)&gt;=Model!$B$11,Model!$B$20,0)-IF(75&lt;Model!$B$15,Model!$B$22,0))/(1-Model!$B$9)/(1+Model!$B$18)^75))</f>
        <v/>
      </c>
      <c r="CL17" s="7">
        <f>IF(A17="","",IF((A17+76)&gt;Model!$B$4,0,MAX(0,Model!$B$6-IF((A17+76)&gt;=Model!$B$11,Model!$B$20,0)-IF(76&lt;Model!$B$15,Model!$B$22,0))/(1-Model!$B$9)/(1+Model!$B$18)^76))</f>
        <v/>
      </c>
      <c r="CM17" s="7">
        <f>IF(A17="","",IF((A17+77)&gt;Model!$B$4,0,MAX(0,Model!$B$6-IF((A17+77)&gt;=Model!$B$11,Model!$B$20,0)-IF(77&lt;Model!$B$15,Model!$B$22,0))/(1-Model!$B$9)/(1+Model!$B$18)^77))</f>
        <v/>
      </c>
      <c r="CN17" s="7">
        <f>IF(A17="","",IF((A17+78)&gt;Model!$B$4,0,MAX(0,Model!$B$6-IF((A17+78)&gt;=Model!$B$11,Model!$B$20,0)-IF(78&lt;Model!$B$15,Model!$B$22,0))/(1-Model!$B$9)/(1+Model!$B$18)^78))</f>
        <v/>
      </c>
      <c r="CO17" s="7">
        <f>IF(A17="","",IF((A17+79)&gt;Model!$B$4,0,MAX(0,Model!$B$6-IF((A17+79)&gt;=Model!$B$11,Model!$B$20,0)-IF(79&lt;Model!$B$15,Model!$B$22,0))/(1-Model!$B$9)/(1+Model!$B$18)^79))</f>
        <v/>
      </c>
      <c r="CP17" s="7">
        <f>IF(A17="","",IF((A17+80)&gt;Model!$B$4,0,MAX(0,Model!$B$6-IF((A17+80)&gt;=Model!$B$11,Model!$B$20,0)-IF(80&lt;Model!$B$15,Model!$B$22,0))/(1-Model!$B$9)/(1+Model!$B$18)^80))</f>
        <v/>
      </c>
      <c r="CQ17" s="7">
        <f>IF(A17="","",IF((A17+81)&gt;Model!$B$4,0,MAX(0,Model!$B$6-IF((A17+81)&gt;=Model!$B$11,Model!$B$20,0)-IF(81&lt;Model!$B$15,Model!$B$22,0))/(1-Model!$B$9)/(1+Model!$B$18)^81))</f>
        <v/>
      </c>
      <c r="CR17" s="7">
        <f>IF(A17="","",IF((A17+82)&gt;Model!$B$4,0,MAX(0,Model!$B$6-IF((A17+82)&gt;=Model!$B$11,Model!$B$20,0)-IF(82&lt;Model!$B$15,Model!$B$22,0))/(1-Model!$B$9)/(1+Model!$B$18)^82))</f>
        <v/>
      </c>
      <c r="CS17" s="7">
        <f>IF(A17="","",IF((A17+83)&gt;Model!$B$4,0,MAX(0,Model!$B$6-IF((A17+83)&gt;=Model!$B$11,Model!$B$20,0)-IF(83&lt;Model!$B$15,Model!$B$22,0))/(1-Model!$B$9)/(1+Model!$B$18)^83))</f>
        <v/>
      </c>
      <c r="CT17" s="7">
        <f>IF(A17="","",IF((A17+84)&gt;Model!$B$4,0,MAX(0,Model!$B$6-IF((A17+84)&gt;=Model!$B$11,Model!$B$20,0)-IF(84&lt;Model!$B$15,Model!$B$22,0))/(1-Model!$B$9)/(1+Model!$B$18)^84))</f>
        <v/>
      </c>
      <c r="CU17" s="7">
        <f>IF(A17="","",IF((A17+85)&gt;Model!$B$4,0,MAX(0,Model!$B$6-IF((A17+85)&gt;=Model!$B$11,Model!$B$20,0)-IF(85&lt;Model!$B$15,Model!$B$22,0))/(1-Model!$B$9)/(1+Model!$B$18)^85))</f>
        <v/>
      </c>
      <c r="CV17" s="7">
        <f>IF(A17="","",IF((A17+86)&gt;Model!$B$4,0,MAX(0,Model!$B$6-IF((A17+86)&gt;=Model!$B$11,Model!$B$20,0)-IF(86&lt;Model!$B$15,Model!$B$22,0))/(1-Model!$B$9)/(1+Model!$B$18)^86))</f>
        <v/>
      </c>
      <c r="CW17" s="7">
        <f>IF(A17="","",IF((A17+87)&gt;Model!$B$4,0,MAX(0,Model!$B$6-IF((A17+87)&gt;=Model!$B$11,Model!$B$20,0)-IF(87&lt;Model!$B$15,Model!$B$22,0))/(1-Model!$B$9)/(1+Model!$B$18)^87))</f>
        <v/>
      </c>
      <c r="CX17" s="7">
        <f>IF(A17="","",IF((A17+88)&gt;Model!$B$4,0,MAX(0,Model!$B$6-IF((A17+88)&gt;=Model!$B$11,Model!$B$20,0)-IF(88&lt;Model!$B$15,Model!$B$22,0))/(1-Model!$B$9)/(1+Model!$B$18)^88))</f>
        <v/>
      </c>
      <c r="CY17" s="7">
        <f>IF(A17="","",IF((A17+89)&gt;Model!$B$4,0,MAX(0,Model!$B$6-IF((A17+89)&gt;=Model!$B$11,Model!$B$20,0)-IF(89&lt;Model!$B$15,Model!$B$22,0))/(1-Model!$B$9)/(1+Model!$B$18)^89))</f>
        <v/>
      </c>
      <c r="CZ17" s="7">
        <f>IF(A17="","",IF((A17+90)&gt;Model!$B$4,0,MAX(0,Model!$B$6-IF((A17+90)&gt;=Model!$B$11,Model!$B$20,0)-IF(90&lt;Model!$B$15,Model!$B$22,0))/(1-Model!$B$9)/(1+Model!$B$18)^90))</f>
        <v/>
      </c>
      <c r="DA17" s="7">
        <f>IF(A17="","",IF((A17+91)&gt;Model!$B$4,0,MAX(0,Model!$B$6-IF((A17+91)&gt;=Model!$B$11,Model!$B$20,0)-IF(91&lt;Model!$B$15,Model!$B$22,0))/(1-Model!$B$9)/(1+Model!$B$18)^91))</f>
        <v/>
      </c>
      <c r="DB17" s="7">
        <f>IF(A17="","",IF((A17+92)&gt;Model!$B$4,0,MAX(0,Model!$B$6-IF((A17+92)&gt;=Model!$B$11,Model!$B$20,0)-IF(92&lt;Model!$B$15,Model!$B$22,0))/(1-Model!$B$9)/(1+Model!$B$18)^92))</f>
        <v/>
      </c>
      <c r="DC17" s="7">
        <f>IF(A17="","",IF((A17+93)&gt;Model!$B$4,0,MAX(0,Model!$B$6-IF((A17+93)&gt;=Model!$B$11,Model!$B$20,0)-IF(93&lt;Model!$B$15,Model!$B$22,0))/(1-Model!$B$9)/(1+Model!$B$18)^93))</f>
        <v/>
      </c>
      <c r="DD17" s="7">
        <f>IF(A17="","",IF((A17+94)&gt;Model!$B$4,0,MAX(0,Model!$B$6-IF((A17+94)&gt;=Model!$B$11,Model!$B$20,0)-IF(94&lt;Model!$B$15,Model!$B$22,0))/(1-Model!$B$9)/(1+Model!$B$18)^94))</f>
        <v/>
      </c>
      <c r="DE17" s="7">
        <f>IF(A17="","",IF((A17+95)&gt;Model!$B$4,0,MAX(0,Model!$B$6-IF((A17+95)&gt;=Model!$B$11,Model!$B$20,0)-IF(95&lt;Model!$B$15,Model!$B$22,0))/(1-Model!$B$9)/(1+Model!$B$18)^95))</f>
        <v/>
      </c>
      <c r="DF17" s="7">
        <f>IF(A17="","",IF((A17+96)&gt;Model!$B$4,0,MAX(0,Model!$B$6-IF((A17+96)&gt;=Model!$B$11,Model!$B$20,0)-IF(96&lt;Model!$B$15,Model!$B$22,0))/(1-Model!$B$9)/(1+Model!$B$18)^96))</f>
        <v/>
      </c>
      <c r="DG17" s="7">
        <f>IF(A17="","",IF((A17+97)&gt;Model!$B$4,0,MAX(0,Model!$B$6-IF((A17+97)&gt;=Model!$B$11,Model!$B$20,0)-IF(97&lt;Model!$B$15,Model!$B$22,0))/(1-Model!$B$9)/(1+Model!$B$18)^97))</f>
        <v/>
      </c>
      <c r="DH17" s="7">
        <f>IF(A17="","",IF((A17+98)&gt;Model!$B$4,0,MAX(0,Model!$B$6-IF((A17+98)&gt;=Model!$B$11,Model!$B$20,0)-IF(98&lt;Model!$B$15,Model!$B$22,0))/(1-Model!$B$9)/(1+Model!$B$18)^98))</f>
        <v/>
      </c>
      <c r="DI17" s="7">
        <f>IF(A17="","",IF((A17+99)&gt;Model!$B$4,0,MAX(0,Model!$B$6-IF((A17+99)&gt;=Model!$B$11,Model!$B$20,0)-IF(99&lt;Model!$B$15,Model!$B$22,0))/(1-Model!$B$9)/(1+Model!$B$18)^99))</f>
        <v/>
      </c>
      <c r="DJ17" s="7">
        <f>IF(A17="","",IF((A17+100)&gt;Model!$B$4,0,MAX(0,Model!$B$6-IF((A17+100)&gt;=Model!$B$11,Model!$B$20,0)-IF(100&lt;Model!$B$15,Model!$B$22,0))/(1-Model!$B$9)/(1+Model!$B$18)^100))</f>
        <v/>
      </c>
      <c r="DK17" s="7">
        <f>IF(A17="","",IF((A17+101)&gt;Model!$B$4,0,MAX(0,Model!$B$6-IF((A17+101)&gt;=Model!$B$11,Model!$B$20,0)-IF(101&lt;Model!$B$15,Model!$B$22,0))/(1-Model!$B$9)/(1+Model!$B$18)^101))</f>
        <v/>
      </c>
      <c r="DL17" s="7">
        <f>IF(A17="","",IF((A17+102)&gt;Model!$B$4,0,MAX(0,Model!$B$6-IF((A17+102)&gt;=Model!$B$11,Model!$B$20,0)-IF(102&lt;Model!$B$15,Model!$B$22,0))/(1-Model!$B$9)/(1+Model!$B$18)^102))</f>
        <v/>
      </c>
      <c r="DM17" s="7">
        <f>IF(A17="","",IF((A17+103)&gt;Model!$B$4,0,MAX(0,Model!$B$6-IF((A17+103)&gt;=Model!$B$11,Model!$B$20,0)-IF(103&lt;Model!$B$15,Model!$B$22,0))/(1-Model!$B$9)/(1+Model!$B$18)^103))</f>
        <v/>
      </c>
      <c r="DN17" s="7">
        <f>IF(A17="","",IF((A17+104)&gt;Model!$B$4,0,MAX(0,Model!$B$6-IF((A17+104)&gt;=Model!$B$11,Model!$B$20,0)-IF(104&lt;Model!$B$15,Model!$B$22,0))/(1-Model!$B$9)/(1+Model!$B$18)^104))</f>
        <v/>
      </c>
      <c r="DO17" s="7">
        <f>IF(A17="","",IF((A17+105)&gt;Model!$B$4,0,MAX(0,Model!$B$6-IF((A17+105)&gt;=Model!$B$11,Model!$B$20,0)-IF(105&lt;Model!$B$15,Model!$B$22,0))/(1-Model!$B$9)/(1+Model!$B$18)^105))</f>
        <v/>
      </c>
      <c r="DP17" s="7">
        <f>IF(A17="","",IF((A17+106)&gt;Model!$B$4,0,MAX(0,Model!$B$6-IF((A17+106)&gt;=Model!$B$11,Model!$B$20,0)-IF(106&lt;Model!$B$15,Model!$B$22,0))/(1-Model!$B$9)/(1+Model!$B$18)^106))</f>
        <v/>
      </c>
      <c r="DQ17" s="7">
        <f>IF(A17="","",IF((A17+107)&gt;Model!$B$4,0,MAX(0,Model!$B$6-IF((A17+107)&gt;=Model!$B$11,Model!$B$20,0)-IF(107&lt;Model!$B$15,Model!$B$22,0))/(1-Model!$B$9)/(1+Model!$B$18)^107))</f>
        <v/>
      </c>
      <c r="DR17" s="7">
        <f>IF(A17="","",IF((A17+108)&gt;Model!$B$4,0,MAX(0,Model!$B$6-IF((A17+108)&gt;=Model!$B$11,Model!$B$20,0)-IF(108&lt;Model!$B$15,Model!$B$22,0))/(1-Model!$B$9)/(1+Model!$B$18)^108))</f>
        <v/>
      </c>
      <c r="DS17" s="7">
        <f>IF(A17="","",IF((A17+109)&gt;Model!$B$4,0,MAX(0,Model!$B$6-IF((A17+109)&gt;=Model!$B$11,Model!$B$20,0)-IF(109&lt;Model!$B$15,Model!$B$22,0))/(1-Model!$B$9)/(1+Model!$B$18)^109))</f>
        <v/>
      </c>
      <c r="DT17" s="7">
        <f>IF(A17="","",IF((A17+110)&gt;Model!$B$4,0,MAX(0,Model!$B$6-IF((A17+110)&gt;=Model!$B$11,Model!$B$20,0)-IF(110&lt;Model!$B$15,Model!$B$22,0))/(1-Model!$B$9)/(1+Model!$B$18)^110))</f>
        <v/>
      </c>
      <c r="DU17" s="7">
        <f>IF(A17="","",IF((A17+111)&gt;Model!$B$4,0,MAX(0,Model!$B$6-IF((A17+111)&gt;=Model!$B$11,Model!$B$20,0)-IF(111&lt;Model!$B$15,Model!$B$22,0))/(1-Model!$B$9)/(1+Model!$B$18)^111))</f>
        <v/>
      </c>
      <c r="DV17" s="7">
        <f>IF(A17="","",IF((A17+112)&gt;Model!$B$4,0,MAX(0,Model!$B$6-IF((A17+112)&gt;=Model!$B$11,Model!$B$20,0)-IF(112&lt;Model!$B$15,Model!$B$22,0))/(1-Model!$B$9)/(1+Model!$B$18)^112))</f>
        <v/>
      </c>
      <c r="DW17" s="7">
        <f>IF(A17="","",IF((A17+113)&gt;Model!$B$4,0,MAX(0,Model!$B$6-IF((A17+113)&gt;=Model!$B$11,Model!$B$20,0)-IF(113&lt;Model!$B$15,Model!$B$22,0))/(1-Model!$B$9)/(1+Model!$B$18)^113))</f>
        <v/>
      </c>
      <c r="DX17" s="7">
        <f>IF(A17="","",IF((A17+114)&gt;Model!$B$4,0,MAX(0,Model!$B$6-IF((A17+114)&gt;=Model!$B$11,Model!$B$20,0)-IF(114&lt;Model!$B$15,Model!$B$22,0))/(1-Model!$B$9)/(1+Model!$B$18)^114))</f>
        <v/>
      </c>
      <c r="DY17" s="7">
        <f>IF(A17="","",IF((A17+115)&gt;Model!$B$4,0,MAX(0,Model!$B$6-IF((A17+115)&gt;=Model!$B$11,Model!$B$20,0)-IF(115&lt;Model!$B$15,Model!$B$22,0))/(1-Model!$B$9)/(1+Model!$B$18)^115))</f>
        <v/>
      </c>
      <c r="DZ17" s="7">
        <f>IF(A17="","",IF((A17+116)&gt;Model!$B$4,0,MAX(0,Model!$B$6-IF((A17+116)&gt;=Model!$B$11,Model!$B$20,0)-IF(116&lt;Model!$B$15,Model!$B$22,0))/(1-Model!$B$9)/(1+Model!$B$18)^116))</f>
        <v/>
      </c>
      <c r="EA17" s="7">
        <f>IF(A17="","",IF((A17+117)&gt;Model!$B$4,0,MAX(0,Model!$B$6-IF((A17+117)&gt;=Model!$B$11,Model!$B$20,0)-IF(117&lt;Model!$B$15,Model!$B$22,0))/(1-Model!$B$9)/(1+Model!$B$18)^117))</f>
        <v/>
      </c>
      <c r="EB17" s="7">
        <f>IF(A17="","",IF((A17+118)&gt;Model!$B$4,0,MAX(0,Model!$B$6-IF((A17+118)&gt;=Model!$B$11,Model!$B$20,0)-IF(118&lt;Model!$B$15,Model!$B$22,0))/(1-Model!$B$9)/(1+Model!$B$18)^118))</f>
        <v/>
      </c>
      <c r="EC17" s="7">
        <f>IF(A17="","",IF((A17+119)&gt;Model!$B$4,0,MAX(0,Model!$B$6-IF((A17+119)&gt;=Model!$B$11,Model!$B$20,0)-IF(119&lt;Model!$B$15,Model!$B$22,0))/(1-Model!$B$9)/(1+Model!$B$18)^119))</f>
        <v/>
      </c>
      <c r="ED17" s="7">
        <f>IF(A17="","",IF((A17+120)&gt;Model!$B$4,0,MAX(0,Model!$B$6-IF((A17+120)&gt;=Model!$B$11,Model!$B$20,0)-IF(120&lt;Model!$B$15,Model!$B$22,0))/(1-Model!$B$9)/(1+Model!$B$18)^120))</f>
        <v/>
      </c>
    </row>
    <row r="18">
      <c r="A18">
        <f>IF(Model!$B$10+ROW()-2&lt;=Model!$B$4,Model!$B$10+ROW()-2,"")</f>
        <v/>
      </c>
      <c r="B18">
        <f>IF(A18="","",A18-Model!$B$10)</f>
        <v/>
      </c>
      <c r="C18" s="7">
        <f>IF(A18="","",Model!$B$5*(1+Model!$B$18)^B18)</f>
        <v/>
      </c>
      <c r="D18" s="7">
        <f>IF(A18="","",SUM(N18:ED18))</f>
        <v/>
      </c>
      <c r="E18" s="7">
        <f>IF(A18="","",IF(A18&gt;=Model!$B$11,Model!$B$20,0))</f>
        <v/>
      </c>
      <c r="F18" s="7">
        <f>IF(A18="","",IF(Model!$B$15&gt;0,Model!$B$22,0))</f>
        <v/>
      </c>
      <c r="G18" s="7">
        <f>IF(A18="","",E18+F18)</f>
        <v/>
      </c>
      <c r="H18" s="7">
        <f>IF(A18="","",MAX(0,Model!$B$6-G18))</f>
        <v/>
      </c>
      <c r="I18" s="7">
        <f>IF(A18="","",H18/(1-Model!$B$9))</f>
        <v/>
      </c>
      <c r="J18" s="7">
        <f>IF(A18="","",C18-D18)</f>
        <v/>
      </c>
      <c r="K18">
        <f>IF(A18="","",C18&gt;=D18)</f>
        <v/>
      </c>
      <c r="L18" s="7">
        <f>IF(A18="","",IF(A18&gt;=Model!$B$11,Model!$B$19*(1+Model!$B$13)^B18,0))</f>
        <v/>
      </c>
      <c r="M18" s="7">
        <f>IF(A18="","",IF(Model!$B$15&gt;0,Model!$B$21*(1+Model!$B$13)^B18,0))</f>
        <v/>
      </c>
      <c r="N18" s="7">
        <f>IF(A18="","",IF((A18+0)&gt;Model!$B$4,0,MAX(0,Model!$B$6-IF((A18+0)&gt;=Model!$B$11,Model!$B$20,0)-IF(0&lt;Model!$B$15,Model!$B$22,0))/(1-Model!$B$9)/(1+Model!$B$18)^0))</f>
        <v/>
      </c>
      <c r="O18" s="7">
        <f>IF(A18="","",IF((A18+1)&gt;Model!$B$4,0,MAX(0,Model!$B$6-IF((A18+1)&gt;=Model!$B$11,Model!$B$20,0)-IF(1&lt;Model!$B$15,Model!$B$22,0))/(1-Model!$B$9)/(1+Model!$B$18)^1))</f>
        <v/>
      </c>
      <c r="P18" s="7">
        <f>IF(A18="","",IF((A18+2)&gt;Model!$B$4,0,MAX(0,Model!$B$6-IF((A18+2)&gt;=Model!$B$11,Model!$B$20,0)-IF(2&lt;Model!$B$15,Model!$B$22,0))/(1-Model!$B$9)/(1+Model!$B$18)^2))</f>
        <v/>
      </c>
      <c r="Q18" s="7">
        <f>IF(A18="","",IF((A18+3)&gt;Model!$B$4,0,MAX(0,Model!$B$6-IF((A18+3)&gt;=Model!$B$11,Model!$B$20,0)-IF(3&lt;Model!$B$15,Model!$B$22,0))/(1-Model!$B$9)/(1+Model!$B$18)^3))</f>
        <v/>
      </c>
      <c r="R18" s="7">
        <f>IF(A18="","",IF((A18+4)&gt;Model!$B$4,0,MAX(0,Model!$B$6-IF((A18+4)&gt;=Model!$B$11,Model!$B$20,0)-IF(4&lt;Model!$B$15,Model!$B$22,0))/(1-Model!$B$9)/(1+Model!$B$18)^4))</f>
        <v/>
      </c>
      <c r="S18" s="7">
        <f>IF(A18="","",IF((A18+5)&gt;Model!$B$4,0,MAX(0,Model!$B$6-IF((A18+5)&gt;=Model!$B$11,Model!$B$20,0)-IF(5&lt;Model!$B$15,Model!$B$22,0))/(1-Model!$B$9)/(1+Model!$B$18)^5))</f>
        <v/>
      </c>
      <c r="T18" s="7">
        <f>IF(A18="","",IF((A18+6)&gt;Model!$B$4,0,MAX(0,Model!$B$6-IF((A18+6)&gt;=Model!$B$11,Model!$B$20,0)-IF(6&lt;Model!$B$15,Model!$B$22,0))/(1-Model!$B$9)/(1+Model!$B$18)^6))</f>
        <v/>
      </c>
      <c r="U18" s="7">
        <f>IF(A18="","",IF((A18+7)&gt;Model!$B$4,0,MAX(0,Model!$B$6-IF((A18+7)&gt;=Model!$B$11,Model!$B$20,0)-IF(7&lt;Model!$B$15,Model!$B$22,0))/(1-Model!$B$9)/(1+Model!$B$18)^7))</f>
        <v/>
      </c>
      <c r="V18" s="7">
        <f>IF(A18="","",IF((A18+8)&gt;Model!$B$4,0,MAX(0,Model!$B$6-IF((A18+8)&gt;=Model!$B$11,Model!$B$20,0)-IF(8&lt;Model!$B$15,Model!$B$22,0))/(1-Model!$B$9)/(1+Model!$B$18)^8))</f>
        <v/>
      </c>
      <c r="W18" s="7">
        <f>IF(A18="","",IF((A18+9)&gt;Model!$B$4,0,MAX(0,Model!$B$6-IF((A18+9)&gt;=Model!$B$11,Model!$B$20,0)-IF(9&lt;Model!$B$15,Model!$B$22,0))/(1-Model!$B$9)/(1+Model!$B$18)^9))</f>
        <v/>
      </c>
      <c r="X18" s="7">
        <f>IF(A18="","",IF((A18+10)&gt;Model!$B$4,0,MAX(0,Model!$B$6-IF((A18+10)&gt;=Model!$B$11,Model!$B$20,0)-IF(10&lt;Model!$B$15,Model!$B$22,0))/(1-Model!$B$9)/(1+Model!$B$18)^10))</f>
        <v/>
      </c>
      <c r="Y18" s="7">
        <f>IF(A18="","",IF((A18+11)&gt;Model!$B$4,0,MAX(0,Model!$B$6-IF((A18+11)&gt;=Model!$B$11,Model!$B$20,0)-IF(11&lt;Model!$B$15,Model!$B$22,0))/(1-Model!$B$9)/(1+Model!$B$18)^11))</f>
        <v/>
      </c>
      <c r="Z18" s="7">
        <f>IF(A18="","",IF((A18+12)&gt;Model!$B$4,0,MAX(0,Model!$B$6-IF((A18+12)&gt;=Model!$B$11,Model!$B$20,0)-IF(12&lt;Model!$B$15,Model!$B$22,0))/(1-Model!$B$9)/(1+Model!$B$18)^12))</f>
        <v/>
      </c>
      <c r="AA18" s="7">
        <f>IF(A18="","",IF((A18+13)&gt;Model!$B$4,0,MAX(0,Model!$B$6-IF((A18+13)&gt;=Model!$B$11,Model!$B$20,0)-IF(13&lt;Model!$B$15,Model!$B$22,0))/(1-Model!$B$9)/(1+Model!$B$18)^13))</f>
        <v/>
      </c>
      <c r="AB18" s="7">
        <f>IF(A18="","",IF((A18+14)&gt;Model!$B$4,0,MAX(0,Model!$B$6-IF((A18+14)&gt;=Model!$B$11,Model!$B$20,0)-IF(14&lt;Model!$B$15,Model!$B$22,0))/(1-Model!$B$9)/(1+Model!$B$18)^14))</f>
        <v/>
      </c>
      <c r="AC18" s="7">
        <f>IF(A18="","",IF((A18+15)&gt;Model!$B$4,0,MAX(0,Model!$B$6-IF((A18+15)&gt;=Model!$B$11,Model!$B$20,0)-IF(15&lt;Model!$B$15,Model!$B$22,0))/(1-Model!$B$9)/(1+Model!$B$18)^15))</f>
        <v/>
      </c>
      <c r="AD18" s="7">
        <f>IF(A18="","",IF((A18+16)&gt;Model!$B$4,0,MAX(0,Model!$B$6-IF((A18+16)&gt;=Model!$B$11,Model!$B$20,0)-IF(16&lt;Model!$B$15,Model!$B$22,0))/(1-Model!$B$9)/(1+Model!$B$18)^16))</f>
        <v/>
      </c>
      <c r="AE18" s="7">
        <f>IF(A18="","",IF((A18+17)&gt;Model!$B$4,0,MAX(0,Model!$B$6-IF((A18+17)&gt;=Model!$B$11,Model!$B$20,0)-IF(17&lt;Model!$B$15,Model!$B$22,0))/(1-Model!$B$9)/(1+Model!$B$18)^17))</f>
        <v/>
      </c>
      <c r="AF18" s="7">
        <f>IF(A18="","",IF((A18+18)&gt;Model!$B$4,0,MAX(0,Model!$B$6-IF((A18+18)&gt;=Model!$B$11,Model!$B$20,0)-IF(18&lt;Model!$B$15,Model!$B$22,0))/(1-Model!$B$9)/(1+Model!$B$18)^18))</f>
        <v/>
      </c>
      <c r="AG18" s="7">
        <f>IF(A18="","",IF((A18+19)&gt;Model!$B$4,0,MAX(0,Model!$B$6-IF((A18+19)&gt;=Model!$B$11,Model!$B$20,0)-IF(19&lt;Model!$B$15,Model!$B$22,0))/(1-Model!$B$9)/(1+Model!$B$18)^19))</f>
        <v/>
      </c>
      <c r="AH18" s="7">
        <f>IF(A18="","",IF((A18+20)&gt;Model!$B$4,0,MAX(0,Model!$B$6-IF((A18+20)&gt;=Model!$B$11,Model!$B$20,0)-IF(20&lt;Model!$B$15,Model!$B$22,0))/(1-Model!$B$9)/(1+Model!$B$18)^20))</f>
        <v/>
      </c>
      <c r="AI18" s="7">
        <f>IF(A18="","",IF((A18+21)&gt;Model!$B$4,0,MAX(0,Model!$B$6-IF((A18+21)&gt;=Model!$B$11,Model!$B$20,0)-IF(21&lt;Model!$B$15,Model!$B$22,0))/(1-Model!$B$9)/(1+Model!$B$18)^21))</f>
        <v/>
      </c>
      <c r="AJ18" s="7">
        <f>IF(A18="","",IF((A18+22)&gt;Model!$B$4,0,MAX(0,Model!$B$6-IF((A18+22)&gt;=Model!$B$11,Model!$B$20,0)-IF(22&lt;Model!$B$15,Model!$B$22,0))/(1-Model!$B$9)/(1+Model!$B$18)^22))</f>
        <v/>
      </c>
      <c r="AK18" s="7">
        <f>IF(A18="","",IF((A18+23)&gt;Model!$B$4,0,MAX(0,Model!$B$6-IF((A18+23)&gt;=Model!$B$11,Model!$B$20,0)-IF(23&lt;Model!$B$15,Model!$B$22,0))/(1-Model!$B$9)/(1+Model!$B$18)^23))</f>
        <v/>
      </c>
      <c r="AL18" s="7">
        <f>IF(A18="","",IF((A18+24)&gt;Model!$B$4,0,MAX(0,Model!$B$6-IF((A18+24)&gt;=Model!$B$11,Model!$B$20,0)-IF(24&lt;Model!$B$15,Model!$B$22,0))/(1-Model!$B$9)/(1+Model!$B$18)^24))</f>
        <v/>
      </c>
      <c r="AM18" s="7">
        <f>IF(A18="","",IF((A18+25)&gt;Model!$B$4,0,MAX(0,Model!$B$6-IF((A18+25)&gt;=Model!$B$11,Model!$B$20,0)-IF(25&lt;Model!$B$15,Model!$B$22,0))/(1-Model!$B$9)/(1+Model!$B$18)^25))</f>
        <v/>
      </c>
      <c r="AN18" s="7">
        <f>IF(A18="","",IF((A18+26)&gt;Model!$B$4,0,MAX(0,Model!$B$6-IF((A18+26)&gt;=Model!$B$11,Model!$B$20,0)-IF(26&lt;Model!$B$15,Model!$B$22,0))/(1-Model!$B$9)/(1+Model!$B$18)^26))</f>
        <v/>
      </c>
      <c r="AO18" s="7">
        <f>IF(A18="","",IF((A18+27)&gt;Model!$B$4,0,MAX(0,Model!$B$6-IF((A18+27)&gt;=Model!$B$11,Model!$B$20,0)-IF(27&lt;Model!$B$15,Model!$B$22,0))/(1-Model!$B$9)/(1+Model!$B$18)^27))</f>
        <v/>
      </c>
      <c r="AP18" s="7">
        <f>IF(A18="","",IF((A18+28)&gt;Model!$B$4,0,MAX(0,Model!$B$6-IF((A18+28)&gt;=Model!$B$11,Model!$B$20,0)-IF(28&lt;Model!$B$15,Model!$B$22,0))/(1-Model!$B$9)/(1+Model!$B$18)^28))</f>
        <v/>
      </c>
      <c r="AQ18" s="7">
        <f>IF(A18="","",IF((A18+29)&gt;Model!$B$4,0,MAX(0,Model!$B$6-IF((A18+29)&gt;=Model!$B$11,Model!$B$20,0)-IF(29&lt;Model!$B$15,Model!$B$22,0))/(1-Model!$B$9)/(1+Model!$B$18)^29))</f>
        <v/>
      </c>
      <c r="AR18" s="7">
        <f>IF(A18="","",IF((A18+30)&gt;Model!$B$4,0,MAX(0,Model!$B$6-IF((A18+30)&gt;=Model!$B$11,Model!$B$20,0)-IF(30&lt;Model!$B$15,Model!$B$22,0))/(1-Model!$B$9)/(1+Model!$B$18)^30))</f>
        <v/>
      </c>
      <c r="AS18" s="7">
        <f>IF(A18="","",IF((A18+31)&gt;Model!$B$4,0,MAX(0,Model!$B$6-IF((A18+31)&gt;=Model!$B$11,Model!$B$20,0)-IF(31&lt;Model!$B$15,Model!$B$22,0))/(1-Model!$B$9)/(1+Model!$B$18)^31))</f>
        <v/>
      </c>
      <c r="AT18" s="7">
        <f>IF(A18="","",IF((A18+32)&gt;Model!$B$4,0,MAX(0,Model!$B$6-IF((A18+32)&gt;=Model!$B$11,Model!$B$20,0)-IF(32&lt;Model!$B$15,Model!$B$22,0))/(1-Model!$B$9)/(1+Model!$B$18)^32))</f>
        <v/>
      </c>
      <c r="AU18" s="7">
        <f>IF(A18="","",IF((A18+33)&gt;Model!$B$4,0,MAX(0,Model!$B$6-IF((A18+33)&gt;=Model!$B$11,Model!$B$20,0)-IF(33&lt;Model!$B$15,Model!$B$22,0))/(1-Model!$B$9)/(1+Model!$B$18)^33))</f>
        <v/>
      </c>
      <c r="AV18" s="7">
        <f>IF(A18="","",IF((A18+34)&gt;Model!$B$4,0,MAX(0,Model!$B$6-IF((A18+34)&gt;=Model!$B$11,Model!$B$20,0)-IF(34&lt;Model!$B$15,Model!$B$22,0))/(1-Model!$B$9)/(1+Model!$B$18)^34))</f>
        <v/>
      </c>
      <c r="AW18" s="7">
        <f>IF(A18="","",IF((A18+35)&gt;Model!$B$4,0,MAX(0,Model!$B$6-IF((A18+35)&gt;=Model!$B$11,Model!$B$20,0)-IF(35&lt;Model!$B$15,Model!$B$22,0))/(1-Model!$B$9)/(1+Model!$B$18)^35))</f>
        <v/>
      </c>
      <c r="AX18" s="7">
        <f>IF(A18="","",IF((A18+36)&gt;Model!$B$4,0,MAX(0,Model!$B$6-IF((A18+36)&gt;=Model!$B$11,Model!$B$20,0)-IF(36&lt;Model!$B$15,Model!$B$22,0))/(1-Model!$B$9)/(1+Model!$B$18)^36))</f>
        <v/>
      </c>
      <c r="AY18" s="7">
        <f>IF(A18="","",IF((A18+37)&gt;Model!$B$4,0,MAX(0,Model!$B$6-IF((A18+37)&gt;=Model!$B$11,Model!$B$20,0)-IF(37&lt;Model!$B$15,Model!$B$22,0))/(1-Model!$B$9)/(1+Model!$B$18)^37))</f>
        <v/>
      </c>
      <c r="AZ18" s="7">
        <f>IF(A18="","",IF((A18+38)&gt;Model!$B$4,0,MAX(0,Model!$B$6-IF((A18+38)&gt;=Model!$B$11,Model!$B$20,0)-IF(38&lt;Model!$B$15,Model!$B$22,0))/(1-Model!$B$9)/(1+Model!$B$18)^38))</f>
        <v/>
      </c>
      <c r="BA18" s="7">
        <f>IF(A18="","",IF((A18+39)&gt;Model!$B$4,0,MAX(0,Model!$B$6-IF((A18+39)&gt;=Model!$B$11,Model!$B$20,0)-IF(39&lt;Model!$B$15,Model!$B$22,0))/(1-Model!$B$9)/(1+Model!$B$18)^39))</f>
        <v/>
      </c>
      <c r="BB18" s="7">
        <f>IF(A18="","",IF((A18+40)&gt;Model!$B$4,0,MAX(0,Model!$B$6-IF((A18+40)&gt;=Model!$B$11,Model!$B$20,0)-IF(40&lt;Model!$B$15,Model!$B$22,0))/(1-Model!$B$9)/(1+Model!$B$18)^40))</f>
        <v/>
      </c>
      <c r="BC18" s="7">
        <f>IF(A18="","",IF((A18+41)&gt;Model!$B$4,0,MAX(0,Model!$B$6-IF((A18+41)&gt;=Model!$B$11,Model!$B$20,0)-IF(41&lt;Model!$B$15,Model!$B$22,0))/(1-Model!$B$9)/(1+Model!$B$18)^41))</f>
        <v/>
      </c>
      <c r="BD18" s="7">
        <f>IF(A18="","",IF((A18+42)&gt;Model!$B$4,0,MAX(0,Model!$B$6-IF((A18+42)&gt;=Model!$B$11,Model!$B$20,0)-IF(42&lt;Model!$B$15,Model!$B$22,0))/(1-Model!$B$9)/(1+Model!$B$18)^42))</f>
        <v/>
      </c>
      <c r="BE18" s="7">
        <f>IF(A18="","",IF((A18+43)&gt;Model!$B$4,0,MAX(0,Model!$B$6-IF((A18+43)&gt;=Model!$B$11,Model!$B$20,0)-IF(43&lt;Model!$B$15,Model!$B$22,0))/(1-Model!$B$9)/(1+Model!$B$18)^43))</f>
        <v/>
      </c>
      <c r="BF18" s="7">
        <f>IF(A18="","",IF((A18+44)&gt;Model!$B$4,0,MAX(0,Model!$B$6-IF((A18+44)&gt;=Model!$B$11,Model!$B$20,0)-IF(44&lt;Model!$B$15,Model!$B$22,0))/(1-Model!$B$9)/(1+Model!$B$18)^44))</f>
        <v/>
      </c>
      <c r="BG18" s="7">
        <f>IF(A18="","",IF((A18+45)&gt;Model!$B$4,0,MAX(0,Model!$B$6-IF((A18+45)&gt;=Model!$B$11,Model!$B$20,0)-IF(45&lt;Model!$B$15,Model!$B$22,0))/(1-Model!$B$9)/(1+Model!$B$18)^45))</f>
        <v/>
      </c>
      <c r="BH18" s="7">
        <f>IF(A18="","",IF((A18+46)&gt;Model!$B$4,0,MAX(0,Model!$B$6-IF((A18+46)&gt;=Model!$B$11,Model!$B$20,0)-IF(46&lt;Model!$B$15,Model!$B$22,0))/(1-Model!$B$9)/(1+Model!$B$18)^46))</f>
        <v/>
      </c>
      <c r="BI18" s="7">
        <f>IF(A18="","",IF((A18+47)&gt;Model!$B$4,0,MAX(0,Model!$B$6-IF((A18+47)&gt;=Model!$B$11,Model!$B$20,0)-IF(47&lt;Model!$B$15,Model!$B$22,0))/(1-Model!$B$9)/(1+Model!$B$18)^47))</f>
        <v/>
      </c>
      <c r="BJ18" s="7">
        <f>IF(A18="","",IF((A18+48)&gt;Model!$B$4,0,MAX(0,Model!$B$6-IF((A18+48)&gt;=Model!$B$11,Model!$B$20,0)-IF(48&lt;Model!$B$15,Model!$B$22,0))/(1-Model!$B$9)/(1+Model!$B$18)^48))</f>
        <v/>
      </c>
      <c r="BK18" s="7">
        <f>IF(A18="","",IF((A18+49)&gt;Model!$B$4,0,MAX(0,Model!$B$6-IF((A18+49)&gt;=Model!$B$11,Model!$B$20,0)-IF(49&lt;Model!$B$15,Model!$B$22,0))/(1-Model!$B$9)/(1+Model!$B$18)^49))</f>
        <v/>
      </c>
      <c r="BL18" s="7">
        <f>IF(A18="","",IF((A18+50)&gt;Model!$B$4,0,MAX(0,Model!$B$6-IF((A18+50)&gt;=Model!$B$11,Model!$B$20,0)-IF(50&lt;Model!$B$15,Model!$B$22,0))/(1-Model!$B$9)/(1+Model!$B$18)^50))</f>
        <v/>
      </c>
      <c r="BM18" s="7">
        <f>IF(A18="","",IF((A18+51)&gt;Model!$B$4,0,MAX(0,Model!$B$6-IF((A18+51)&gt;=Model!$B$11,Model!$B$20,0)-IF(51&lt;Model!$B$15,Model!$B$22,0))/(1-Model!$B$9)/(1+Model!$B$18)^51))</f>
        <v/>
      </c>
      <c r="BN18" s="7">
        <f>IF(A18="","",IF((A18+52)&gt;Model!$B$4,0,MAX(0,Model!$B$6-IF((A18+52)&gt;=Model!$B$11,Model!$B$20,0)-IF(52&lt;Model!$B$15,Model!$B$22,0))/(1-Model!$B$9)/(1+Model!$B$18)^52))</f>
        <v/>
      </c>
      <c r="BO18" s="7">
        <f>IF(A18="","",IF((A18+53)&gt;Model!$B$4,0,MAX(0,Model!$B$6-IF((A18+53)&gt;=Model!$B$11,Model!$B$20,0)-IF(53&lt;Model!$B$15,Model!$B$22,0))/(1-Model!$B$9)/(1+Model!$B$18)^53))</f>
        <v/>
      </c>
      <c r="BP18" s="7">
        <f>IF(A18="","",IF((A18+54)&gt;Model!$B$4,0,MAX(0,Model!$B$6-IF((A18+54)&gt;=Model!$B$11,Model!$B$20,0)-IF(54&lt;Model!$B$15,Model!$B$22,0))/(1-Model!$B$9)/(1+Model!$B$18)^54))</f>
        <v/>
      </c>
      <c r="BQ18" s="7">
        <f>IF(A18="","",IF((A18+55)&gt;Model!$B$4,0,MAX(0,Model!$B$6-IF((A18+55)&gt;=Model!$B$11,Model!$B$20,0)-IF(55&lt;Model!$B$15,Model!$B$22,0))/(1-Model!$B$9)/(1+Model!$B$18)^55))</f>
        <v/>
      </c>
      <c r="BR18" s="7">
        <f>IF(A18="","",IF((A18+56)&gt;Model!$B$4,0,MAX(0,Model!$B$6-IF((A18+56)&gt;=Model!$B$11,Model!$B$20,0)-IF(56&lt;Model!$B$15,Model!$B$22,0))/(1-Model!$B$9)/(1+Model!$B$18)^56))</f>
        <v/>
      </c>
      <c r="BS18" s="7">
        <f>IF(A18="","",IF((A18+57)&gt;Model!$B$4,0,MAX(0,Model!$B$6-IF((A18+57)&gt;=Model!$B$11,Model!$B$20,0)-IF(57&lt;Model!$B$15,Model!$B$22,0))/(1-Model!$B$9)/(1+Model!$B$18)^57))</f>
        <v/>
      </c>
      <c r="BT18" s="7">
        <f>IF(A18="","",IF((A18+58)&gt;Model!$B$4,0,MAX(0,Model!$B$6-IF((A18+58)&gt;=Model!$B$11,Model!$B$20,0)-IF(58&lt;Model!$B$15,Model!$B$22,0))/(1-Model!$B$9)/(1+Model!$B$18)^58))</f>
        <v/>
      </c>
      <c r="BU18" s="7">
        <f>IF(A18="","",IF((A18+59)&gt;Model!$B$4,0,MAX(0,Model!$B$6-IF((A18+59)&gt;=Model!$B$11,Model!$B$20,0)-IF(59&lt;Model!$B$15,Model!$B$22,0))/(1-Model!$B$9)/(1+Model!$B$18)^59))</f>
        <v/>
      </c>
      <c r="BV18" s="7">
        <f>IF(A18="","",IF((A18+60)&gt;Model!$B$4,0,MAX(0,Model!$B$6-IF((A18+60)&gt;=Model!$B$11,Model!$B$20,0)-IF(60&lt;Model!$B$15,Model!$B$22,0))/(1-Model!$B$9)/(1+Model!$B$18)^60))</f>
        <v/>
      </c>
      <c r="BW18" s="7">
        <f>IF(A18="","",IF((A18+61)&gt;Model!$B$4,0,MAX(0,Model!$B$6-IF((A18+61)&gt;=Model!$B$11,Model!$B$20,0)-IF(61&lt;Model!$B$15,Model!$B$22,0))/(1-Model!$B$9)/(1+Model!$B$18)^61))</f>
        <v/>
      </c>
      <c r="BX18" s="7">
        <f>IF(A18="","",IF((A18+62)&gt;Model!$B$4,0,MAX(0,Model!$B$6-IF((A18+62)&gt;=Model!$B$11,Model!$B$20,0)-IF(62&lt;Model!$B$15,Model!$B$22,0))/(1-Model!$B$9)/(1+Model!$B$18)^62))</f>
        <v/>
      </c>
      <c r="BY18" s="7">
        <f>IF(A18="","",IF((A18+63)&gt;Model!$B$4,0,MAX(0,Model!$B$6-IF((A18+63)&gt;=Model!$B$11,Model!$B$20,0)-IF(63&lt;Model!$B$15,Model!$B$22,0))/(1-Model!$B$9)/(1+Model!$B$18)^63))</f>
        <v/>
      </c>
      <c r="BZ18" s="7">
        <f>IF(A18="","",IF((A18+64)&gt;Model!$B$4,0,MAX(0,Model!$B$6-IF((A18+64)&gt;=Model!$B$11,Model!$B$20,0)-IF(64&lt;Model!$B$15,Model!$B$22,0))/(1-Model!$B$9)/(1+Model!$B$18)^64))</f>
        <v/>
      </c>
      <c r="CA18" s="7">
        <f>IF(A18="","",IF((A18+65)&gt;Model!$B$4,0,MAX(0,Model!$B$6-IF((A18+65)&gt;=Model!$B$11,Model!$B$20,0)-IF(65&lt;Model!$B$15,Model!$B$22,0))/(1-Model!$B$9)/(1+Model!$B$18)^65))</f>
        <v/>
      </c>
      <c r="CB18" s="7">
        <f>IF(A18="","",IF((A18+66)&gt;Model!$B$4,0,MAX(0,Model!$B$6-IF((A18+66)&gt;=Model!$B$11,Model!$B$20,0)-IF(66&lt;Model!$B$15,Model!$B$22,0))/(1-Model!$B$9)/(1+Model!$B$18)^66))</f>
        <v/>
      </c>
      <c r="CC18" s="7">
        <f>IF(A18="","",IF((A18+67)&gt;Model!$B$4,0,MAX(0,Model!$B$6-IF((A18+67)&gt;=Model!$B$11,Model!$B$20,0)-IF(67&lt;Model!$B$15,Model!$B$22,0))/(1-Model!$B$9)/(1+Model!$B$18)^67))</f>
        <v/>
      </c>
      <c r="CD18" s="7">
        <f>IF(A18="","",IF((A18+68)&gt;Model!$B$4,0,MAX(0,Model!$B$6-IF((A18+68)&gt;=Model!$B$11,Model!$B$20,0)-IF(68&lt;Model!$B$15,Model!$B$22,0))/(1-Model!$B$9)/(1+Model!$B$18)^68))</f>
        <v/>
      </c>
      <c r="CE18" s="7">
        <f>IF(A18="","",IF((A18+69)&gt;Model!$B$4,0,MAX(0,Model!$B$6-IF((A18+69)&gt;=Model!$B$11,Model!$B$20,0)-IF(69&lt;Model!$B$15,Model!$B$22,0))/(1-Model!$B$9)/(1+Model!$B$18)^69))</f>
        <v/>
      </c>
      <c r="CF18" s="7">
        <f>IF(A18="","",IF((A18+70)&gt;Model!$B$4,0,MAX(0,Model!$B$6-IF((A18+70)&gt;=Model!$B$11,Model!$B$20,0)-IF(70&lt;Model!$B$15,Model!$B$22,0))/(1-Model!$B$9)/(1+Model!$B$18)^70))</f>
        <v/>
      </c>
      <c r="CG18" s="7">
        <f>IF(A18="","",IF((A18+71)&gt;Model!$B$4,0,MAX(0,Model!$B$6-IF((A18+71)&gt;=Model!$B$11,Model!$B$20,0)-IF(71&lt;Model!$B$15,Model!$B$22,0))/(1-Model!$B$9)/(1+Model!$B$18)^71))</f>
        <v/>
      </c>
      <c r="CH18" s="7">
        <f>IF(A18="","",IF((A18+72)&gt;Model!$B$4,0,MAX(0,Model!$B$6-IF((A18+72)&gt;=Model!$B$11,Model!$B$20,0)-IF(72&lt;Model!$B$15,Model!$B$22,0))/(1-Model!$B$9)/(1+Model!$B$18)^72))</f>
        <v/>
      </c>
      <c r="CI18" s="7">
        <f>IF(A18="","",IF((A18+73)&gt;Model!$B$4,0,MAX(0,Model!$B$6-IF((A18+73)&gt;=Model!$B$11,Model!$B$20,0)-IF(73&lt;Model!$B$15,Model!$B$22,0))/(1-Model!$B$9)/(1+Model!$B$18)^73))</f>
        <v/>
      </c>
      <c r="CJ18" s="7">
        <f>IF(A18="","",IF((A18+74)&gt;Model!$B$4,0,MAX(0,Model!$B$6-IF((A18+74)&gt;=Model!$B$11,Model!$B$20,0)-IF(74&lt;Model!$B$15,Model!$B$22,0))/(1-Model!$B$9)/(1+Model!$B$18)^74))</f>
        <v/>
      </c>
      <c r="CK18" s="7">
        <f>IF(A18="","",IF((A18+75)&gt;Model!$B$4,0,MAX(0,Model!$B$6-IF((A18+75)&gt;=Model!$B$11,Model!$B$20,0)-IF(75&lt;Model!$B$15,Model!$B$22,0))/(1-Model!$B$9)/(1+Model!$B$18)^75))</f>
        <v/>
      </c>
      <c r="CL18" s="7">
        <f>IF(A18="","",IF((A18+76)&gt;Model!$B$4,0,MAX(0,Model!$B$6-IF((A18+76)&gt;=Model!$B$11,Model!$B$20,0)-IF(76&lt;Model!$B$15,Model!$B$22,0))/(1-Model!$B$9)/(1+Model!$B$18)^76))</f>
        <v/>
      </c>
      <c r="CM18" s="7">
        <f>IF(A18="","",IF((A18+77)&gt;Model!$B$4,0,MAX(0,Model!$B$6-IF((A18+77)&gt;=Model!$B$11,Model!$B$20,0)-IF(77&lt;Model!$B$15,Model!$B$22,0))/(1-Model!$B$9)/(1+Model!$B$18)^77))</f>
        <v/>
      </c>
      <c r="CN18" s="7">
        <f>IF(A18="","",IF((A18+78)&gt;Model!$B$4,0,MAX(0,Model!$B$6-IF((A18+78)&gt;=Model!$B$11,Model!$B$20,0)-IF(78&lt;Model!$B$15,Model!$B$22,0))/(1-Model!$B$9)/(1+Model!$B$18)^78))</f>
        <v/>
      </c>
      <c r="CO18" s="7">
        <f>IF(A18="","",IF((A18+79)&gt;Model!$B$4,0,MAX(0,Model!$B$6-IF((A18+79)&gt;=Model!$B$11,Model!$B$20,0)-IF(79&lt;Model!$B$15,Model!$B$22,0))/(1-Model!$B$9)/(1+Model!$B$18)^79))</f>
        <v/>
      </c>
      <c r="CP18" s="7">
        <f>IF(A18="","",IF((A18+80)&gt;Model!$B$4,0,MAX(0,Model!$B$6-IF((A18+80)&gt;=Model!$B$11,Model!$B$20,0)-IF(80&lt;Model!$B$15,Model!$B$22,0))/(1-Model!$B$9)/(1+Model!$B$18)^80))</f>
        <v/>
      </c>
      <c r="CQ18" s="7">
        <f>IF(A18="","",IF((A18+81)&gt;Model!$B$4,0,MAX(0,Model!$B$6-IF((A18+81)&gt;=Model!$B$11,Model!$B$20,0)-IF(81&lt;Model!$B$15,Model!$B$22,0))/(1-Model!$B$9)/(1+Model!$B$18)^81))</f>
        <v/>
      </c>
      <c r="CR18" s="7">
        <f>IF(A18="","",IF((A18+82)&gt;Model!$B$4,0,MAX(0,Model!$B$6-IF((A18+82)&gt;=Model!$B$11,Model!$B$20,0)-IF(82&lt;Model!$B$15,Model!$B$22,0))/(1-Model!$B$9)/(1+Model!$B$18)^82))</f>
        <v/>
      </c>
      <c r="CS18" s="7">
        <f>IF(A18="","",IF((A18+83)&gt;Model!$B$4,0,MAX(0,Model!$B$6-IF((A18+83)&gt;=Model!$B$11,Model!$B$20,0)-IF(83&lt;Model!$B$15,Model!$B$22,0))/(1-Model!$B$9)/(1+Model!$B$18)^83))</f>
        <v/>
      </c>
      <c r="CT18" s="7">
        <f>IF(A18="","",IF((A18+84)&gt;Model!$B$4,0,MAX(0,Model!$B$6-IF((A18+84)&gt;=Model!$B$11,Model!$B$20,0)-IF(84&lt;Model!$B$15,Model!$B$22,0))/(1-Model!$B$9)/(1+Model!$B$18)^84))</f>
        <v/>
      </c>
      <c r="CU18" s="7">
        <f>IF(A18="","",IF((A18+85)&gt;Model!$B$4,0,MAX(0,Model!$B$6-IF((A18+85)&gt;=Model!$B$11,Model!$B$20,0)-IF(85&lt;Model!$B$15,Model!$B$22,0))/(1-Model!$B$9)/(1+Model!$B$18)^85))</f>
        <v/>
      </c>
      <c r="CV18" s="7">
        <f>IF(A18="","",IF((A18+86)&gt;Model!$B$4,0,MAX(0,Model!$B$6-IF((A18+86)&gt;=Model!$B$11,Model!$B$20,0)-IF(86&lt;Model!$B$15,Model!$B$22,0))/(1-Model!$B$9)/(1+Model!$B$18)^86))</f>
        <v/>
      </c>
      <c r="CW18" s="7">
        <f>IF(A18="","",IF((A18+87)&gt;Model!$B$4,0,MAX(0,Model!$B$6-IF((A18+87)&gt;=Model!$B$11,Model!$B$20,0)-IF(87&lt;Model!$B$15,Model!$B$22,0))/(1-Model!$B$9)/(1+Model!$B$18)^87))</f>
        <v/>
      </c>
      <c r="CX18" s="7">
        <f>IF(A18="","",IF((A18+88)&gt;Model!$B$4,0,MAX(0,Model!$B$6-IF((A18+88)&gt;=Model!$B$11,Model!$B$20,0)-IF(88&lt;Model!$B$15,Model!$B$22,0))/(1-Model!$B$9)/(1+Model!$B$18)^88))</f>
        <v/>
      </c>
      <c r="CY18" s="7">
        <f>IF(A18="","",IF((A18+89)&gt;Model!$B$4,0,MAX(0,Model!$B$6-IF((A18+89)&gt;=Model!$B$11,Model!$B$20,0)-IF(89&lt;Model!$B$15,Model!$B$22,0))/(1-Model!$B$9)/(1+Model!$B$18)^89))</f>
        <v/>
      </c>
      <c r="CZ18" s="7">
        <f>IF(A18="","",IF((A18+90)&gt;Model!$B$4,0,MAX(0,Model!$B$6-IF((A18+90)&gt;=Model!$B$11,Model!$B$20,0)-IF(90&lt;Model!$B$15,Model!$B$22,0))/(1-Model!$B$9)/(1+Model!$B$18)^90))</f>
        <v/>
      </c>
      <c r="DA18" s="7">
        <f>IF(A18="","",IF((A18+91)&gt;Model!$B$4,0,MAX(0,Model!$B$6-IF((A18+91)&gt;=Model!$B$11,Model!$B$20,0)-IF(91&lt;Model!$B$15,Model!$B$22,0))/(1-Model!$B$9)/(1+Model!$B$18)^91))</f>
        <v/>
      </c>
      <c r="DB18" s="7">
        <f>IF(A18="","",IF((A18+92)&gt;Model!$B$4,0,MAX(0,Model!$B$6-IF((A18+92)&gt;=Model!$B$11,Model!$B$20,0)-IF(92&lt;Model!$B$15,Model!$B$22,0))/(1-Model!$B$9)/(1+Model!$B$18)^92))</f>
        <v/>
      </c>
      <c r="DC18" s="7">
        <f>IF(A18="","",IF((A18+93)&gt;Model!$B$4,0,MAX(0,Model!$B$6-IF((A18+93)&gt;=Model!$B$11,Model!$B$20,0)-IF(93&lt;Model!$B$15,Model!$B$22,0))/(1-Model!$B$9)/(1+Model!$B$18)^93))</f>
        <v/>
      </c>
      <c r="DD18" s="7">
        <f>IF(A18="","",IF((A18+94)&gt;Model!$B$4,0,MAX(0,Model!$B$6-IF((A18+94)&gt;=Model!$B$11,Model!$B$20,0)-IF(94&lt;Model!$B$15,Model!$B$22,0))/(1-Model!$B$9)/(1+Model!$B$18)^94))</f>
        <v/>
      </c>
      <c r="DE18" s="7">
        <f>IF(A18="","",IF((A18+95)&gt;Model!$B$4,0,MAX(0,Model!$B$6-IF((A18+95)&gt;=Model!$B$11,Model!$B$20,0)-IF(95&lt;Model!$B$15,Model!$B$22,0))/(1-Model!$B$9)/(1+Model!$B$18)^95))</f>
        <v/>
      </c>
      <c r="DF18" s="7">
        <f>IF(A18="","",IF((A18+96)&gt;Model!$B$4,0,MAX(0,Model!$B$6-IF((A18+96)&gt;=Model!$B$11,Model!$B$20,0)-IF(96&lt;Model!$B$15,Model!$B$22,0))/(1-Model!$B$9)/(1+Model!$B$18)^96))</f>
        <v/>
      </c>
      <c r="DG18" s="7">
        <f>IF(A18="","",IF((A18+97)&gt;Model!$B$4,0,MAX(0,Model!$B$6-IF((A18+97)&gt;=Model!$B$11,Model!$B$20,0)-IF(97&lt;Model!$B$15,Model!$B$22,0))/(1-Model!$B$9)/(1+Model!$B$18)^97))</f>
        <v/>
      </c>
      <c r="DH18" s="7">
        <f>IF(A18="","",IF((A18+98)&gt;Model!$B$4,0,MAX(0,Model!$B$6-IF((A18+98)&gt;=Model!$B$11,Model!$B$20,0)-IF(98&lt;Model!$B$15,Model!$B$22,0))/(1-Model!$B$9)/(1+Model!$B$18)^98))</f>
        <v/>
      </c>
      <c r="DI18" s="7">
        <f>IF(A18="","",IF((A18+99)&gt;Model!$B$4,0,MAX(0,Model!$B$6-IF((A18+99)&gt;=Model!$B$11,Model!$B$20,0)-IF(99&lt;Model!$B$15,Model!$B$22,0))/(1-Model!$B$9)/(1+Model!$B$18)^99))</f>
        <v/>
      </c>
      <c r="DJ18" s="7">
        <f>IF(A18="","",IF((A18+100)&gt;Model!$B$4,0,MAX(0,Model!$B$6-IF((A18+100)&gt;=Model!$B$11,Model!$B$20,0)-IF(100&lt;Model!$B$15,Model!$B$22,0))/(1-Model!$B$9)/(1+Model!$B$18)^100))</f>
        <v/>
      </c>
      <c r="DK18" s="7">
        <f>IF(A18="","",IF((A18+101)&gt;Model!$B$4,0,MAX(0,Model!$B$6-IF((A18+101)&gt;=Model!$B$11,Model!$B$20,0)-IF(101&lt;Model!$B$15,Model!$B$22,0))/(1-Model!$B$9)/(1+Model!$B$18)^101))</f>
        <v/>
      </c>
      <c r="DL18" s="7">
        <f>IF(A18="","",IF((A18+102)&gt;Model!$B$4,0,MAX(0,Model!$B$6-IF((A18+102)&gt;=Model!$B$11,Model!$B$20,0)-IF(102&lt;Model!$B$15,Model!$B$22,0))/(1-Model!$B$9)/(1+Model!$B$18)^102))</f>
        <v/>
      </c>
      <c r="DM18" s="7">
        <f>IF(A18="","",IF((A18+103)&gt;Model!$B$4,0,MAX(0,Model!$B$6-IF((A18+103)&gt;=Model!$B$11,Model!$B$20,0)-IF(103&lt;Model!$B$15,Model!$B$22,0))/(1-Model!$B$9)/(1+Model!$B$18)^103))</f>
        <v/>
      </c>
      <c r="DN18" s="7">
        <f>IF(A18="","",IF((A18+104)&gt;Model!$B$4,0,MAX(0,Model!$B$6-IF((A18+104)&gt;=Model!$B$11,Model!$B$20,0)-IF(104&lt;Model!$B$15,Model!$B$22,0))/(1-Model!$B$9)/(1+Model!$B$18)^104))</f>
        <v/>
      </c>
      <c r="DO18" s="7">
        <f>IF(A18="","",IF((A18+105)&gt;Model!$B$4,0,MAX(0,Model!$B$6-IF((A18+105)&gt;=Model!$B$11,Model!$B$20,0)-IF(105&lt;Model!$B$15,Model!$B$22,0))/(1-Model!$B$9)/(1+Model!$B$18)^105))</f>
        <v/>
      </c>
      <c r="DP18" s="7">
        <f>IF(A18="","",IF((A18+106)&gt;Model!$B$4,0,MAX(0,Model!$B$6-IF((A18+106)&gt;=Model!$B$11,Model!$B$20,0)-IF(106&lt;Model!$B$15,Model!$B$22,0))/(1-Model!$B$9)/(1+Model!$B$18)^106))</f>
        <v/>
      </c>
      <c r="DQ18" s="7">
        <f>IF(A18="","",IF((A18+107)&gt;Model!$B$4,0,MAX(0,Model!$B$6-IF((A18+107)&gt;=Model!$B$11,Model!$B$20,0)-IF(107&lt;Model!$B$15,Model!$B$22,0))/(1-Model!$B$9)/(1+Model!$B$18)^107))</f>
        <v/>
      </c>
      <c r="DR18" s="7">
        <f>IF(A18="","",IF((A18+108)&gt;Model!$B$4,0,MAX(0,Model!$B$6-IF((A18+108)&gt;=Model!$B$11,Model!$B$20,0)-IF(108&lt;Model!$B$15,Model!$B$22,0))/(1-Model!$B$9)/(1+Model!$B$18)^108))</f>
        <v/>
      </c>
      <c r="DS18" s="7">
        <f>IF(A18="","",IF((A18+109)&gt;Model!$B$4,0,MAX(0,Model!$B$6-IF((A18+109)&gt;=Model!$B$11,Model!$B$20,0)-IF(109&lt;Model!$B$15,Model!$B$22,0))/(1-Model!$B$9)/(1+Model!$B$18)^109))</f>
        <v/>
      </c>
      <c r="DT18" s="7">
        <f>IF(A18="","",IF((A18+110)&gt;Model!$B$4,0,MAX(0,Model!$B$6-IF((A18+110)&gt;=Model!$B$11,Model!$B$20,0)-IF(110&lt;Model!$B$15,Model!$B$22,0))/(1-Model!$B$9)/(1+Model!$B$18)^110))</f>
        <v/>
      </c>
      <c r="DU18" s="7">
        <f>IF(A18="","",IF((A18+111)&gt;Model!$B$4,0,MAX(0,Model!$B$6-IF((A18+111)&gt;=Model!$B$11,Model!$B$20,0)-IF(111&lt;Model!$B$15,Model!$B$22,0))/(1-Model!$B$9)/(1+Model!$B$18)^111))</f>
        <v/>
      </c>
      <c r="DV18" s="7">
        <f>IF(A18="","",IF((A18+112)&gt;Model!$B$4,0,MAX(0,Model!$B$6-IF((A18+112)&gt;=Model!$B$11,Model!$B$20,0)-IF(112&lt;Model!$B$15,Model!$B$22,0))/(1-Model!$B$9)/(1+Model!$B$18)^112))</f>
        <v/>
      </c>
      <c r="DW18" s="7">
        <f>IF(A18="","",IF((A18+113)&gt;Model!$B$4,0,MAX(0,Model!$B$6-IF((A18+113)&gt;=Model!$B$11,Model!$B$20,0)-IF(113&lt;Model!$B$15,Model!$B$22,0))/(1-Model!$B$9)/(1+Model!$B$18)^113))</f>
        <v/>
      </c>
      <c r="DX18" s="7">
        <f>IF(A18="","",IF((A18+114)&gt;Model!$B$4,0,MAX(0,Model!$B$6-IF((A18+114)&gt;=Model!$B$11,Model!$B$20,0)-IF(114&lt;Model!$B$15,Model!$B$22,0))/(1-Model!$B$9)/(1+Model!$B$18)^114))</f>
        <v/>
      </c>
      <c r="DY18" s="7">
        <f>IF(A18="","",IF((A18+115)&gt;Model!$B$4,0,MAX(0,Model!$B$6-IF((A18+115)&gt;=Model!$B$11,Model!$B$20,0)-IF(115&lt;Model!$B$15,Model!$B$22,0))/(1-Model!$B$9)/(1+Model!$B$18)^115))</f>
        <v/>
      </c>
      <c r="DZ18" s="7">
        <f>IF(A18="","",IF((A18+116)&gt;Model!$B$4,0,MAX(0,Model!$B$6-IF((A18+116)&gt;=Model!$B$11,Model!$B$20,0)-IF(116&lt;Model!$B$15,Model!$B$22,0))/(1-Model!$B$9)/(1+Model!$B$18)^116))</f>
        <v/>
      </c>
      <c r="EA18" s="7">
        <f>IF(A18="","",IF((A18+117)&gt;Model!$B$4,0,MAX(0,Model!$B$6-IF((A18+117)&gt;=Model!$B$11,Model!$B$20,0)-IF(117&lt;Model!$B$15,Model!$B$22,0))/(1-Model!$B$9)/(1+Model!$B$18)^117))</f>
        <v/>
      </c>
      <c r="EB18" s="7">
        <f>IF(A18="","",IF((A18+118)&gt;Model!$B$4,0,MAX(0,Model!$B$6-IF((A18+118)&gt;=Model!$B$11,Model!$B$20,0)-IF(118&lt;Model!$B$15,Model!$B$22,0))/(1-Model!$B$9)/(1+Model!$B$18)^118))</f>
        <v/>
      </c>
      <c r="EC18" s="7">
        <f>IF(A18="","",IF((A18+119)&gt;Model!$B$4,0,MAX(0,Model!$B$6-IF((A18+119)&gt;=Model!$B$11,Model!$B$20,0)-IF(119&lt;Model!$B$15,Model!$B$22,0))/(1-Model!$B$9)/(1+Model!$B$18)^119))</f>
        <v/>
      </c>
      <c r="ED18" s="7">
        <f>IF(A18="","",IF((A18+120)&gt;Model!$B$4,0,MAX(0,Model!$B$6-IF((A18+120)&gt;=Model!$B$11,Model!$B$20,0)-IF(120&lt;Model!$B$15,Model!$B$22,0))/(1-Model!$B$9)/(1+Model!$B$18)^120))</f>
        <v/>
      </c>
    </row>
    <row r="19">
      <c r="A19">
        <f>IF(Model!$B$10+ROW()-2&lt;=Model!$B$4,Model!$B$10+ROW()-2,"")</f>
        <v/>
      </c>
      <c r="B19">
        <f>IF(A19="","",A19-Model!$B$10)</f>
        <v/>
      </c>
      <c r="C19" s="7">
        <f>IF(A19="","",Model!$B$5*(1+Model!$B$18)^B19)</f>
        <v/>
      </c>
      <c r="D19" s="7">
        <f>IF(A19="","",SUM(N19:ED19))</f>
        <v/>
      </c>
      <c r="E19" s="7">
        <f>IF(A19="","",IF(A19&gt;=Model!$B$11,Model!$B$20,0))</f>
        <v/>
      </c>
      <c r="F19" s="7">
        <f>IF(A19="","",IF(Model!$B$15&gt;0,Model!$B$22,0))</f>
        <v/>
      </c>
      <c r="G19" s="7">
        <f>IF(A19="","",E19+F19)</f>
        <v/>
      </c>
      <c r="H19" s="7">
        <f>IF(A19="","",MAX(0,Model!$B$6-G19))</f>
        <v/>
      </c>
      <c r="I19" s="7">
        <f>IF(A19="","",H19/(1-Model!$B$9))</f>
        <v/>
      </c>
      <c r="J19" s="7">
        <f>IF(A19="","",C19-D19)</f>
        <v/>
      </c>
      <c r="K19">
        <f>IF(A19="","",C19&gt;=D19)</f>
        <v/>
      </c>
      <c r="L19" s="7">
        <f>IF(A19="","",IF(A19&gt;=Model!$B$11,Model!$B$19*(1+Model!$B$13)^B19,0))</f>
        <v/>
      </c>
      <c r="M19" s="7">
        <f>IF(A19="","",IF(Model!$B$15&gt;0,Model!$B$21*(1+Model!$B$13)^B19,0))</f>
        <v/>
      </c>
      <c r="N19" s="7">
        <f>IF(A19="","",IF((A19+0)&gt;Model!$B$4,0,MAX(0,Model!$B$6-IF((A19+0)&gt;=Model!$B$11,Model!$B$20,0)-IF(0&lt;Model!$B$15,Model!$B$22,0))/(1-Model!$B$9)/(1+Model!$B$18)^0))</f>
        <v/>
      </c>
      <c r="O19" s="7">
        <f>IF(A19="","",IF((A19+1)&gt;Model!$B$4,0,MAX(0,Model!$B$6-IF((A19+1)&gt;=Model!$B$11,Model!$B$20,0)-IF(1&lt;Model!$B$15,Model!$B$22,0))/(1-Model!$B$9)/(1+Model!$B$18)^1))</f>
        <v/>
      </c>
      <c r="P19" s="7">
        <f>IF(A19="","",IF((A19+2)&gt;Model!$B$4,0,MAX(0,Model!$B$6-IF((A19+2)&gt;=Model!$B$11,Model!$B$20,0)-IF(2&lt;Model!$B$15,Model!$B$22,0))/(1-Model!$B$9)/(1+Model!$B$18)^2))</f>
        <v/>
      </c>
      <c r="Q19" s="7">
        <f>IF(A19="","",IF((A19+3)&gt;Model!$B$4,0,MAX(0,Model!$B$6-IF((A19+3)&gt;=Model!$B$11,Model!$B$20,0)-IF(3&lt;Model!$B$15,Model!$B$22,0))/(1-Model!$B$9)/(1+Model!$B$18)^3))</f>
        <v/>
      </c>
      <c r="R19" s="7">
        <f>IF(A19="","",IF((A19+4)&gt;Model!$B$4,0,MAX(0,Model!$B$6-IF((A19+4)&gt;=Model!$B$11,Model!$B$20,0)-IF(4&lt;Model!$B$15,Model!$B$22,0))/(1-Model!$B$9)/(1+Model!$B$18)^4))</f>
        <v/>
      </c>
      <c r="S19" s="7">
        <f>IF(A19="","",IF((A19+5)&gt;Model!$B$4,0,MAX(0,Model!$B$6-IF((A19+5)&gt;=Model!$B$11,Model!$B$20,0)-IF(5&lt;Model!$B$15,Model!$B$22,0))/(1-Model!$B$9)/(1+Model!$B$18)^5))</f>
        <v/>
      </c>
      <c r="T19" s="7">
        <f>IF(A19="","",IF((A19+6)&gt;Model!$B$4,0,MAX(0,Model!$B$6-IF((A19+6)&gt;=Model!$B$11,Model!$B$20,0)-IF(6&lt;Model!$B$15,Model!$B$22,0))/(1-Model!$B$9)/(1+Model!$B$18)^6))</f>
        <v/>
      </c>
      <c r="U19" s="7">
        <f>IF(A19="","",IF((A19+7)&gt;Model!$B$4,0,MAX(0,Model!$B$6-IF((A19+7)&gt;=Model!$B$11,Model!$B$20,0)-IF(7&lt;Model!$B$15,Model!$B$22,0))/(1-Model!$B$9)/(1+Model!$B$18)^7))</f>
        <v/>
      </c>
      <c r="V19" s="7">
        <f>IF(A19="","",IF((A19+8)&gt;Model!$B$4,0,MAX(0,Model!$B$6-IF((A19+8)&gt;=Model!$B$11,Model!$B$20,0)-IF(8&lt;Model!$B$15,Model!$B$22,0))/(1-Model!$B$9)/(1+Model!$B$18)^8))</f>
        <v/>
      </c>
      <c r="W19" s="7">
        <f>IF(A19="","",IF((A19+9)&gt;Model!$B$4,0,MAX(0,Model!$B$6-IF((A19+9)&gt;=Model!$B$11,Model!$B$20,0)-IF(9&lt;Model!$B$15,Model!$B$22,0))/(1-Model!$B$9)/(1+Model!$B$18)^9))</f>
        <v/>
      </c>
      <c r="X19" s="7">
        <f>IF(A19="","",IF((A19+10)&gt;Model!$B$4,0,MAX(0,Model!$B$6-IF((A19+10)&gt;=Model!$B$11,Model!$B$20,0)-IF(10&lt;Model!$B$15,Model!$B$22,0))/(1-Model!$B$9)/(1+Model!$B$18)^10))</f>
        <v/>
      </c>
      <c r="Y19" s="7">
        <f>IF(A19="","",IF((A19+11)&gt;Model!$B$4,0,MAX(0,Model!$B$6-IF((A19+11)&gt;=Model!$B$11,Model!$B$20,0)-IF(11&lt;Model!$B$15,Model!$B$22,0))/(1-Model!$B$9)/(1+Model!$B$18)^11))</f>
        <v/>
      </c>
      <c r="Z19" s="7">
        <f>IF(A19="","",IF((A19+12)&gt;Model!$B$4,0,MAX(0,Model!$B$6-IF((A19+12)&gt;=Model!$B$11,Model!$B$20,0)-IF(12&lt;Model!$B$15,Model!$B$22,0))/(1-Model!$B$9)/(1+Model!$B$18)^12))</f>
        <v/>
      </c>
      <c r="AA19" s="7">
        <f>IF(A19="","",IF((A19+13)&gt;Model!$B$4,0,MAX(0,Model!$B$6-IF((A19+13)&gt;=Model!$B$11,Model!$B$20,0)-IF(13&lt;Model!$B$15,Model!$B$22,0))/(1-Model!$B$9)/(1+Model!$B$18)^13))</f>
        <v/>
      </c>
      <c r="AB19" s="7">
        <f>IF(A19="","",IF((A19+14)&gt;Model!$B$4,0,MAX(0,Model!$B$6-IF((A19+14)&gt;=Model!$B$11,Model!$B$20,0)-IF(14&lt;Model!$B$15,Model!$B$22,0))/(1-Model!$B$9)/(1+Model!$B$18)^14))</f>
        <v/>
      </c>
      <c r="AC19" s="7">
        <f>IF(A19="","",IF((A19+15)&gt;Model!$B$4,0,MAX(0,Model!$B$6-IF((A19+15)&gt;=Model!$B$11,Model!$B$20,0)-IF(15&lt;Model!$B$15,Model!$B$22,0))/(1-Model!$B$9)/(1+Model!$B$18)^15))</f>
        <v/>
      </c>
      <c r="AD19" s="7">
        <f>IF(A19="","",IF((A19+16)&gt;Model!$B$4,0,MAX(0,Model!$B$6-IF((A19+16)&gt;=Model!$B$11,Model!$B$20,0)-IF(16&lt;Model!$B$15,Model!$B$22,0))/(1-Model!$B$9)/(1+Model!$B$18)^16))</f>
        <v/>
      </c>
      <c r="AE19" s="7">
        <f>IF(A19="","",IF((A19+17)&gt;Model!$B$4,0,MAX(0,Model!$B$6-IF((A19+17)&gt;=Model!$B$11,Model!$B$20,0)-IF(17&lt;Model!$B$15,Model!$B$22,0))/(1-Model!$B$9)/(1+Model!$B$18)^17))</f>
        <v/>
      </c>
      <c r="AF19" s="7">
        <f>IF(A19="","",IF((A19+18)&gt;Model!$B$4,0,MAX(0,Model!$B$6-IF((A19+18)&gt;=Model!$B$11,Model!$B$20,0)-IF(18&lt;Model!$B$15,Model!$B$22,0))/(1-Model!$B$9)/(1+Model!$B$18)^18))</f>
        <v/>
      </c>
      <c r="AG19" s="7">
        <f>IF(A19="","",IF((A19+19)&gt;Model!$B$4,0,MAX(0,Model!$B$6-IF((A19+19)&gt;=Model!$B$11,Model!$B$20,0)-IF(19&lt;Model!$B$15,Model!$B$22,0))/(1-Model!$B$9)/(1+Model!$B$18)^19))</f>
        <v/>
      </c>
      <c r="AH19" s="7">
        <f>IF(A19="","",IF((A19+20)&gt;Model!$B$4,0,MAX(0,Model!$B$6-IF((A19+20)&gt;=Model!$B$11,Model!$B$20,0)-IF(20&lt;Model!$B$15,Model!$B$22,0))/(1-Model!$B$9)/(1+Model!$B$18)^20))</f>
        <v/>
      </c>
      <c r="AI19" s="7">
        <f>IF(A19="","",IF((A19+21)&gt;Model!$B$4,0,MAX(0,Model!$B$6-IF((A19+21)&gt;=Model!$B$11,Model!$B$20,0)-IF(21&lt;Model!$B$15,Model!$B$22,0))/(1-Model!$B$9)/(1+Model!$B$18)^21))</f>
        <v/>
      </c>
      <c r="AJ19" s="7">
        <f>IF(A19="","",IF((A19+22)&gt;Model!$B$4,0,MAX(0,Model!$B$6-IF((A19+22)&gt;=Model!$B$11,Model!$B$20,0)-IF(22&lt;Model!$B$15,Model!$B$22,0))/(1-Model!$B$9)/(1+Model!$B$18)^22))</f>
        <v/>
      </c>
      <c r="AK19" s="7">
        <f>IF(A19="","",IF((A19+23)&gt;Model!$B$4,0,MAX(0,Model!$B$6-IF((A19+23)&gt;=Model!$B$11,Model!$B$20,0)-IF(23&lt;Model!$B$15,Model!$B$22,0))/(1-Model!$B$9)/(1+Model!$B$18)^23))</f>
        <v/>
      </c>
      <c r="AL19" s="7">
        <f>IF(A19="","",IF((A19+24)&gt;Model!$B$4,0,MAX(0,Model!$B$6-IF((A19+24)&gt;=Model!$B$11,Model!$B$20,0)-IF(24&lt;Model!$B$15,Model!$B$22,0))/(1-Model!$B$9)/(1+Model!$B$18)^24))</f>
        <v/>
      </c>
      <c r="AM19" s="7">
        <f>IF(A19="","",IF((A19+25)&gt;Model!$B$4,0,MAX(0,Model!$B$6-IF((A19+25)&gt;=Model!$B$11,Model!$B$20,0)-IF(25&lt;Model!$B$15,Model!$B$22,0))/(1-Model!$B$9)/(1+Model!$B$18)^25))</f>
        <v/>
      </c>
      <c r="AN19" s="7">
        <f>IF(A19="","",IF((A19+26)&gt;Model!$B$4,0,MAX(0,Model!$B$6-IF((A19+26)&gt;=Model!$B$11,Model!$B$20,0)-IF(26&lt;Model!$B$15,Model!$B$22,0))/(1-Model!$B$9)/(1+Model!$B$18)^26))</f>
        <v/>
      </c>
      <c r="AO19" s="7">
        <f>IF(A19="","",IF((A19+27)&gt;Model!$B$4,0,MAX(0,Model!$B$6-IF((A19+27)&gt;=Model!$B$11,Model!$B$20,0)-IF(27&lt;Model!$B$15,Model!$B$22,0))/(1-Model!$B$9)/(1+Model!$B$18)^27))</f>
        <v/>
      </c>
      <c r="AP19" s="7">
        <f>IF(A19="","",IF((A19+28)&gt;Model!$B$4,0,MAX(0,Model!$B$6-IF((A19+28)&gt;=Model!$B$11,Model!$B$20,0)-IF(28&lt;Model!$B$15,Model!$B$22,0))/(1-Model!$B$9)/(1+Model!$B$18)^28))</f>
        <v/>
      </c>
      <c r="AQ19" s="7">
        <f>IF(A19="","",IF((A19+29)&gt;Model!$B$4,0,MAX(0,Model!$B$6-IF((A19+29)&gt;=Model!$B$11,Model!$B$20,0)-IF(29&lt;Model!$B$15,Model!$B$22,0))/(1-Model!$B$9)/(1+Model!$B$18)^29))</f>
        <v/>
      </c>
      <c r="AR19" s="7">
        <f>IF(A19="","",IF((A19+30)&gt;Model!$B$4,0,MAX(0,Model!$B$6-IF((A19+30)&gt;=Model!$B$11,Model!$B$20,0)-IF(30&lt;Model!$B$15,Model!$B$22,0))/(1-Model!$B$9)/(1+Model!$B$18)^30))</f>
        <v/>
      </c>
      <c r="AS19" s="7">
        <f>IF(A19="","",IF((A19+31)&gt;Model!$B$4,0,MAX(0,Model!$B$6-IF((A19+31)&gt;=Model!$B$11,Model!$B$20,0)-IF(31&lt;Model!$B$15,Model!$B$22,0))/(1-Model!$B$9)/(1+Model!$B$18)^31))</f>
        <v/>
      </c>
      <c r="AT19" s="7">
        <f>IF(A19="","",IF((A19+32)&gt;Model!$B$4,0,MAX(0,Model!$B$6-IF((A19+32)&gt;=Model!$B$11,Model!$B$20,0)-IF(32&lt;Model!$B$15,Model!$B$22,0))/(1-Model!$B$9)/(1+Model!$B$18)^32))</f>
        <v/>
      </c>
      <c r="AU19" s="7">
        <f>IF(A19="","",IF((A19+33)&gt;Model!$B$4,0,MAX(0,Model!$B$6-IF((A19+33)&gt;=Model!$B$11,Model!$B$20,0)-IF(33&lt;Model!$B$15,Model!$B$22,0))/(1-Model!$B$9)/(1+Model!$B$18)^33))</f>
        <v/>
      </c>
      <c r="AV19" s="7">
        <f>IF(A19="","",IF((A19+34)&gt;Model!$B$4,0,MAX(0,Model!$B$6-IF((A19+34)&gt;=Model!$B$11,Model!$B$20,0)-IF(34&lt;Model!$B$15,Model!$B$22,0))/(1-Model!$B$9)/(1+Model!$B$18)^34))</f>
        <v/>
      </c>
      <c r="AW19" s="7">
        <f>IF(A19="","",IF((A19+35)&gt;Model!$B$4,0,MAX(0,Model!$B$6-IF((A19+35)&gt;=Model!$B$11,Model!$B$20,0)-IF(35&lt;Model!$B$15,Model!$B$22,0))/(1-Model!$B$9)/(1+Model!$B$18)^35))</f>
        <v/>
      </c>
      <c r="AX19" s="7">
        <f>IF(A19="","",IF((A19+36)&gt;Model!$B$4,0,MAX(0,Model!$B$6-IF((A19+36)&gt;=Model!$B$11,Model!$B$20,0)-IF(36&lt;Model!$B$15,Model!$B$22,0))/(1-Model!$B$9)/(1+Model!$B$18)^36))</f>
        <v/>
      </c>
      <c r="AY19" s="7">
        <f>IF(A19="","",IF((A19+37)&gt;Model!$B$4,0,MAX(0,Model!$B$6-IF((A19+37)&gt;=Model!$B$11,Model!$B$20,0)-IF(37&lt;Model!$B$15,Model!$B$22,0))/(1-Model!$B$9)/(1+Model!$B$18)^37))</f>
        <v/>
      </c>
      <c r="AZ19" s="7">
        <f>IF(A19="","",IF((A19+38)&gt;Model!$B$4,0,MAX(0,Model!$B$6-IF((A19+38)&gt;=Model!$B$11,Model!$B$20,0)-IF(38&lt;Model!$B$15,Model!$B$22,0))/(1-Model!$B$9)/(1+Model!$B$18)^38))</f>
        <v/>
      </c>
      <c r="BA19" s="7">
        <f>IF(A19="","",IF((A19+39)&gt;Model!$B$4,0,MAX(0,Model!$B$6-IF((A19+39)&gt;=Model!$B$11,Model!$B$20,0)-IF(39&lt;Model!$B$15,Model!$B$22,0))/(1-Model!$B$9)/(1+Model!$B$18)^39))</f>
        <v/>
      </c>
      <c r="BB19" s="7">
        <f>IF(A19="","",IF((A19+40)&gt;Model!$B$4,0,MAX(0,Model!$B$6-IF((A19+40)&gt;=Model!$B$11,Model!$B$20,0)-IF(40&lt;Model!$B$15,Model!$B$22,0))/(1-Model!$B$9)/(1+Model!$B$18)^40))</f>
        <v/>
      </c>
      <c r="BC19" s="7">
        <f>IF(A19="","",IF((A19+41)&gt;Model!$B$4,0,MAX(0,Model!$B$6-IF((A19+41)&gt;=Model!$B$11,Model!$B$20,0)-IF(41&lt;Model!$B$15,Model!$B$22,0))/(1-Model!$B$9)/(1+Model!$B$18)^41))</f>
        <v/>
      </c>
      <c r="BD19" s="7">
        <f>IF(A19="","",IF((A19+42)&gt;Model!$B$4,0,MAX(0,Model!$B$6-IF((A19+42)&gt;=Model!$B$11,Model!$B$20,0)-IF(42&lt;Model!$B$15,Model!$B$22,0))/(1-Model!$B$9)/(1+Model!$B$18)^42))</f>
        <v/>
      </c>
      <c r="BE19" s="7">
        <f>IF(A19="","",IF((A19+43)&gt;Model!$B$4,0,MAX(0,Model!$B$6-IF((A19+43)&gt;=Model!$B$11,Model!$B$20,0)-IF(43&lt;Model!$B$15,Model!$B$22,0))/(1-Model!$B$9)/(1+Model!$B$18)^43))</f>
        <v/>
      </c>
      <c r="BF19" s="7">
        <f>IF(A19="","",IF((A19+44)&gt;Model!$B$4,0,MAX(0,Model!$B$6-IF((A19+44)&gt;=Model!$B$11,Model!$B$20,0)-IF(44&lt;Model!$B$15,Model!$B$22,0))/(1-Model!$B$9)/(1+Model!$B$18)^44))</f>
        <v/>
      </c>
      <c r="BG19" s="7">
        <f>IF(A19="","",IF((A19+45)&gt;Model!$B$4,0,MAX(0,Model!$B$6-IF((A19+45)&gt;=Model!$B$11,Model!$B$20,0)-IF(45&lt;Model!$B$15,Model!$B$22,0))/(1-Model!$B$9)/(1+Model!$B$18)^45))</f>
        <v/>
      </c>
      <c r="BH19" s="7">
        <f>IF(A19="","",IF((A19+46)&gt;Model!$B$4,0,MAX(0,Model!$B$6-IF((A19+46)&gt;=Model!$B$11,Model!$B$20,0)-IF(46&lt;Model!$B$15,Model!$B$22,0))/(1-Model!$B$9)/(1+Model!$B$18)^46))</f>
        <v/>
      </c>
      <c r="BI19" s="7">
        <f>IF(A19="","",IF((A19+47)&gt;Model!$B$4,0,MAX(0,Model!$B$6-IF((A19+47)&gt;=Model!$B$11,Model!$B$20,0)-IF(47&lt;Model!$B$15,Model!$B$22,0))/(1-Model!$B$9)/(1+Model!$B$18)^47))</f>
        <v/>
      </c>
      <c r="BJ19" s="7">
        <f>IF(A19="","",IF((A19+48)&gt;Model!$B$4,0,MAX(0,Model!$B$6-IF((A19+48)&gt;=Model!$B$11,Model!$B$20,0)-IF(48&lt;Model!$B$15,Model!$B$22,0))/(1-Model!$B$9)/(1+Model!$B$18)^48))</f>
        <v/>
      </c>
      <c r="BK19" s="7">
        <f>IF(A19="","",IF((A19+49)&gt;Model!$B$4,0,MAX(0,Model!$B$6-IF((A19+49)&gt;=Model!$B$11,Model!$B$20,0)-IF(49&lt;Model!$B$15,Model!$B$22,0))/(1-Model!$B$9)/(1+Model!$B$18)^49))</f>
        <v/>
      </c>
      <c r="BL19" s="7">
        <f>IF(A19="","",IF((A19+50)&gt;Model!$B$4,0,MAX(0,Model!$B$6-IF((A19+50)&gt;=Model!$B$11,Model!$B$20,0)-IF(50&lt;Model!$B$15,Model!$B$22,0))/(1-Model!$B$9)/(1+Model!$B$18)^50))</f>
        <v/>
      </c>
      <c r="BM19" s="7">
        <f>IF(A19="","",IF((A19+51)&gt;Model!$B$4,0,MAX(0,Model!$B$6-IF((A19+51)&gt;=Model!$B$11,Model!$B$20,0)-IF(51&lt;Model!$B$15,Model!$B$22,0))/(1-Model!$B$9)/(1+Model!$B$18)^51))</f>
        <v/>
      </c>
      <c r="BN19" s="7">
        <f>IF(A19="","",IF((A19+52)&gt;Model!$B$4,0,MAX(0,Model!$B$6-IF((A19+52)&gt;=Model!$B$11,Model!$B$20,0)-IF(52&lt;Model!$B$15,Model!$B$22,0))/(1-Model!$B$9)/(1+Model!$B$18)^52))</f>
        <v/>
      </c>
      <c r="BO19" s="7">
        <f>IF(A19="","",IF((A19+53)&gt;Model!$B$4,0,MAX(0,Model!$B$6-IF((A19+53)&gt;=Model!$B$11,Model!$B$20,0)-IF(53&lt;Model!$B$15,Model!$B$22,0))/(1-Model!$B$9)/(1+Model!$B$18)^53))</f>
        <v/>
      </c>
      <c r="BP19" s="7">
        <f>IF(A19="","",IF((A19+54)&gt;Model!$B$4,0,MAX(0,Model!$B$6-IF((A19+54)&gt;=Model!$B$11,Model!$B$20,0)-IF(54&lt;Model!$B$15,Model!$B$22,0))/(1-Model!$B$9)/(1+Model!$B$18)^54))</f>
        <v/>
      </c>
      <c r="BQ19" s="7">
        <f>IF(A19="","",IF((A19+55)&gt;Model!$B$4,0,MAX(0,Model!$B$6-IF((A19+55)&gt;=Model!$B$11,Model!$B$20,0)-IF(55&lt;Model!$B$15,Model!$B$22,0))/(1-Model!$B$9)/(1+Model!$B$18)^55))</f>
        <v/>
      </c>
      <c r="BR19" s="7">
        <f>IF(A19="","",IF((A19+56)&gt;Model!$B$4,0,MAX(0,Model!$B$6-IF((A19+56)&gt;=Model!$B$11,Model!$B$20,0)-IF(56&lt;Model!$B$15,Model!$B$22,0))/(1-Model!$B$9)/(1+Model!$B$18)^56))</f>
        <v/>
      </c>
      <c r="BS19" s="7">
        <f>IF(A19="","",IF((A19+57)&gt;Model!$B$4,0,MAX(0,Model!$B$6-IF((A19+57)&gt;=Model!$B$11,Model!$B$20,0)-IF(57&lt;Model!$B$15,Model!$B$22,0))/(1-Model!$B$9)/(1+Model!$B$18)^57))</f>
        <v/>
      </c>
      <c r="BT19" s="7">
        <f>IF(A19="","",IF((A19+58)&gt;Model!$B$4,0,MAX(0,Model!$B$6-IF((A19+58)&gt;=Model!$B$11,Model!$B$20,0)-IF(58&lt;Model!$B$15,Model!$B$22,0))/(1-Model!$B$9)/(1+Model!$B$18)^58))</f>
        <v/>
      </c>
      <c r="BU19" s="7">
        <f>IF(A19="","",IF((A19+59)&gt;Model!$B$4,0,MAX(0,Model!$B$6-IF((A19+59)&gt;=Model!$B$11,Model!$B$20,0)-IF(59&lt;Model!$B$15,Model!$B$22,0))/(1-Model!$B$9)/(1+Model!$B$18)^59))</f>
        <v/>
      </c>
      <c r="BV19" s="7">
        <f>IF(A19="","",IF((A19+60)&gt;Model!$B$4,0,MAX(0,Model!$B$6-IF((A19+60)&gt;=Model!$B$11,Model!$B$20,0)-IF(60&lt;Model!$B$15,Model!$B$22,0))/(1-Model!$B$9)/(1+Model!$B$18)^60))</f>
        <v/>
      </c>
      <c r="BW19" s="7">
        <f>IF(A19="","",IF((A19+61)&gt;Model!$B$4,0,MAX(0,Model!$B$6-IF((A19+61)&gt;=Model!$B$11,Model!$B$20,0)-IF(61&lt;Model!$B$15,Model!$B$22,0))/(1-Model!$B$9)/(1+Model!$B$18)^61))</f>
        <v/>
      </c>
      <c r="BX19" s="7">
        <f>IF(A19="","",IF((A19+62)&gt;Model!$B$4,0,MAX(0,Model!$B$6-IF((A19+62)&gt;=Model!$B$11,Model!$B$20,0)-IF(62&lt;Model!$B$15,Model!$B$22,0))/(1-Model!$B$9)/(1+Model!$B$18)^62))</f>
        <v/>
      </c>
      <c r="BY19" s="7">
        <f>IF(A19="","",IF((A19+63)&gt;Model!$B$4,0,MAX(0,Model!$B$6-IF((A19+63)&gt;=Model!$B$11,Model!$B$20,0)-IF(63&lt;Model!$B$15,Model!$B$22,0))/(1-Model!$B$9)/(1+Model!$B$18)^63))</f>
        <v/>
      </c>
      <c r="BZ19" s="7">
        <f>IF(A19="","",IF((A19+64)&gt;Model!$B$4,0,MAX(0,Model!$B$6-IF((A19+64)&gt;=Model!$B$11,Model!$B$20,0)-IF(64&lt;Model!$B$15,Model!$B$22,0))/(1-Model!$B$9)/(1+Model!$B$18)^64))</f>
        <v/>
      </c>
      <c r="CA19" s="7">
        <f>IF(A19="","",IF((A19+65)&gt;Model!$B$4,0,MAX(0,Model!$B$6-IF((A19+65)&gt;=Model!$B$11,Model!$B$20,0)-IF(65&lt;Model!$B$15,Model!$B$22,0))/(1-Model!$B$9)/(1+Model!$B$18)^65))</f>
        <v/>
      </c>
      <c r="CB19" s="7">
        <f>IF(A19="","",IF((A19+66)&gt;Model!$B$4,0,MAX(0,Model!$B$6-IF((A19+66)&gt;=Model!$B$11,Model!$B$20,0)-IF(66&lt;Model!$B$15,Model!$B$22,0))/(1-Model!$B$9)/(1+Model!$B$18)^66))</f>
        <v/>
      </c>
      <c r="CC19" s="7">
        <f>IF(A19="","",IF((A19+67)&gt;Model!$B$4,0,MAX(0,Model!$B$6-IF((A19+67)&gt;=Model!$B$11,Model!$B$20,0)-IF(67&lt;Model!$B$15,Model!$B$22,0))/(1-Model!$B$9)/(1+Model!$B$18)^67))</f>
        <v/>
      </c>
      <c r="CD19" s="7">
        <f>IF(A19="","",IF((A19+68)&gt;Model!$B$4,0,MAX(0,Model!$B$6-IF((A19+68)&gt;=Model!$B$11,Model!$B$20,0)-IF(68&lt;Model!$B$15,Model!$B$22,0))/(1-Model!$B$9)/(1+Model!$B$18)^68))</f>
        <v/>
      </c>
      <c r="CE19" s="7">
        <f>IF(A19="","",IF((A19+69)&gt;Model!$B$4,0,MAX(0,Model!$B$6-IF((A19+69)&gt;=Model!$B$11,Model!$B$20,0)-IF(69&lt;Model!$B$15,Model!$B$22,0))/(1-Model!$B$9)/(1+Model!$B$18)^69))</f>
        <v/>
      </c>
      <c r="CF19" s="7">
        <f>IF(A19="","",IF((A19+70)&gt;Model!$B$4,0,MAX(0,Model!$B$6-IF((A19+70)&gt;=Model!$B$11,Model!$B$20,0)-IF(70&lt;Model!$B$15,Model!$B$22,0))/(1-Model!$B$9)/(1+Model!$B$18)^70))</f>
        <v/>
      </c>
      <c r="CG19" s="7">
        <f>IF(A19="","",IF((A19+71)&gt;Model!$B$4,0,MAX(0,Model!$B$6-IF((A19+71)&gt;=Model!$B$11,Model!$B$20,0)-IF(71&lt;Model!$B$15,Model!$B$22,0))/(1-Model!$B$9)/(1+Model!$B$18)^71))</f>
        <v/>
      </c>
      <c r="CH19" s="7">
        <f>IF(A19="","",IF((A19+72)&gt;Model!$B$4,0,MAX(0,Model!$B$6-IF((A19+72)&gt;=Model!$B$11,Model!$B$20,0)-IF(72&lt;Model!$B$15,Model!$B$22,0))/(1-Model!$B$9)/(1+Model!$B$18)^72))</f>
        <v/>
      </c>
      <c r="CI19" s="7">
        <f>IF(A19="","",IF((A19+73)&gt;Model!$B$4,0,MAX(0,Model!$B$6-IF((A19+73)&gt;=Model!$B$11,Model!$B$20,0)-IF(73&lt;Model!$B$15,Model!$B$22,0))/(1-Model!$B$9)/(1+Model!$B$18)^73))</f>
        <v/>
      </c>
      <c r="CJ19" s="7">
        <f>IF(A19="","",IF((A19+74)&gt;Model!$B$4,0,MAX(0,Model!$B$6-IF((A19+74)&gt;=Model!$B$11,Model!$B$20,0)-IF(74&lt;Model!$B$15,Model!$B$22,0))/(1-Model!$B$9)/(1+Model!$B$18)^74))</f>
        <v/>
      </c>
      <c r="CK19" s="7">
        <f>IF(A19="","",IF((A19+75)&gt;Model!$B$4,0,MAX(0,Model!$B$6-IF((A19+75)&gt;=Model!$B$11,Model!$B$20,0)-IF(75&lt;Model!$B$15,Model!$B$22,0))/(1-Model!$B$9)/(1+Model!$B$18)^75))</f>
        <v/>
      </c>
      <c r="CL19" s="7">
        <f>IF(A19="","",IF((A19+76)&gt;Model!$B$4,0,MAX(0,Model!$B$6-IF((A19+76)&gt;=Model!$B$11,Model!$B$20,0)-IF(76&lt;Model!$B$15,Model!$B$22,0))/(1-Model!$B$9)/(1+Model!$B$18)^76))</f>
        <v/>
      </c>
      <c r="CM19" s="7">
        <f>IF(A19="","",IF((A19+77)&gt;Model!$B$4,0,MAX(0,Model!$B$6-IF((A19+77)&gt;=Model!$B$11,Model!$B$20,0)-IF(77&lt;Model!$B$15,Model!$B$22,0))/(1-Model!$B$9)/(1+Model!$B$18)^77))</f>
        <v/>
      </c>
      <c r="CN19" s="7">
        <f>IF(A19="","",IF((A19+78)&gt;Model!$B$4,0,MAX(0,Model!$B$6-IF((A19+78)&gt;=Model!$B$11,Model!$B$20,0)-IF(78&lt;Model!$B$15,Model!$B$22,0))/(1-Model!$B$9)/(1+Model!$B$18)^78))</f>
        <v/>
      </c>
      <c r="CO19" s="7">
        <f>IF(A19="","",IF((A19+79)&gt;Model!$B$4,0,MAX(0,Model!$B$6-IF((A19+79)&gt;=Model!$B$11,Model!$B$20,0)-IF(79&lt;Model!$B$15,Model!$B$22,0))/(1-Model!$B$9)/(1+Model!$B$18)^79))</f>
        <v/>
      </c>
      <c r="CP19" s="7">
        <f>IF(A19="","",IF((A19+80)&gt;Model!$B$4,0,MAX(0,Model!$B$6-IF((A19+80)&gt;=Model!$B$11,Model!$B$20,0)-IF(80&lt;Model!$B$15,Model!$B$22,0))/(1-Model!$B$9)/(1+Model!$B$18)^80))</f>
        <v/>
      </c>
      <c r="CQ19" s="7">
        <f>IF(A19="","",IF((A19+81)&gt;Model!$B$4,0,MAX(0,Model!$B$6-IF((A19+81)&gt;=Model!$B$11,Model!$B$20,0)-IF(81&lt;Model!$B$15,Model!$B$22,0))/(1-Model!$B$9)/(1+Model!$B$18)^81))</f>
        <v/>
      </c>
      <c r="CR19" s="7">
        <f>IF(A19="","",IF((A19+82)&gt;Model!$B$4,0,MAX(0,Model!$B$6-IF((A19+82)&gt;=Model!$B$11,Model!$B$20,0)-IF(82&lt;Model!$B$15,Model!$B$22,0))/(1-Model!$B$9)/(1+Model!$B$18)^82))</f>
        <v/>
      </c>
      <c r="CS19" s="7">
        <f>IF(A19="","",IF((A19+83)&gt;Model!$B$4,0,MAX(0,Model!$B$6-IF((A19+83)&gt;=Model!$B$11,Model!$B$20,0)-IF(83&lt;Model!$B$15,Model!$B$22,0))/(1-Model!$B$9)/(1+Model!$B$18)^83))</f>
        <v/>
      </c>
      <c r="CT19" s="7">
        <f>IF(A19="","",IF((A19+84)&gt;Model!$B$4,0,MAX(0,Model!$B$6-IF((A19+84)&gt;=Model!$B$11,Model!$B$20,0)-IF(84&lt;Model!$B$15,Model!$B$22,0))/(1-Model!$B$9)/(1+Model!$B$18)^84))</f>
        <v/>
      </c>
      <c r="CU19" s="7">
        <f>IF(A19="","",IF((A19+85)&gt;Model!$B$4,0,MAX(0,Model!$B$6-IF((A19+85)&gt;=Model!$B$11,Model!$B$20,0)-IF(85&lt;Model!$B$15,Model!$B$22,0))/(1-Model!$B$9)/(1+Model!$B$18)^85))</f>
        <v/>
      </c>
      <c r="CV19" s="7">
        <f>IF(A19="","",IF((A19+86)&gt;Model!$B$4,0,MAX(0,Model!$B$6-IF((A19+86)&gt;=Model!$B$11,Model!$B$20,0)-IF(86&lt;Model!$B$15,Model!$B$22,0))/(1-Model!$B$9)/(1+Model!$B$18)^86))</f>
        <v/>
      </c>
      <c r="CW19" s="7">
        <f>IF(A19="","",IF((A19+87)&gt;Model!$B$4,0,MAX(0,Model!$B$6-IF((A19+87)&gt;=Model!$B$11,Model!$B$20,0)-IF(87&lt;Model!$B$15,Model!$B$22,0))/(1-Model!$B$9)/(1+Model!$B$18)^87))</f>
        <v/>
      </c>
      <c r="CX19" s="7">
        <f>IF(A19="","",IF((A19+88)&gt;Model!$B$4,0,MAX(0,Model!$B$6-IF((A19+88)&gt;=Model!$B$11,Model!$B$20,0)-IF(88&lt;Model!$B$15,Model!$B$22,0))/(1-Model!$B$9)/(1+Model!$B$18)^88))</f>
        <v/>
      </c>
      <c r="CY19" s="7">
        <f>IF(A19="","",IF((A19+89)&gt;Model!$B$4,0,MAX(0,Model!$B$6-IF((A19+89)&gt;=Model!$B$11,Model!$B$20,0)-IF(89&lt;Model!$B$15,Model!$B$22,0))/(1-Model!$B$9)/(1+Model!$B$18)^89))</f>
        <v/>
      </c>
      <c r="CZ19" s="7">
        <f>IF(A19="","",IF((A19+90)&gt;Model!$B$4,0,MAX(0,Model!$B$6-IF((A19+90)&gt;=Model!$B$11,Model!$B$20,0)-IF(90&lt;Model!$B$15,Model!$B$22,0))/(1-Model!$B$9)/(1+Model!$B$18)^90))</f>
        <v/>
      </c>
      <c r="DA19" s="7">
        <f>IF(A19="","",IF((A19+91)&gt;Model!$B$4,0,MAX(0,Model!$B$6-IF((A19+91)&gt;=Model!$B$11,Model!$B$20,0)-IF(91&lt;Model!$B$15,Model!$B$22,0))/(1-Model!$B$9)/(1+Model!$B$18)^91))</f>
        <v/>
      </c>
      <c r="DB19" s="7">
        <f>IF(A19="","",IF((A19+92)&gt;Model!$B$4,0,MAX(0,Model!$B$6-IF((A19+92)&gt;=Model!$B$11,Model!$B$20,0)-IF(92&lt;Model!$B$15,Model!$B$22,0))/(1-Model!$B$9)/(1+Model!$B$18)^92))</f>
        <v/>
      </c>
      <c r="DC19" s="7">
        <f>IF(A19="","",IF((A19+93)&gt;Model!$B$4,0,MAX(0,Model!$B$6-IF((A19+93)&gt;=Model!$B$11,Model!$B$20,0)-IF(93&lt;Model!$B$15,Model!$B$22,0))/(1-Model!$B$9)/(1+Model!$B$18)^93))</f>
        <v/>
      </c>
      <c r="DD19" s="7">
        <f>IF(A19="","",IF((A19+94)&gt;Model!$B$4,0,MAX(0,Model!$B$6-IF((A19+94)&gt;=Model!$B$11,Model!$B$20,0)-IF(94&lt;Model!$B$15,Model!$B$22,0))/(1-Model!$B$9)/(1+Model!$B$18)^94))</f>
        <v/>
      </c>
      <c r="DE19" s="7">
        <f>IF(A19="","",IF((A19+95)&gt;Model!$B$4,0,MAX(0,Model!$B$6-IF((A19+95)&gt;=Model!$B$11,Model!$B$20,0)-IF(95&lt;Model!$B$15,Model!$B$22,0))/(1-Model!$B$9)/(1+Model!$B$18)^95))</f>
        <v/>
      </c>
      <c r="DF19" s="7">
        <f>IF(A19="","",IF((A19+96)&gt;Model!$B$4,0,MAX(0,Model!$B$6-IF((A19+96)&gt;=Model!$B$11,Model!$B$20,0)-IF(96&lt;Model!$B$15,Model!$B$22,0))/(1-Model!$B$9)/(1+Model!$B$18)^96))</f>
        <v/>
      </c>
      <c r="DG19" s="7">
        <f>IF(A19="","",IF((A19+97)&gt;Model!$B$4,0,MAX(0,Model!$B$6-IF((A19+97)&gt;=Model!$B$11,Model!$B$20,0)-IF(97&lt;Model!$B$15,Model!$B$22,0))/(1-Model!$B$9)/(1+Model!$B$18)^97))</f>
        <v/>
      </c>
      <c r="DH19" s="7">
        <f>IF(A19="","",IF((A19+98)&gt;Model!$B$4,0,MAX(0,Model!$B$6-IF((A19+98)&gt;=Model!$B$11,Model!$B$20,0)-IF(98&lt;Model!$B$15,Model!$B$22,0))/(1-Model!$B$9)/(1+Model!$B$18)^98))</f>
        <v/>
      </c>
      <c r="DI19" s="7">
        <f>IF(A19="","",IF((A19+99)&gt;Model!$B$4,0,MAX(0,Model!$B$6-IF((A19+99)&gt;=Model!$B$11,Model!$B$20,0)-IF(99&lt;Model!$B$15,Model!$B$22,0))/(1-Model!$B$9)/(1+Model!$B$18)^99))</f>
        <v/>
      </c>
      <c r="DJ19" s="7">
        <f>IF(A19="","",IF((A19+100)&gt;Model!$B$4,0,MAX(0,Model!$B$6-IF((A19+100)&gt;=Model!$B$11,Model!$B$20,0)-IF(100&lt;Model!$B$15,Model!$B$22,0))/(1-Model!$B$9)/(1+Model!$B$18)^100))</f>
        <v/>
      </c>
      <c r="DK19" s="7">
        <f>IF(A19="","",IF((A19+101)&gt;Model!$B$4,0,MAX(0,Model!$B$6-IF((A19+101)&gt;=Model!$B$11,Model!$B$20,0)-IF(101&lt;Model!$B$15,Model!$B$22,0))/(1-Model!$B$9)/(1+Model!$B$18)^101))</f>
        <v/>
      </c>
      <c r="DL19" s="7">
        <f>IF(A19="","",IF((A19+102)&gt;Model!$B$4,0,MAX(0,Model!$B$6-IF((A19+102)&gt;=Model!$B$11,Model!$B$20,0)-IF(102&lt;Model!$B$15,Model!$B$22,0))/(1-Model!$B$9)/(1+Model!$B$18)^102))</f>
        <v/>
      </c>
      <c r="DM19" s="7">
        <f>IF(A19="","",IF((A19+103)&gt;Model!$B$4,0,MAX(0,Model!$B$6-IF((A19+103)&gt;=Model!$B$11,Model!$B$20,0)-IF(103&lt;Model!$B$15,Model!$B$22,0))/(1-Model!$B$9)/(1+Model!$B$18)^103))</f>
        <v/>
      </c>
      <c r="DN19" s="7">
        <f>IF(A19="","",IF((A19+104)&gt;Model!$B$4,0,MAX(0,Model!$B$6-IF((A19+104)&gt;=Model!$B$11,Model!$B$20,0)-IF(104&lt;Model!$B$15,Model!$B$22,0))/(1-Model!$B$9)/(1+Model!$B$18)^104))</f>
        <v/>
      </c>
      <c r="DO19" s="7">
        <f>IF(A19="","",IF((A19+105)&gt;Model!$B$4,0,MAX(0,Model!$B$6-IF((A19+105)&gt;=Model!$B$11,Model!$B$20,0)-IF(105&lt;Model!$B$15,Model!$B$22,0))/(1-Model!$B$9)/(1+Model!$B$18)^105))</f>
        <v/>
      </c>
      <c r="DP19" s="7">
        <f>IF(A19="","",IF((A19+106)&gt;Model!$B$4,0,MAX(0,Model!$B$6-IF((A19+106)&gt;=Model!$B$11,Model!$B$20,0)-IF(106&lt;Model!$B$15,Model!$B$22,0))/(1-Model!$B$9)/(1+Model!$B$18)^106))</f>
        <v/>
      </c>
      <c r="DQ19" s="7">
        <f>IF(A19="","",IF((A19+107)&gt;Model!$B$4,0,MAX(0,Model!$B$6-IF((A19+107)&gt;=Model!$B$11,Model!$B$20,0)-IF(107&lt;Model!$B$15,Model!$B$22,0))/(1-Model!$B$9)/(1+Model!$B$18)^107))</f>
        <v/>
      </c>
      <c r="DR19" s="7">
        <f>IF(A19="","",IF((A19+108)&gt;Model!$B$4,0,MAX(0,Model!$B$6-IF((A19+108)&gt;=Model!$B$11,Model!$B$20,0)-IF(108&lt;Model!$B$15,Model!$B$22,0))/(1-Model!$B$9)/(1+Model!$B$18)^108))</f>
        <v/>
      </c>
      <c r="DS19" s="7">
        <f>IF(A19="","",IF((A19+109)&gt;Model!$B$4,0,MAX(0,Model!$B$6-IF((A19+109)&gt;=Model!$B$11,Model!$B$20,0)-IF(109&lt;Model!$B$15,Model!$B$22,0))/(1-Model!$B$9)/(1+Model!$B$18)^109))</f>
        <v/>
      </c>
      <c r="DT19" s="7">
        <f>IF(A19="","",IF((A19+110)&gt;Model!$B$4,0,MAX(0,Model!$B$6-IF((A19+110)&gt;=Model!$B$11,Model!$B$20,0)-IF(110&lt;Model!$B$15,Model!$B$22,0))/(1-Model!$B$9)/(1+Model!$B$18)^110))</f>
        <v/>
      </c>
      <c r="DU19" s="7">
        <f>IF(A19="","",IF((A19+111)&gt;Model!$B$4,0,MAX(0,Model!$B$6-IF((A19+111)&gt;=Model!$B$11,Model!$B$20,0)-IF(111&lt;Model!$B$15,Model!$B$22,0))/(1-Model!$B$9)/(1+Model!$B$18)^111))</f>
        <v/>
      </c>
      <c r="DV19" s="7">
        <f>IF(A19="","",IF((A19+112)&gt;Model!$B$4,0,MAX(0,Model!$B$6-IF((A19+112)&gt;=Model!$B$11,Model!$B$20,0)-IF(112&lt;Model!$B$15,Model!$B$22,0))/(1-Model!$B$9)/(1+Model!$B$18)^112))</f>
        <v/>
      </c>
      <c r="DW19" s="7">
        <f>IF(A19="","",IF((A19+113)&gt;Model!$B$4,0,MAX(0,Model!$B$6-IF((A19+113)&gt;=Model!$B$11,Model!$B$20,0)-IF(113&lt;Model!$B$15,Model!$B$22,0))/(1-Model!$B$9)/(1+Model!$B$18)^113))</f>
        <v/>
      </c>
      <c r="DX19" s="7">
        <f>IF(A19="","",IF((A19+114)&gt;Model!$B$4,0,MAX(0,Model!$B$6-IF((A19+114)&gt;=Model!$B$11,Model!$B$20,0)-IF(114&lt;Model!$B$15,Model!$B$22,0))/(1-Model!$B$9)/(1+Model!$B$18)^114))</f>
        <v/>
      </c>
      <c r="DY19" s="7">
        <f>IF(A19="","",IF((A19+115)&gt;Model!$B$4,0,MAX(0,Model!$B$6-IF((A19+115)&gt;=Model!$B$11,Model!$B$20,0)-IF(115&lt;Model!$B$15,Model!$B$22,0))/(1-Model!$B$9)/(1+Model!$B$18)^115))</f>
        <v/>
      </c>
      <c r="DZ19" s="7">
        <f>IF(A19="","",IF((A19+116)&gt;Model!$B$4,0,MAX(0,Model!$B$6-IF((A19+116)&gt;=Model!$B$11,Model!$B$20,0)-IF(116&lt;Model!$B$15,Model!$B$22,0))/(1-Model!$B$9)/(1+Model!$B$18)^116))</f>
        <v/>
      </c>
      <c r="EA19" s="7">
        <f>IF(A19="","",IF((A19+117)&gt;Model!$B$4,0,MAX(0,Model!$B$6-IF((A19+117)&gt;=Model!$B$11,Model!$B$20,0)-IF(117&lt;Model!$B$15,Model!$B$22,0))/(1-Model!$B$9)/(1+Model!$B$18)^117))</f>
        <v/>
      </c>
      <c r="EB19" s="7">
        <f>IF(A19="","",IF((A19+118)&gt;Model!$B$4,0,MAX(0,Model!$B$6-IF((A19+118)&gt;=Model!$B$11,Model!$B$20,0)-IF(118&lt;Model!$B$15,Model!$B$22,0))/(1-Model!$B$9)/(1+Model!$B$18)^118))</f>
        <v/>
      </c>
      <c r="EC19" s="7">
        <f>IF(A19="","",IF((A19+119)&gt;Model!$B$4,0,MAX(0,Model!$B$6-IF((A19+119)&gt;=Model!$B$11,Model!$B$20,0)-IF(119&lt;Model!$B$15,Model!$B$22,0))/(1-Model!$B$9)/(1+Model!$B$18)^119))</f>
        <v/>
      </c>
      <c r="ED19" s="7">
        <f>IF(A19="","",IF((A19+120)&gt;Model!$B$4,0,MAX(0,Model!$B$6-IF((A19+120)&gt;=Model!$B$11,Model!$B$20,0)-IF(120&lt;Model!$B$15,Model!$B$22,0))/(1-Model!$B$9)/(1+Model!$B$18)^120))</f>
        <v/>
      </c>
    </row>
    <row r="20">
      <c r="A20">
        <f>IF(Model!$B$10+ROW()-2&lt;=Model!$B$4,Model!$B$10+ROW()-2,"")</f>
        <v/>
      </c>
      <c r="B20">
        <f>IF(A20="","",A20-Model!$B$10)</f>
        <v/>
      </c>
      <c r="C20" s="7">
        <f>IF(A20="","",Model!$B$5*(1+Model!$B$18)^B20)</f>
        <v/>
      </c>
      <c r="D20" s="7">
        <f>IF(A20="","",SUM(N20:ED20))</f>
        <v/>
      </c>
      <c r="E20" s="7">
        <f>IF(A20="","",IF(A20&gt;=Model!$B$11,Model!$B$20,0))</f>
        <v/>
      </c>
      <c r="F20" s="7">
        <f>IF(A20="","",IF(Model!$B$15&gt;0,Model!$B$22,0))</f>
        <v/>
      </c>
      <c r="G20" s="7">
        <f>IF(A20="","",E20+F20)</f>
        <v/>
      </c>
      <c r="H20" s="7">
        <f>IF(A20="","",MAX(0,Model!$B$6-G20))</f>
        <v/>
      </c>
      <c r="I20" s="7">
        <f>IF(A20="","",H20/(1-Model!$B$9))</f>
        <v/>
      </c>
      <c r="J20" s="7">
        <f>IF(A20="","",C20-D20)</f>
        <v/>
      </c>
      <c r="K20">
        <f>IF(A20="","",C20&gt;=D20)</f>
        <v/>
      </c>
      <c r="L20" s="7">
        <f>IF(A20="","",IF(A20&gt;=Model!$B$11,Model!$B$19*(1+Model!$B$13)^B20,0))</f>
        <v/>
      </c>
      <c r="M20" s="7">
        <f>IF(A20="","",IF(Model!$B$15&gt;0,Model!$B$21*(1+Model!$B$13)^B20,0))</f>
        <v/>
      </c>
      <c r="N20" s="7">
        <f>IF(A20="","",IF((A20+0)&gt;Model!$B$4,0,MAX(0,Model!$B$6-IF((A20+0)&gt;=Model!$B$11,Model!$B$20,0)-IF(0&lt;Model!$B$15,Model!$B$22,0))/(1-Model!$B$9)/(1+Model!$B$18)^0))</f>
        <v/>
      </c>
      <c r="O20" s="7">
        <f>IF(A20="","",IF((A20+1)&gt;Model!$B$4,0,MAX(0,Model!$B$6-IF((A20+1)&gt;=Model!$B$11,Model!$B$20,0)-IF(1&lt;Model!$B$15,Model!$B$22,0))/(1-Model!$B$9)/(1+Model!$B$18)^1))</f>
        <v/>
      </c>
      <c r="P20" s="7">
        <f>IF(A20="","",IF((A20+2)&gt;Model!$B$4,0,MAX(0,Model!$B$6-IF((A20+2)&gt;=Model!$B$11,Model!$B$20,0)-IF(2&lt;Model!$B$15,Model!$B$22,0))/(1-Model!$B$9)/(1+Model!$B$18)^2))</f>
        <v/>
      </c>
      <c r="Q20" s="7">
        <f>IF(A20="","",IF((A20+3)&gt;Model!$B$4,0,MAX(0,Model!$B$6-IF((A20+3)&gt;=Model!$B$11,Model!$B$20,0)-IF(3&lt;Model!$B$15,Model!$B$22,0))/(1-Model!$B$9)/(1+Model!$B$18)^3))</f>
        <v/>
      </c>
      <c r="R20" s="7">
        <f>IF(A20="","",IF((A20+4)&gt;Model!$B$4,0,MAX(0,Model!$B$6-IF((A20+4)&gt;=Model!$B$11,Model!$B$20,0)-IF(4&lt;Model!$B$15,Model!$B$22,0))/(1-Model!$B$9)/(1+Model!$B$18)^4))</f>
        <v/>
      </c>
      <c r="S20" s="7">
        <f>IF(A20="","",IF((A20+5)&gt;Model!$B$4,0,MAX(0,Model!$B$6-IF((A20+5)&gt;=Model!$B$11,Model!$B$20,0)-IF(5&lt;Model!$B$15,Model!$B$22,0))/(1-Model!$B$9)/(1+Model!$B$18)^5))</f>
        <v/>
      </c>
      <c r="T20" s="7">
        <f>IF(A20="","",IF((A20+6)&gt;Model!$B$4,0,MAX(0,Model!$B$6-IF((A20+6)&gt;=Model!$B$11,Model!$B$20,0)-IF(6&lt;Model!$B$15,Model!$B$22,0))/(1-Model!$B$9)/(1+Model!$B$18)^6))</f>
        <v/>
      </c>
      <c r="U20" s="7">
        <f>IF(A20="","",IF((A20+7)&gt;Model!$B$4,0,MAX(0,Model!$B$6-IF((A20+7)&gt;=Model!$B$11,Model!$B$20,0)-IF(7&lt;Model!$B$15,Model!$B$22,0))/(1-Model!$B$9)/(1+Model!$B$18)^7))</f>
        <v/>
      </c>
      <c r="V20" s="7">
        <f>IF(A20="","",IF((A20+8)&gt;Model!$B$4,0,MAX(0,Model!$B$6-IF((A20+8)&gt;=Model!$B$11,Model!$B$20,0)-IF(8&lt;Model!$B$15,Model!$B$22,0))/(1-Model!$B$9)/(1+Model!$B$18)^8))</f>
        <v/>
      </c>
      <c r="W20" s="7">
        <f>IF(A20="","",IF((A20+9)&gt;Model!$B$4,0,MAX(0,Model!$B$6-IF((A20+9)&gt;=Model!$B$11,Model!$B$20,0)-IF(9&lt;Model!$B$15,Model!$B$22,0))/(1-Model!$B$9)/(1+Model!$B$18)^9))</f>
        <v/>
      </c>
      <c r="X20" s="7">
        <f>IF(A20="","",IF((A20+10)&gt;Model!$B$4,0,MAX(0,Model!$B$6-IF((A20+10)&gt;=Model!$B$11,Model!$B$20,0)-IF(10&lt;Model!$B$15,Model!$B$22,0))/(1-Model!$B$9)/(1+Model!$B$18)^10))</f>
        <v/>
      </c>
      <c r="Y20" s="7">
        <f>IF(A20="","",IF((A20+11)&gt;Model!$B$4,0,MAX(0,Model!$B$6-IF((A20+11)&gt;=Model!$B$11,Model!$B$20,0)-IF(11&lt;Model!$B$15,Model!$B$22,0))/(1-Model!$B$9)/(1+Model!$B$18)^11))</f>
        <v/>
      </c>
      <c r="Z20" s="7">
        <f>IF(A20="","",IF((A20+12)&gt;Model!$B$4,0,MAX(0,Model!$B$6-IF((A20+12)&gt;=Model!$B$11,Model!$B$20,0)-IF(12&lt;Model!$B$15,Model!$B$22,0))/(1-Model!$B$9)/(1+Model!$B$18)^12))</f>
        <v/>
      </c>
      <c r="AA20" s="7">
        <f>IF(A20="","",IF((A20+13)&gt;Model!$B$4,0,MAX(0,Model!$B$6-IF((A20+13)&gt;=Model!$B$11,Model!$B$20,0)-IF(13&lt;Model!$B$15,Model!$B$22,0))/(1-Model!$B$9)/(1+Model!$B$18)^13))</f>
        <v/>
      </c>
      <c r="AB20" s="7">
        <f>IF(A20="","",IF((A20+14)&gt;Model!$B$4,0,MAX(0,Model!$B$6-IF((A20+14)&gt;=Model!$B$11,Model!$B$20,0)-IF(14&lt;Model!$B$15,Model!$B$22,0))/(1-Model!$B$9)/(1+Model!$B$18)^14))</f>
        <v/>
      </c>
      <c r="AC20" s="7">
        <f>IF(A20="","",IF((A20+15)&gt;Model!$B$4,0,MAX(0,Model!$B$6-IF((A20+15)&gt;=Model!$B$11,Model!$B$20,0)-IF(15&lt;Model!$B$15,Model!$B$22,0))/(1-Model!$B$9)/(1+Model!$B$18)^15))</f>
        <v/>
      </c>
      <c r="AD20" s="7">
        <f>IF(A20="","",IF((A20+16)&gt;Model!$B$4,0,MAX(0,Model!$B$6-IF((A20+16)&gt;=Model!$B$11,Model!$B$20,0)-IF(16&lt;Model!$B$15,Model!$B$22,0))/(1-Model!$B$9)/(1+Model!$B$18)^16))</f>
        <v/>
      </c>
      <c r="AE20" s="7">
        <f>IF(A20="","",IF((A20+17)&gt;Model!$B$4,0,MAX(0,Model!$B$6-IF((A20+17)&gt;=Model!$B$11,Model!$B$20,0)-IF(17&lt;Model!$B$15,Model!$B$22,0))/(1-Model!$B$9)/(1+Model!$B$18)^17))</f>
        <v/>
      </c>
      <c r="AF20" s="7">
        <f>IF(A20="","",IF((A20+18)&gt;Model!$B$4,0,MAX(0,Model!$B$6-IF((A20+18)&gt;=Model!$B$11,Model!$B$20,0)-IF(18&lt;Model!$B$15,Model!$B$22,0))/(1-Model!$B$9)/(1+Model!$B$18)^18))</f>
        <v/>
      </c>
      <c r="AG20" s="7">
        <f>IF(A20="","",IF((A20+19)&gt;Model!$B$4,0,MAX(0,Model!$B$6-IF((A20+19)&gt;=Model!$B$11,Model!$B$20,0)-IF(19&lt;Model!$B$15,Model!$B$22,0))/(1-Model!$B$9)/(1+Model!$B$18)^19))</f>
        <v/>
      </c>
      <c r="AH20" s="7">
        <f>IF(A20="","",IF((A20+20)&gt;Model!$B$4,0,MAX(0,Model!$B$6-IF((A20+20)&gt;=Model!$B$11,Model!$B$20,0)-IF(20&lt;Model!$B$15,Model!$B$22,0))/(1-Model!$B$9)/(1+Model!$B$18)^20))</f>
        <v/>
      </c>
      <c r="AI20" s="7">
        <f>IF(A20="","",IF((A20+21)&gt;Model!$B$4,0,MAX(0,Model!$B$6-IF((A20+21)&gt;=Model!$B$11,Model!$B$20,0)-IF(21&lt;Model!$B$15,Model!$B$22,0))/(1-Model!$B$9)/(1+Model!$B$18)^21))</f>
        <v/>
      </c>
      <c r="AJ20" s="7">
        <f>IF(A20="","",IF((A20+22)&gt;Model!$B$4,0,MAX(0,Model!$B$6-IF((A20+22)&gt;=Model!$B$11,Model!$B$20,0)-IF(22&lt;Model!$B$15,Model!$B$22,0))/(1-Model!$B$9)/(1+Model!$B$18)^22))</f>
        <v/>
      </c>
      <c r="AK20" s="7">
        <f>IF(A20="","",IF((A20+23)&gt;Model!$B$4,0,MAX(0,Model!$B$6-IF((A20+23)&gt;=Model!$B$11,Model!$B$20,0)-IF(23&lt;Model!$B$15,Model!$B$22,0))/(1-Model!$B$9)/(1+Model!$B$18)^23))</f>
        <v/>
      </c>
      <c r="AL20" s="7">
        <f>IF(A20="","",IF((A20+24)&gt;Model!$B$4,0,MAX(0,Model!$B$6-IF((A20+24)&gt;=Model!$B$11,Model!$B$20,0)-IF(24&lt;Model!$B$15,Model!$B$22,0))/(1-Model!$B$9)/(1+Model!$B$18)^24))</f>
        <v/>
      </c>
      <c r="AM20" s="7">
        <f>IF(A20="","",IF((A20+25)&gt;Model!$B$4,0,MAX(0,Model!$B$6-IF((A20+25)&gt;=Model!$B$11,Model!$B$20,0)-IF(25&lt;Model!$B$15,Model!$B$22,0))/(1-Model!$B$9)/(1+Model!$B$18)^25))</f>
        <v/>
      </c>
      <c r="AN20" s="7">
        <f>IF(A20="","",IF((A20+26)&gt;Model!$B$4,0,MAX(0,Model!$B$6-IF((A20+26)&gt;=Model!$B$11,Model!$B$20,0)-IF(26&lt;Model!$B$15,Model!$B$22,0))/(1-Model!$B$9)/(1+Model!$B$18)^26))</f>
        <v/>
      </c>
      <c r="AO20" s="7">
        <f>IF(A20="","",IF((A20+27)&gt;Model!$B$4,0,MAX(0,Model!$B$6-IF((A20+27)&gt;=Model!$B$11,Model!$B$20,0)-IF(27&lt;Model!$B$15,Model!$B$22,0))/(1-Model!$B$9)/(1+Model!$B$18)^27))</f>
        <v/>
      </c>
      <c r="AP20" s="7">
        <f>IF(A20="","",IF((A20+28)&gt;Model!$B$4,0,MAX(0,Model!$B$6-IF((A20+28)&gt;=Model!$B$11,Model!$B$20,0)-IF(28&lt;Model!$B$15,Model!$B$22,0))/(1-Model!$B$9)/(1+Model!$B$18)^28))</f>
        <v/>
      </c>
      <c r="AQ20" s="7">
        <f>IF(A20="","",IF((A20+29)&gt;Model!$B$4,0,MAX(0,Model!$B$6-IF((A20+29)&gt;=Model!$B$11,Model!$B$20,0)-IF(29&lt;Model!$B$15,Model!$B$22,0))/(1-Model!$B$9)/(1+Model!$B$18)^29))</f>
        <v/>
      </c>
      <c r="AR20" s="7">
        <f>IF(A20="","",IF((A20+30)&gt;Model!$B$4,0,MAX(0,Model!$B$6-IF((A20+30)&gt;=Model!$B$11,Model!$B$20,0)-IF(30&lt;Model!$B$15,Model!$B$22,0))/(1-Model!$B$9)/(1+Model!$B$18)^30))</f>
        <v/>
      </c>
      <c r="AS20" s="7">
        <f>IF(A20="","",IF((A20+31)&gt;Model!$B$4,0,MAX(0,Model!$B$6-IF((A20+31)&gt;=Model!$B$11,Model!$B$20,0)-IF(31&lt;Model!$B$15,Model!$B$22,0))/(1-Model!$B$9)/(1+Model!$B$18)^31))</f>
        <v/>
      </c>
      <c r="AT20" s="7">
        <f>IF(A20="","",IF((A20+32)&gt;Model!$B$4,0,MAX(0,Model!$B$6-IF((A20+32)&gt;=Model!$B$11,Model!$B$20,0)-IF(32&lt;Model!$B$15,Model!$B$22,0))/(1-Model!$B$9)/(1+Model!$B$18)^32))</f>
        <v/>
      </c>
      <c r="AU20" s="7">
        <f>IF(A20="","",IF((A20+33)&gt;Model!$B$4,0,MAX(0,Model!$B$6-IF((A20+33)&gt;=Model!$B$11,Model!$B$20,0)-IF(33&lt;Model!$B$15,Model!$B$22,0))/(1-Model!$B$9)/(1+Model!$B$18)^33))</f>
        <v/>
      </c>
      <c r="AV20" s="7">
        <f>IF(A20="","",IF((A20+34)&gt;Model!$B$4,0,MAX(0,Model!$B$6-IF((A20+34)&gt;=Model!$B$11,Model!$B$20,0)-IF(34&lt;Model!$B$15,Model!$B$22,0))/(1-Model!$B$9)/(1+Model!$B$18)^34))</f>
        <v/>
      </c>
      <c r="AW20" s="7">
        <f>IF(A20="","",IF((A20+35)&gt;Model!$B$4,0,MAX(0,Model!$B$6-IF((A20+35)&gt;=Model!$B$11,Model!$B$20,0)-IF(35&lt;Model!$B$15,Model!$B$22,0))/(1-Model!$B$9)/(1+Model!$B$18)^35))</f>
        <v/>
      </c>
      <c r="AX20" s="7">
        <f>IF(A20="","",IF((A20+36)&gt;Model!$B$4,0,MAX(0,Model!$B$6-IF((A20+36)&gt;=Model!$B$11,Model!$B$20,0)-IF(36&lt;Model!$B$15,Model!$B$22,0))/(1-Model!$B$9)/(1+Model!$B$18)^36))</f>
        <v/>
      </c>
      <c r="AY20" s="7">
        <f>IF(A20="","",IF((A20+37)&gt;Model!$B$4,0,MAX(0,Model!$B$6-IF((A20+37)&gt;=Model!$B$11,Model!$B$20,0)-IF(37&lt;Model!$B$15,Model!$B$22,0))/(1-Model!$B$9)/(1+Model!$B$18)^37))</f>
        <v/>
      </c>
      <c r="AZ20" s="7">
        <f>IF(A20="","",IF((A20+38)&gt;Model!$B$4,0,MAX(0,Model!$B$6-IF((A20+38)&gt;=Model!$B$11,Model!$B$20,0)-IF(38&lt;Model!$B$15,Model!$B$22,0))/(1-Model!$B$9)/(1+Model!$B$18)^38))</f>
        <v/>
      </c>
      <c r="BA20" s="7">
        <f>IF(A20="","",IF((A20+39)&gt;Model!$B$4,0,MAX(0,Model!$B$6-IF((A20+39)&gt;=Model!$B$11,Model!$B$20,0)-IF(39&lt;Model!$B$15,Model!$B$22,0))/(1-Model!$B$9)/(1+Model!$B$18)^39))</f>
        <v/>
      </c>
      <c r="BB20" s="7">
        <f>IF(A20="","",IF((A20+40)&gt;Model!$B$4,0,MAX(0,Model!$B$6-IF((A20+40)&gt;=Model!$B$11,Model!$B$20,0)-IF(40&lt;Model!$B$15,Model!$B$22,0))/(1-Model!$B$9)/(1+Model!$B$18)^40))</f>
        <v/>
      </c>
      <c r="BC20" s="7">
        <f>IF(A20="","",IF((A20+41)&gt;Model!$B$4,0,MAX(0,Model!$B$6-IF((A20+41)&gt;=Model!$B$11,Model!$B$20,0)-IF(41&lt;Model!$B$15,Model!$B$22,0))/(1-Model!$B$9)/(1+Model!$B$18)^41))</f>
        <v/>
      </c>
      <c r="BD20" s="7">
        <f>IF(A20="","",IF((A20+42)&gt;Model!$B$4,0,MAX(0,Model!$B$6-IF((A20+42)&gt;=Model!$B$11,Model!$B$20,0)-IF(42&lt;Model!$B$15,Model!$B$22,0))/(1-Model!$B$9)/(1+Model!$B$18)^42))</f>
        <v/>
      </c>
      <c r="BE20" s="7">
        <f>IF(A20="","",IF((A20+43)&gt;Model!$B$4,0,MAX(0,Model!$B$6-IF((A20+43)&gt;=Model!$B$11,Model!$B$20,0)-IF(43&lt;Model!$B$15,Model!$B$22,0))/(1-Model!$B$9)/(1+Model!$B$18)^43))</f>
        <v/>
      </c>
      <c r="BF20" s="7">
        <f>IF(A20="","",IF((A20+44)&gt;Model!$B$4,0,MAX(0,Model!$B$6-IF((A20+44)&gt;=Model!$B$11,Model!$B$20,0)-IF(44&lt;Model!$B$15,Model!$B$22,0))/(1-Model!$B$9)/(1+Model!$B$18)^44))</f>
        <v/>
      </c>
      <c r="BG20" s="7">
        <f>IF(A20="","",IF((A20+45)&gt;Model!$B$4,0,MAX(0,Model!$B$6-IF((A20+45)&gt;=Model!$B$11,Model!$B$20,0)-IF(45&lt;Model!$B$15,Model!$B$22,0))/(1-Model!$B$9)/(1+Model!$B$18)^45))</f>
        <v/>
      </c>
      <c r="BH20" s="7">
        <f>IF(A20="","",IF((A20+46)&gt;Model!$B$4,0,MAX(0,Model!$B$6-IF((A20+46)&gt;=Model!$B$11,Model!$B$20,0)-IF(46&lt;Model!$B$15,Model!$B$22,0))/(1-Model!$B$9)/(1+Model!$B$18)^46))</f>
        <v/>
      </c>
      <c r="BI20" s="7">
        <f>IF(A20="","",IF((A20+47)&gt;Model!$B$4,0,MAX(0,Model!$B$6-IF((A20+47)&gt;=Model!$B$11,Model!$B$20,0)-IF(47&lt;Model!$B$15,Model!$B$22,0))/(1-Model!$B$9)/(1+Model!$B$18)^47))</f>
        <v/>
      </c>
      <c r="BJ20" s="7">
        <f>IF(A20="","",IF((A20+48)&gt;Model!$B$4,0,MAX(0,Model!$B$6-IF((A20+48)&gt;=Model!$B$11,Model!$B$20,0)-IF(48&lt;Model!$B$15,Model!$B$22,0))/(1-Model!$B$9)/(1+Model!$B$18)^48))</f>
        <v/>
      </c>
      <c r="BK20" s="7">
        <f>IF(A20="","",IF((A20+49)&gt;Model!$B$4,0,MAX(0,Model!$B$6-IF((A20+49)&gt;=Model!$B$11,Model!$B$20,0)-IF(49&lt;Model!$B$15,Model!$B$22,0))/(1-Model!$B$9)/(1+Model!$B$18)^49))</f>
        <v/>
      </c>
      <c r="BL20" s="7">
        <f>IF(A20="","",IF((A20+50)&gt;Model!$B$4,0,MAX(0,Model!$B$6-IF((A20+50)&gt;=Model!$B$11,Model!$B$20,0)-IF(50&lt;Model!$B$15,Model!$B$22,0))/(1-Model!$B$9)/(1+Model!$B$18)^50))</f>
        <v/>
      </c>
      <c r="BM20" s="7">
        <f>IF(A20="","",IF((A20+51)&gt;Model!$B$4,0,MAX(0,Model!$B$6-IF((A20+51)&gt;=Model!$B$11,Model!$B$20,0)-IF(51&lt;Model!$B$15,Model!$B$22,0))/(1-Model!$B$9)/(1+Model!$B$18)^51))</f>
        <v/>
      </c>
      <c r="BN20" s="7">
        <f>IF(A20="","",IF((A20+52)&gt;Model!$B$4,0,MAX(0,Model!$B$6-IF((A20+52)&gt;=Model!$B$11,Model!$B$20,0)-IF(52&lt;Model!$B$15,Model!$B$22,0))/(1-Model!$B$9)/(1+Model!$B$18)^52))</f>
        <v/>
      </c>
      <c r="BO20" s="7">
        <f>IF(A20="","",IF((A20+53)&gt;Model!$B$4,0,MAX(0,Model!$B$6-IF((A20+53)&gt;=Model!$B$11,Model!$B$20,0)-IF(53&lt;Model!$B$15,Model!$B$22,0))/(1-Model!$B$9)/(1+Model!$B$18)^53))</f>
        <v/>
      </c>
      <c r="BP20" s="7">
        <f>IF(A20="","",IF((A20+54)&gt;Model!$B$4,0,MAX(0,Model!$B$6-IF((A20+54)&gt;=Model!$B$11,Model!$B$20,0)-IF(54&lt;Model!$B$15,Model!$B$22,0))/(1-Model!$B$9)/(1+Model!$B$18)^54))</f>
        <v/>
      </c>
      <c r="BQ20" s="7">
        <f>IF(A20="","",IF((A20+55)&gt;Model!$B$4,0,MAX(0,Model!$B$6-IF((A20+55)&gt;=Model!$B$11,Model!$B$20,0)-IF(55&lt;Model!$B$15,Model!$B$22,0))/(1-Model!$B$9)/(1+Model!$B$18)^55))</f>
        <v/>
      </c>
      <c r="BR20" s="7">
        <f>IF(A20="","",IF((A20+56)&gt;Model!$B$4,0,MAX(0,Model!$B$6-IF((A20+56)&gt;=Model!$B$11,Model!$B$20,0)-IF(56&lt;Model!$B$15,Model!$B$22,0))/(1-Model!$B$9)/(1+Model!$B$18)^56))</f>
        <v/>
      </c>
      <c r="BS20" s="7">
        <f>IF(A20="","",IF((A20+57)&gt;Model!$B$4,0,MAX(0,Model!$B$6-IF((A20+57)&gt;=Model!$B$11,Model!$B$20,0)-IF(57&lt;Model!$B$15,Model!$B$22,0))/(1-Model!$B$9)/(1+Model!$B$18)^57))</f>
        <v/>
      </c>
      <c r="BT20" s="7">
        <f>IF(A20="","",IF((A20+58)&gt;Model!$B$4,0,MAX(0,Model!$B$6-IF((A20+58)&gt;=Model!$B$11,Model!$B$20,0)-IF(58&lt;Model!$B$15,Model!$B$22,0))/(1-Model!$B$9)/(1+Model!$B$18)^58))</f>
        <v/>
      </c>
      <c r="BU20" s="7">
        <f>IF(A20="","",IF((A20+59)&gt;Model!$B$4,0,MAX(0,Model!$B$6-IF((A20+59)&gt;=Model!$B$11,Model!$B$20,0)-IF(59&lt;Model!$B$15,Model!$B$22,0))/(1-Model!$B$9)/(1+Model!$B$18)^59))</f>
        <v/>
      </c>
      <c r="BV20" s="7">
        <f>IF(A20="","",IF((A20+60)&gt;Model!$B$4,0,MAX(0,Model!$B$6-IF((A20+60)&gt;=Model!$B$11,Model!$B$20,0)-IF(60&lt;Model!$B$15,Model!$B$22,0))/(1-Model!$B$9)/(1+Model!$B$18)^60))</f>
        <v/>
      </c>
      <c r="BW20" s="7">
        <f>IF(A20="","",IF((A20+61)&gt;Model!$B$4,0,MAX(0,Model!$B$6-IF((A20+61)&gt;=Model!$B$11,Model!$B$20,0)-IF(61&lt;Model!$B$15,Model!$B$22,0))/(1-Model!$B$9)/(1+Model!$B$18)^61))</f>
        <v/>
      </c>
      <c r="BX20" s="7">
        <f>IF(A20="","",IF((A20+62)&gt;Model!$B$4,0,MAX(0,Model!$B$6-IF((A20+62)&gt;=Model!$B$11,Model!$B$20,0)-IF(62&lt;Model!$B$15,Model!$B$22,0))/(1-Model!$B$9)/(1+Model!$B$18)^62))</f>
        <v/>
      </c>
      <c r="BY20" s="7">
        <f>IF(A20="","",IF((A20+63)&gt;Model!$B$4,0,MAX(0,Model!$B$6-IF((A20+63)&gt;=Model!$B$11,Model!$B$20,0)-IF(63&lt;Model!$B$15,Model!$B$22,0))/(1-Model!$B$9)/(1+Model!$B$18)^63))</f>
        <v/>
      </c>
      <c r="BZ20" s="7">
        <f>IF(A20="","",IF((A20+64)&gt;Model!$B$4,0,MAX(0,Model!$B$6-IF((A20+64)&gt;=Model!$B$11,Model!$B$20,0)-IF(64&lt;Model!$B$15,Model!$B$22,0))/(1-Model!$B$9)/(1+Model!$B$18)^64))</f>
        <v/>
      </c>
      <c r="CA20" s="7">
        <f>IF(A20="","",IF((A20+65)&gt;Model!$B$4,0,MAX(0,Model!$B$6-IF((A20+65)&gt;=Model!$B$11,Model!$B$20,0)-IF(65&lt;Model!$B$15,Model!$B$22,0))/(1-Model!$B$9)/(1+Model!$B$18)^65))</f>
        <v/>
      </c>
      <c r="CB20" s="7">
        <f>IF(A20="","",IF((A20+66)&gt;Model!$B$4,0,MAX(0,Model!$B$6-IF((A20+66)&gt;=Model!$B$11,Model!$B$20,0)-IF(66&lt;Model!$B$15,Model!$B$22,0))/(1-Model!$B$9)/(1+Model!$B$18)^66))</f>
        <v/>
      </c>
      <c r="CC20" s="7">
        <f>IF(A20="","",IF((A20+67)&gt;Model!$B$4,0,MAX(0,Model!$B$6-IF((A20+67)&gt;=Model!$B$11,Model!$B$20,0)-IF(67&lt;Model!$B$15,Model!$B$22,0))/(1-Model!$B$9)/(1+Model!$B$18)^67))</f>
        <v/>
      </c>
      <c r="CD20" s="7">
        <f>IF(A20="","",IF((A20+68)&gt;Model!$B$4,0,MAX(0,Model!$B$6-IF((A20+68)&gt;=Model!$B$11,Model!$B$20,0)-IF(68&lt;Model!$B$15,Model!$B$22,0))/(1-Model!$B$9)/(1+Model!$B$18)^68))</f>
        <v/>
      </c>
      <c r="CE20" s="7">
        <f>IF(A20="","",IF((A20+69)&gt;Model!$B$4,0,MAX(0,Model!$B$6-IF((A20+69)&gt;=Model!$B$11,Model!$B$20,0)-IF(69&lt;Model!$B$15,Model!$B$22,0))/(1-Model!$B$9)/(1+Model!$B$18)^69))</f>
        <v/>
      </c>
      <c r="CF20" s="7">
        <f>IF(A20="","",IF((A20+70)&gt;Model!$B$4,0,MAX(0,Model!$B$6-IF((A20+70)&gt;=Model!$B$11,Model!$B$20,0)-IF(70&lt;Model!$B$15,Model!$B$22,0))/(1-Model!$B$9)/(1+Model!$B$18)^70))</f>
        <v/>
      </c>
      <c r="CG20" s="7">
        <f>IF(A20="","",IF((A20+71)&gt;Model!$B$4,0,MAX(0,Model!$B$6-IF((A20+71)&gt;=Model!$B$11,Model!$B$20,0)-IF(71&lt;Model!$B$15,Model!$B$22,0))/(1-Model!$B$9)/(1+Model!$B$18)^71))</f>
        <v/>
      </c>
      <c r="CH20" s="7">
        <f>IF(A20="","",IF((A20+72)&gt;Model!$B$4,0,MAX(0,Model!$B$6-IF((A20+72)&gt;=Model!$B$11,Model!$B$20,0)-IF(72&lt;Model!$B$15,Model!$B$22,0))/(1-Model!$B$9)/(1+Model!$B$18)^72))</f>
        <v/>
      </c>
      <c r="CI20" s="7">
        <f>IF(A20="","",IF((A20+73)&gt;Model!$B$4,0,MAX(0,Model!$B$6-IF((A20+73)&gt;=Model!$B$11,Model!$B$20,0)-IF(73&lt;Model!$B$15,Model!$B$22,0))/(1-Model!$B$9)/(1+Model!$B$18)^73))</f>
        <v/>
      </c>
      <c r="CJ20" s="7">
        <f>IF(A20="","",IF((A20+74)&gt;Model!$B$4,0,MAX(0,Model!$B$6-IF((A20+74)&gt;=Model!$B$11,Model!$B$20,0)-IF(74&lt;Model!$B$15,Model!$B$22,0))/(1-Model!$B$9)/(1+Model!$B$18)^74))</f>
        <v/>
      </c>
      <c r="CK20" s="7">
        <f>IF(A20="","",IF((A20+75)&gt;Model!$B$4,0,MAX(0,Model!$B$6-IF((A20+75)&gt;=Model!$B$11,Model!$B$20,0)-IF(75&lt;Model!$B$15,Model!$B$22,0))/(1-Model!$B$9)/(1+Model!$B$18)^75))</f>
        <v/>
      </c>
      <c r="CL20" s="7">
        <f>IF(A20="","",IF((A20+76)&gt;Model!$B$4,0,MAX(0,Model!$B$6-IF((A20+76)&gt;=Model!$B$11,Model!$B$20,0)-IF(76&lt;Model!$B$15,Model!$B$22,0))/(1-Model!$B$9)/(1+Model!$B$18)^76))</f>
        <v/>
      </c>
      <c r="CM20" s="7">
        <f>IF(A20="","",IF((A20+77)&gt;Model!$B$4,0,MAX(0,Model!$B$6-IF((A20+77)&gt;=Model!$B$11,Model!$B$20,0)-IF(77&lt;Model!$B$15,Model!$B$22,0))/(1-Model!$B$9)/(1+Model!$B$18)^77))</f>
        <v/>
      </c>
      <c r="CN20" s="7">
        <f>IF(A20="","",IF((A20+78)&gt;Model!$B$4,0,MAX(0,Model!$B$6-IF((A20+78)&gt;=Model!$B$11,Model!$B$20,0)-IF(78&lt;Model!$B$15,Model!$B$22,0))/(1-Model!$B$9)/(1+Model!$B$18)^78))</f>
        <v/>
      </c>
      <c r="CO20" s="7">
        <f>IF(A20="","",IF((A20+79)&gt;Model!$B$4,0,MAX(0,Model!$B$6-IF((A20+79)&gt;=Model!$B$11,Model!$B$20,0)-IF(79&lt;Model!$B$15,Model!$B$22,0))/(1-Model!$B$9)/(1+Model!$B$18)^79))</f>
        <v/>
      </c>
      <c r="CP20" s="7">
        <f>IF(A20="","",IF((A20+80)&gt;Model!$B$4,0,MAX(0,Model!$B$6-IF((A20+80)&gt;=Model!$B$11,Model!$B$20,0)-IF(80&lt;Model!$B$15,Model!$B$22,0))/(1-Model!$B$9)/(1+Model!$B$18)^80))</f>
        <v/>
      </c>
      <c r="CQ20" s="7">
        <f>IF(A20="","",IF((A20+81)&gt;Model!$B$4,0,MAX(0,Model!$B$6-IF((A20+81)&gt;=Model!$B$11,Model!$B$20,0)-IF(81&lt;Model!$B$15,Model!$B$22,0))/(1-Model!$B$9)/(1+Model!$B$18)^81))</f>
        <v/>
      </c>
      <c r="CR20" s="7">
        <f>IF(A20="","",IF((A20+82)&gt;Model!$B$4,0,MAX(0,Model!$B$6-IF((A20+82)&gt;=Model!$B$11,Model!$B$20,0)-IF(82&lt;Model!$B$15,Model!$B$22,0))/(1-Model!$B$9)/(1+Model!$B$18)^82))</f>
        <v/>
      </c>
      <c r="CS20" s="7">
        <f>IF(A20="","",IF((A20+83)&gt;Model!$B$4,0,MAX(0,Model!$B$6-IF((A20+83)&gt;=Model!$B$11,Model!$B$20,0)-IF(83&lt;Model!$B$15,Model!$B$22,0))/(1-Model!$B$9)/(1+Model!$B$18)^83))</f>
        <v/>
      </c>
      <c r="CT20" s="7">
        <f>IF(A20="","",IF((A20+84)&gt;Model!$B$4,0,MAX(0,Model!$B$6-IF((A20+84)&gt;=Model!$B$11,Model!$B$20,0)-IF(84&lt;Model!$B$15,Model!$B$22,0))/(1-Model!$B$9)/(1+Model!$B$18)^84))</f>
        <v/>
      </c>
      <c r="CU20" s="7">
        <f>IF(A20="","",IF((A20+85)&gt;Model!$B$4,0,MAX(0,Model!$B$6-IF((A20+85)&gt;=Model!$B$11,Model!$B$20,0)-IF(85&lt;Model!$B$15,Model!$B$22,0))/(1-Model!$B$9)/(1+Model!$B$18)^85))</f>
        <v/>
      </c>
      <c r="CV20" s="7">
        <f>IF(A20="","",IF((A20+86)&gt;Model!$B$4,0,MAX(0,Model!$B$6-IF((A20+86)&gt;=Model!$B$11,Model!$B$20,0)-IF(86&lt;Model!$B$15,Model!$B$22,0))/(1-Model!$B$9)/(1+Model!$B$18)^86))</f>
        <v/>
      </c>
      <c r="CW20" s="7">
        <f>IF(A20="","",IF((A20+87)&gt;Model!$B$4,0,MAX(0,Model!$B$6-IF((A20+87)&gt;=Model!$B$11,Model!$B$20,0)-IF(87&lt;Model!$B$15,Model!$B$22,0))/(1-Model!$B$9)/(1+Model!$B$18)^87))</f>
        <v/>
      </c>
      <c r="CX20" s="7">
        <f>IF(A20="","",IF((A20+88)&gt;Model!$B$4,0,MAX(0,Model!$B$6-IF((A20+88)&gt;=Model!$B$11,Model!$B$20,0)-IF(88&lt;Model!$B$15,Model!$B$22,0))/(1-Model!$B$9)/(1+Model!$B$18)^88))</f>
        <v/>
      </c>
      <c r="CY20" s="7">
        <f>IF(A20="","",IF((A20+89)&gt;Model!$B$4,0,MAX(0,Model!$B$6-IF((A20+89)&gt;=Model!$B$11,Model!$B$20,0)-IF(89&lt;Model!$B$15,Model!$B$22,0))/(1-Model!$B$9)/(1+Model!$B$18)^89))</f>
        <v/>
      </c>
      <c r="CZ20" s="7">
        <f>IF(A20="","",IF((A20+90)&gt;Model!$B$4,0,MAX(0,Model!$B$6-IF((A20+90)&gt;=Model!$B$11,Model!$B$20,0)-IF(90&lt;Model!$B$15,Model!$B$22,0))/(1-Model!$B$9)/(1+Model!$B$18)^90))</f>
        <v/>
      </c>
      <c r="DA20" s="7">
        <f>IF(A20="","",IF((A20+91)&gt;Model!$B$4,0,MAX(0,Model!$B$6-IF((A20+91)&gt;=Model!$B$11,Model!$B$20,0)-IF(91&lt;Model!$B$15,Model!$B$22,0))/(1-Model!$B$9)/(1+Model!$B$18)^91))</f>
        <v/>
      </c>
      <c r="DB20" s="7">
        <f>IF(A20="","",IF((A20+92)&gt;Model!$B$4,0,MAX(0,Model!$B$6-IF((A20+92)&gt;=Model!$B$11,Model!$B$20,0)-IF(92&lt;Model!$B$15,Model!$B$22,0))/(1-Model!$B$9)/(1+Model!$B$18)^92))</f>
        <v/>
      </c>
      <c r="DC20" s="7">
        <f>IF(A20="","",IF((A20+93)&gt;Model!$B$4,0,MAX(0,Model!$B$6-IF((A20+93)&gt;=Model!$B$11,Model!$B$20,0)-IF(93&lt;Model!$B$15,Model!$B$22,0))/(1-Model!$B$9)/(1+Model!$B$18)^93))</f>
        <v/>
      </c>
      <c r="DD20" s="7">
        <f>IF(A20="","",IF((A20+94)&gt;Model!$B$4,0,MAX(0,Model!$B$6-IF((A20+94)&gt;=Model!$B$11,Model!$B$20,0)-IF(94&lt;Model!$B$15,Model!$B$22,0))/(1-Model!$B$9)/(1+Model!$B$18)^94))</f>
        <v/>
      </c>
      <c r="DE20" s="7">
        <f>IF(A20="","",IF((A20+95)&gt;Model!$B$4,0,MAX(0,Model!$B$6-IF((A20+95)&gt;=Model!$B$11,Model!$B$20,0)-IF(95&lt;Model!$B$15,Model!$B$22,0))/(1-Model!$B$9)/(1+Model!$B$18)^95))</f>
        <v/>
      </c>
      <c r="DF20" s="7">
        <f>IF(A20="","",IF((A20+96)&gt;Model!$B$4,0,MAX(0,Model!$B$6-IF((A20+96)&gt;=Model!$B$11,Model!$B$20,0)-IF(96&lt;Model!$B$15,Model!$B$22,0))/(1-Model!$B$9)/(1+Model!$B$18)^96))</f>
        <v/>
      </c>
      <c r="DG20" s="7">
        <f>IF(A20="","",IF((A20+97)&gt;Model!$B$4,0,MAX(0,Model!$B$6-IF((A20+97)&gt;=Model!$B$11,Model!$B$20,0)-IF(97&lt;Model!$B$15,Model!$B$22,0))/(1-Model!$B$9)/(1+Model!$B$18)^97))</f>
        <v/>
      </c>
      <c r="DH20" s="7">
        <f>IF(A20="","",IF((A20+98)&gt;Model!$B$4,0,MAX(0,Model!$B$6-IF((A20+98)&gt;=Model!$B$11,Model!$B$20,0)-IF(98&lt;Model!$B$15,Model!$B$22,0))/(1-Model!$B$9)/(1+Model!$B$18)^98))</f>
        <v/>
      </c>
      <c r="DI20" s="7">
        <f>IF(A20="","",IF((A20+99)&gt;Model!$B$4,0,MAX(0,Model!$B$6-IF((A20+99)&gt;=Model!$B$11,Model!$B$20,0)-IF(99&lt;Model!$B$15,Model!$B$22,0))/(1-Model!$B$9)/(1+Model!$B$18)^99))</f>
        <v/>
      </c>
      <c r="DJ20" s="7">
        <f>IF(A20="","",IF((A20+100)&gt;Model!$B$4,0,MAX(0,Model!$B$6-IF((A20+100)&gt;=Model!$B$11,Model!$B$20,0)-IF(100&lt;Model!$B$15,Model!$B$22,0))/(1-Model!$B$9)/(1+Model!$B$18)^100))</f>
        <v/>
      </c>
      <c r="DK20" s="7">
        <f>IF(A20="","",IF((A20+101)&gt;Model!$B$4,0,MAX(0,Model!$B$6-IF((A20+101)&gt;=Model!$B$11,Model!$B$20,0)-IF(101&lt;Model!$B$15,Model!$B$22,0))/(1-Model!$B$9)/(1+Model!$B$18)^101))</f>
        <v/>
      </c>
      <c r="DL20" s="7">
        <f>IF(A20="","",IF((A20+102)&gt;Model!$B$4,0,MAX(0,Model!$B$6-IF((A20+102)&gt;=Model!$B$11,Model!$B$20,0)-IF(102&lt;Model!$B$15,Model!$B$22,0))/(1-Model!$B$9)/(1+Model!$B$18)^102))</f>
        <v/>
      </c>
      <c r="DM20" s="7">
        <f>IF(A20="","",IF((A20+103)&gt;Model!$B$4,0,MAX(0,Model!$B$6-IF((A20+103)&gt;=Model!$B$11,Model!$B$20,0)-IF(103&lt;Model!$B$15,Model!$B$22,0))/(1-Model!$B$9)/(1+Model!$B$18)^103))</f>
        <v/>
      </c>
      <c r="DN20" s="7">
        <f>IF(A20="","",IF((A20+104)&gt;Model!$B$4,0,MAX(0,Model!$B$6-IF((A20+104)&gt;=Model!$B$11,Model!$B$20,0)-IF(104&lt;Model!$B$15,Model!$B$22,0))/(1-Model!$B$9)/(1+Model!$B$18)^104))</f>
        <v/>
      </c>
      <c r="DO20" s="7">
        <f>IF(A20="","",IF((A20+105)&gt;Model!$B$4,0,MAX(0,Model!$B$6-IF((A20+105)&gt;=Model!$B$11,Model!$B$20,0)-IF(105&lt;Model!$B$15,Model!$B$22,0))/(1-Model!$B$9)/(1+Model!$B$18)^105))</f>
        <v/>
      </c>
      <c r="DP20" s="7">
        <f>IF(A20="","",IF((A20+106)&gt;Model!$B$4,0,MAX(0,Model!$B$6-IF((A20+106)&gt;=Model!$B$11,Model!$B$20,0)-IF(106&lt;Model!$B$15,Model!$B$22,0))/(1-Model!$B$9)/(1+Model!$B$18)^106))</f>
        <v/>
      </c>
      <c r="DQ20" s="7">
        <f>IF(A20="","",IF((A20+107)&gt;Model!$B$4,0,MAX(0,Model!$B$6-IF((A20+107)&gt;=Model!$B$11,Model!$B$20,0)-IF(107&lt;Model!$B$15,Model!$B$22,0))/(1-Model!$B$9)/(1+Model!$B$18)^107))</f>
        <v/>
      </c>
      <c r="DR20" s="7">
        <f>IF(A20="","",IF((A20+108)&gt;Model!$B$4,0,MAX(0,Model!$B$6-IF((A20+108)&gt;=Model!$B$11,Model!$B$20,0)-IF(108&lt;Model!$B$15,Model!$B$22,0))/(1-Model!$B$9)/(1+Model!$B$18)^108))</f>
        <v/>
      </c>
      <c r="DS20" s="7">
        <f>IF(A20="","",IF((A20+109)&gt;Model!$B$4,0,MAX(0,Model!$B$6-IF((A20+109)&gt;=Model!$B$11,Model!$B$20,0)-IF(109&lt;Model!$B$15,Model!$B$22,0))/(1-Model!$B$9)/(1+Model!$B$18)^109))</f>
        <v/>
      </c>
      <c r="DT20" s="7">
        <f>IF(A20="","",IF((A20+110)&gt;Model!$B$4,0,MAX(0,Model!$B$6-IF((A20+110)&gt;=Model!$B$11,Model!$B$20,0)-IF(110&lt;Model!$B$15,Model!$B$22,0))/(1-Model!$B$9)/(1+Model!$B$18)^110))</f>
        <v/>
      </c>
      <c r="DU20" s="7">
        <f>IF(A20="","",IF((A20+111)&gt;Model!$B$4,0,MAX(0,Model!$B$6-IF((A20+111)&gt;=Model!$B$11,Model!$B$20,0)-IF(111&lt;Model!$B$15,Model!$B$22,0))/(1-Model!$B$9)/(1+Model!$B$18)^111))</f>
        <v/>
      </c>
      <c r="DV20" s="7">
        <f>IF(A20="","",IF((A20+112)&gt;Model!$B$4,0,MAX(0,Model!$B$6-IF((A20+112)&gt;=Model!$B$11,Model!$B$20,0)-IF(112&lt;Model!$B$15,Model!$B$22,0))/(1-Model!$B$9)/(1+Model!$B$18)^112))</f>
        <v/>
      </c>
      <c r="DW20" s="7">
        <f>IF(A20="","",IF((A20+113)&gt;Model!$B$4,0,MAX(0,Model!$B$6-IF((A20+113)&gt;=Model!$B$11,Model!$B$20,0)-IF(113&lt;Model!$B$15,Model!$B$22,0))/(1-Model!$B$9)/(1+Model!$B$18)^113))</f>
        <v/>
      </c>
      <c r="DX20" s="7">
        <f>IF(A20="","",IF((A20+114)&gt;Model!$B$4,0,MAX(0,Model!$B$6-IF((A20+114)&gt;=Model!$B$11,Model!$B$20,0)-IF(114&lt;Model!$B$15,Model!$B$22,0))/(1-Model!$B$9)/(1+Model!$B$18)^114))</f>
        <v/>
      </c>
      <c r="DY20" s="7">
        <f>IF(A20="","",IF((A20+115)&gt;Model!$B$4,0,MAX(0,Model!$B$6-IF((A20+115)&gt;=Model!$B$11,Model!$B$20,0)-IF(115&lt;Model!$B$15,Model!$B$22,0))/(1-Model!$B$9)/(1+Model!$B$18)^115))</f>
        <v/>
      </c>
      <c r="DZ20" s="7">
        <f>IF(A20="","",IF((A20+116)&gt;Model!$B$4,0,MAX(0,Model!$B$6-IF((A20+116)&gt;=Model!$B$11,Model!$B$20,0)-IF(116&lt;Model!$B$15,Model!$B$22,0))/(1-Model!$B$9)/(1+Model!$B$18)^116))</f>
        <v/>
      </c>
      <c r="EA20" s="7">
        <f>IF(A20="","",IF((A20+117)&gt;Model!$B$4,0,MAX(0,Model!$B$6-IF((A20+117)&gt;=Model!$B$11,Model!$B$20,0)-IF(117&lt;Model!$B$15,Model!$B$22,0))/(1-Model!$B$9)/(1+Model!$B$18)^117))</f>
        <v/>
      </c>
      <c r="EB20" s="7">
        <f>IF(A20="","",IF((A20+118)&gt;Model!$B$4,0,MAX(0,Model!$B$6-IF((A20+118)&gt;=Model!$B$11,Model!$B$20,0)-IF(118&lt;Model!$B$15,Model!$B$22,0))/(1-Model!$B$9)/(1+Model!$B$18)^118))</f>
        <v/>
      </c>
      <c r="EC20" s="7">
        <f>IF(A20="","",IF((A20+119)&gt;Model!$B$4,0,MAX(0,Model!$B$6-IF((A20+119)&gt;=Model!$B$11,Model!$B$20,0)-IF(119&lt;Model!$B$15,Model!$B$22,0))/(1-Model!$B$9)/(1+Model!$B$18)^119))</f>
        <v/>
      </c>
      <c r="ED20" s="7">
        <f>IF(A20="","",IF((A20+120)&gt;Model!$B$4,0,MAX(0,Model!$B$6-IF((A20+120)&gt;=Model!$B$11,Model!$B$20,0)-IF(120&lt;Model!$B$15,Model!$B$22,0))/(1-Model!$B$9)/(1+Model!$B$18)^120))</f>
        <v/>
      </c>
    </row>
    <row r="21">
      <c r="A21">
        <f>IF(Model!$B$10+ROW()-2&lt;=Model!$B$4,Model!$B$10+ROW()-2,"")</f>
        <v/>
      </c>
      <c r="B21">
        <f>IF(A21="","",A21-Model!$B$10)</f>
        <v/>
      </c>
      <c r="C21" s="7">
        <f>IF(A21="","",Model!$B$5*(1+Model!$B$18)^B21)</f>
        <v/>
      </c>
      <c r="D21" s="7">
        <f>IF(A21="","",SUM(N21:ED21))</f>
        <v/>
      </c>
      <c r="E21" s="7">
        <f>IF(A21="","",IF(A21&gt;=Model!$B$11,Model!$B$20,0))</f>
        <v/>
      </c>
      <c r="F21" s="7">
        <f>IF(A21="","",IF(Model!$B$15&gt;0,Model!$B$22,0))</f>
        <v/>
      </c>
      <c r="G21" s="7">
        <f>IF(A21="","",E21+F21)</f>
        <v/>
      </c>
      <c r="H21" s="7">
        <f>IF(A21="","",MAX(0,Model!$B$6-G21))</f>
        <v/>
      </c>
      <c r="I21" s="7">
        <f>IF(A21="","",H21/(1-Model!$B$9))</f>
        <v/>
      </c>
      <c r="J21" s="7">
        <f>IF(A21="","",C21-D21)</f>
        <v/>
      </c>
      <c r="K21">
        <f>IF(A21="","",C21&gt;=D21)</f>
        <v/>
      </c>
      <c r="L21" s="7">
        <f>IF(A21="","",IF(A21&gt;=Model!$B$11,Model!$B$19*(1+Model!$B$13)^B21,0))</f>
        <v/>
      </c>
      <c r="M21" s="7">
        <f>IF(A21="","",IF(Model!$B$15&gt;0,Model!$B$21*(1+Model!$B$13)^B21,0))</f>
        <v/>
      </c>
      <c r="N21" s="7">
        <f>IF(A21="","",IF((A21+0)&gt;Model!$B$4,0,MAX(0,Model!$B$6-IF((A21+0)&gt;=Model!$B$11,Model!$B$20,0)-IF(0&lt;Model!$B$15,Model!$B$22,0))/(1-Model!$B$9)/(1+Model!$B$18)^0))</f>
        <v/>
      </c>
      <c r="O21" s="7">
        <f>IF(A21="","",IF((A21+1)&gt;Model!$B$4,0,MAX(0,Model!$B$6-IF((A21+1)&gt;=Model!$B$11,Model!$B$20,0)-IF(1&lt;Model!$B$15,Model!$B$22,0))/(1-Model!$B$9)/(1+Model!$B$18)^1))</f>
        <v/>
      </c>
      <c r="P21" s="7">
        <f>IF(A21="","",IF((A21+2)&gt;Model!$B$4,0,MAX(0,Model!$B$6-IF((A21+2)&gt;=Model!$B$11,Model!$B$20,0)-IF(2&lt;Model!$B$15,Model!$B$22,0))/(1-Model!$B$9)/(1+Model!$B$18)^2))</f>
        <v/>
      </c>
      <c r="Q21" s="7">
        <f>IF(A21="","",IF((A21+3)&gt;Model!$B$4,0,MAX(0,Model!$B$6-IF((A21+3)&gt;=Model!$B$11,Model!$B$20,0)-IF(3&lt;Model!$B$15,Model!$B$22,0))/(1-Model!$B$9)/(1+Model!$B$18)^3))</f>
        <v/>
      </c>
      <c r="R21" s="7">
        <f>IF(A21="","",IF((A21+4)&gt;Model!$B$4,0,MAX(0,Model!$B$6-IF((A21+4)&gt;=Model!$B$11,Model!$B$20,0)-IF(4&lt;Model!$B$15,Model!$B$22,0))/(1-Model!$B$9)/(1+Model!$B$18)^4))</f>
        <v/>
      </c>
      <c r="S21" s="7">
        <f>IF(A21="","",IF((A21+5)&gt;Model!$B$4,0,MAX(0,Model!$B$6-IF((A21+5)&gt;=Model!$B$11,Model!$B$20,0)-IF(5&lt;Model!$B$15,Model!$B$22,0))/(1-Model!$B$9)/(1+Model!$B$18)^5))</f>
        <v/>
      </c>
      <c r="T21" s="7">
        <f>IF(A21="","",IF((A21+6)&gt;Model!$B$4,0,MAX(0,Model!$B$6-IF((A21+6)&gt;=Model!$B$11,Model!$B$20,0)-IF(6&lt;Model!$B$15,Model!$B$22,0))/(1-Model!$B$9)/(1+Model!$B$18)^6))</f>
        <v/>
      </c>
      <c r="U21" s="7">
        <f>IF(A21="","",IF((A21+7)&gt;Model!$B$4,0,MAX(0,Model!$B$6-IF((A21+7)&gt;=Model!$B$11,Model!$B$20,0)-IF(7&lt;Model!$B$15,Model!$B$22,0))/(1-Model!$B$9)/(1+Model!$B$18)^7))</f>
        <v/>
      </c>
      <c r="V21" s="7">
        <f>IF(A21="","",IF((A21+8)&gt;Model!$B$4,0,MAX(0,Model!$B$6-IF((A21+8)&gt;=Model!$B$11,Model!$B$20,0)-IF(8&lt;Model!$B$15,Model!$B$22,0))/(1-Model!$B$9)/(1+Model!$B$18)^8))</f>
        <v/>
      </c>
      <c r="W21" s="7">
        <f>IF(A21="","",IF((A21+9)&gt;Model!$B$4,0,MAX(0,Model!$B$6-IF((A21+9)&gt;=Model!$B$11,Model!$B$20,0)-IF(9&lt;Model!$B$15,Model!$B$22,0))/(1-Model!$B$9)/(1+Model!$B$18)^9))</f>
        <v/>
      </c>
      <c r="X21" s="7">
        <f>IF(A21="","",IF((A21+10)&gt;Model!$B$4,0,MAX(0,Model!$B$6-IF((A21+10)&gt;=Model!$B$11,Model!$B$20,0)-IF(10&lt;Model!$B$15,Model!$B$22,0))/(1-Model!$B$9)/(1+Model!$B$18)^10))</f>
        <v/>
      </c>
      <c r="Y21" s="7">
        <f>IF(A21="","",IF((A21+11)&gt;Model!$B$4,0,MAX(0,Model!$B$6-IF((A21+11)&gt;=Model!$B$11,Model!$B$20,0)-IF(11&lt;Model!$B$15,Model!$B$22,0))/(1-Model!$B$9)/(1+Model!$B$18)^11))</f>
        <v/>
      </c>
      <c r="Z21" s="7">
        <f>IF(A21="","",IF((A21+12)&gt;Model!$B$4,0,MAX(0,Model!$B$6-IF((A21+12)&gt;=Model!$B$11,Model!$B$20,0)-IF(12&lt;Model!$B$15,Model!$B$22,0))/(1-Model!$B$9)/(1+Model!$B$18)^12))</f>
        <v/>
      </c>
      <c r="AA21" s="7">
        <f>IF(A21="","",IF((A21+13)&gt;Model!$B$4,0,MAX(0,Model!$B$6-IF((A21+13)&gt;=Model!$B$11,Model!$B$20,0)-IF(13&lt;Model!$B$15,Model!$B$22,0))/(1-Model!$B$9)/(1+Model!$B$18)^13))</f>
        <v/>
      </c>
      <c r="AB21" s="7">
        <f>IF(A21="","",IF((A21+14)&gt;Model!$B$4,0,MAX(0,Model!$B$6-IF((A21+14)&gt;=Model!$B$11,Model!$B$20,0)-IF(14&lt;Model!$B$15,Model!$B$22,0))/(1-Model!$B$9)/(1+Model!$B$18)^14))</f>
        <v/>
      </c>
      <c r="AC21" s="7">
        <f>IF(A21="","",IF((A21+15)&gt;Model!$B$4,0,MAX(0,Model!$B$6-IF((A21+15)&gt;=Model!$B$11,Model!$B$20,0)-IF(15&lt;Model!$B$15,Model!$B$22,0))/(1-Model!$B$9)/(1+Model!$B$18)^15))</f>
        <v/>
      </c>
      <c r="AD21" s="7">
        <f>IF(A21="","",IF((A21+16)&gt;Model!$B$4,0,MAX(0,Model!$B$6-IF((A21+16)&gt;=Model!$B$11,Model!$B$20,0)-IF(16&lt;Model!$B$15,Model!$B$22,0))/(1-Model!$B$9)/(1+Model!$B$18)^16))</f>
        <v/>
      </c>
      <c r="AE21" s="7">
        <f>IF(A21="","",IF((A21+17)&gt;Model!$B$4,0,MAX(0,Model!$B$6-IF((A21+17)&gt;=Model!$B$11,Model!$B$20,0)-IF(17&lt;Model!$B$15,Model!$B$22,0))/(1-Model!$B$9)/(1+Model!$B$18)^17))</f>
        <v/>
      </c>
      <c r="AF21" s="7">
        <f>IF(A21="","",IF((A21+18)&gt;Model!$B$4,0,MAX(0,Model!$B$6-IF((A21+18)&gt;=Model!$B$11,Model!$B$20,0)-IF(18&lt;Model!$B$15,Model!$B$22,0))/(1-Model!$B$9)/(1+Model!$B$18)^18))</f>
        <v/>
      </c>
      <c r="AG21" s="7">
        <f>IF(A21="","",IF((A21+19)&gt;Model!$B$4,0,MAX(0,Model!$B$6-IF((A21+19)&gt;=Model!$B$11,Model!$B$20,0)-IF(19&lt;Model!$B$15,Model!$B$22,0))/(1-Model!$B$9)/(1+Model!$B$18)^19))</f>
        <v/>
      </c>
      <c r="AH21" s="7">
        <f>IF(A21="","",IF((A21+20)&gt;Model!$B$4,0,MAX(0,Model!$B$6-IF((A21+20)&gt;=Model!$B$11,Model!$B$20,0)-IF(20&lt;Model!$B$15,Model!$B$22,0))/(1-Model!$B$9)/(1+Model!$B$18)^20))</f>
        <v/>
      </c>
      <c r="AI21" s="7">
        <f>IF(A21="","",IF((A21+21)&gt;Model!$B$4,0,MAX(0,Model!$B$6-IF((A21+21)&gt;=Model!$B$11,Model!$B$20,0)-IF(21&lt;Model!$B$15,Model!$B$22,0))/(1-Model!$B$9)/(1+Model!$B$18)^21))</f>
        <v/>
      </c>
      <c r="AJ21" s="7">
        <f>IF(A21="","",IF((A21+22)&gt;Model!$B$4,0,MAX(0,Model!$B$6-IF((A21+22)&gt;=Model!$B$11,Model!$B$20,0)-IF(22&lt;Model!$B$15,Model!$B$22,0))/(1-Model!$B$9)/(1+Model!$B$18)^22))</f>
        <v/>
      </c>
      <c r="AK21" s="7">
        <f>IF(A21="","",IF((A21+23)&gt;Model!$B$4,0,MAX(0,Model!$B$6-IF((A21+23)&gt;=Model!$B$11,Model!$B$20,0)-IF(23&lt;Model!$B$15,Model!$B$22,0))/(1-Model!$B$9)/(1+Model!$B$18)^23))</f>
        <v/>
      </c>
      <c r="AL21" s="7">
        <f>IF(A21="","",IF((A21+24)&gt;Model!$B$4,0,MAX(0,Model!$B$6-IF((A21+24)&gt;=Model!$B$11,Model!$B$20,0)-IF(24&lt;Model!$B$15,Model!$B$22,0))/(1-Model!$B$9)/(1+Model!$B$18)^24))</f>
        <v/>
      </c>
      <c r="AM21" s="7">
        <f>IF(A21="","",IF((A21+25)&gt;Model!$B$4,0,MAX(0,Model!$B$6-IF((A21+25)&gt;=Model!$B$11,Model!$B$20,0)-IF(25&lt;Model!$B$15,Model!$B$22,0))/(1-Model!$B$9)/(1+Model!$B$18)^25))</f>
        <v/>
      </c>
      <c r="AN21" s="7">
        <f>IF(A21="","",IF((A21+26)&gt;Model!$B$4,0,MAX(0,Model!$B$6-IF((A21+26)&gt;=Model!$B$11,Model!$B$20,0)-IF(26&lt;Model!$B$15,Model!$B$22,0))/(1-Model!$B$9)/(1+Model!$B$18)^26))</f>
        <v/>
      </c>
      <c r="AO21" s="7">
        <f>IF(A21="","",IF((A21+27)&gt;Model!$B$4,0,MAX(0,Model!$B$6-IF((A21+27)&gt;=Model!$B$11,Model!$B$20,0)-IF(27&lt;Model!$B$15,Model!$B$22,0))/(1-Model!$B$9)/(1+Model!$B$18)^27))</f>
        <v/>
      </c>
      <c r="AP21" s="7">
        <f>IF(A21="","",IF((A21+28)&gt;Model!$B$4,0,MAX(0,Model!$B$6-IF((A21+28)&gt;=Model!$B$11,Model!$B$20,0)-IF(28&lt;Model!$B$15,Model!$B$22,0))/(1-Model!$B$9)/(1+Model!$B$18)^28))</f>
        <v/>
      </c>
      <c r="AQ21" s="7">
        <f>IF(A21="","",IF((A21+29)&gt;Model!$B$4,0,MAX(0,Model!$B$6-IF((A21+29)&gt;=Model!$B$11,Model!$B$20,0)-IF(29&lt;Model!$B$15,Model!$B$22,0))/(1-Model!$B$9)/(1+Model!$B$18)^29))</f>
        <v/>
      </c>
      <c r="AR21" s="7">
        <f>IF(A21="","",IF((A21+30)&gt;Model!$B$4,0,MAX(0,Model!$B$6-IF((A21+30)&gt;=Model!$B$11,Model!$B$20,0)-IF(30&lt;Model!$B$15,Model!$B$22,0))/(1-Model!$B$9)/(1+Model!$B$18)^30))</f>
        <v/>
      </c>
      <c r="AS21" s="7">
        <f>IF(A21="","",IF((A21+31)&gt;Model!$B$4,0,MAX(0,Model!$B$6-IF((A21+31)&gt;=Model!$B$11,Model!$B$20,0)-IF(31&lt;Model!$B$15,Model!$B$22,0))/(1-Model!$B$9)/(1+Model!$B$18)^31))</f>
        <v/>
      </c>
      <c r="AT21" s="7">
        <f>IF(A21="","",IF((A21+32)&gt;Model!$B$4,0,MAX(0,Model!$B$6-IF((A21+32)&gt;=Model!$B$11,Model!$B$20,0)-IF(32&lt;Model!$B$15,Model!$B$22,0))/(1-Model!$B$9)/(1+Model!$B$18)^32))</f>
        <v/>
      </c>
      <c r="AU21" s="7">
        <f>IF(A21="","",IF((A21+33)&gt;Model!$B$4,0,MAX(0,Model!$B$6-IF((A21+33)&gt;=Model!$B$11,Model!$B$20,0)-IF(33&lt;Model!$B$15,Model!$B$22,0))/(1-Model!$B$9)/(1+Model!$B$18)^33))</f>
        <v/>
      </c>
      <c r="AV21" s="7">
        <f>IF(A21="","",IF((A21+34)&gt;Model!$B$4,0,MAX(0,Model!$B$6-IF((A21+34)&gt;=Model!$B$11,Model!$B$20,0)-IF(34&lt;Model!$B$15,Model!$B$22,0))/(1-Model!$B$9)/(1+Model!$B$18)^34))</f>
        <v/>
      </c>
      <c r="AW21" s="7">
        <f>IF(A21="","",IF((A21+35)&gt;Model!$B$4,0,MAX(0,Model!$B$6-IF((A21+35)&gt;=Model!$B$11,Model!$B$20,0)-IF(35&lt;Model!$B$15,Model!$B$22,0))/(1-Model!$B$9)/(1+Model!$B$18)^35))</f>
        <v/>
      </c>
      <c r="AX21" s="7">
        <f>IF(A21="","",IF((A21+36)&gt;Model!$B$4,0,MAX(0,Model!$B$6-IF((A21+36)&gt;=Model!$B$11,Model!$B$20,0)-IF(36&lt;Model!$B$15,Model!$B$22,0))/(1-Model!$B$9)/(1+Model!$B$18)^36))</f>
        <v/>
      </c>
      <c r="AY21" s="7">
        <f>IF(A21="","",IF((A21+37)&gt;Model!$B$4,0,MAX(0,Model!$B$6-IF((A21+37)&gt;=Model!$B$11,Model!$B$20,0)-IF(37&lt;Model!$B$15,Model!$B$22,0))/(1-Model!$B$9)/(1+Model!$B$18)^37))</f>
        <v/>
      </c>
      <c r="AZ21" s="7">
        <f>IF(A21="","",IF((A21+38)&gt;Model!$B$4,0,MAX(0,Model!$B$6-IF((A21+38)&gt;=Model!$B$11,Model!$B$20,0)-IF(38&lt;Model!$B$15,Model!$B$22,0))/(1-Model!$B$9)/(1+Model!$B$18)^38))</f>
        <v/>
      </c>
      <c r="BA21" s="7">
        <f>IF(A21="","",IF((A21+39)&gt;Model!$B$4,0,MAX(0,Model!$B$6-IF((A21+39)&gt;=Model!$B$11,Model!$B$20,0)-IF(39&lt;Model!$B$15,Model!$B$22,0))/(1-Model!$B$9)/(1+Model!$B$18)^39))</f>
        <v/>
      </c>
      <c r="BB21" s="7">
        <f>IF(A21="","",IF((A21+40)&gt;Model!$B$4,0,MAX(0,Model!$B$6-IF((A21+40)&gt;=Model!$B$11,Model!$B$20,0)-IF(40&lt;Model!$B$15,Model!$B$22,0))/(1-Model!$B$9)/(1+Model!$B$18)^40))</f>
        <v/>
      </c>
      <c r="BC21" s="7">
        <f>IF(A21="","",IF((A21+41)&gt;Model!$B$4,0,MAX(0,Model!$B$6-IF((A21+41)&gt;=Model!$B$11,Model!$B$20,0)-IF(41&lt;Model!$B$15,Model!$B$22,0))/(1-Model!$B$9)/(1+Model!$B$18)^41))</f>
        <v/>
      </c>
      <c r="BD21" s="7">
        <f>IF(A21="","",IF((A21+42)&gt;Model!$B$4,0,MAX(0,Model!$B$6-IF((A21+42)&gt;=Model!$B$11,Model!$B$20,0)-IF(42&lt;Model!$B$15,Model!$B$22,0))/(1-Model!$B$9)/(1+Model!$B$18)^42))</f>
        <v/>
      </c>
      <c r="BE21" s="7">
        <f>IF(A21="","",IF((A21+43)&gt;Model!$B$4,0,MAX(0,Model!$B$6-IF((A21+43)&gt;=Model!$B$11,Model!$B$20,0)-IF(43&lt;Model!$B$15,Model!$B$22,0))/(1-Model!$B$9)/(1+Model!$B$18)^43))</f>
        <v/>
      </c>
      <c r="BF21" s="7">
        <f>IF(A21="","",IF((A21+44)&gt;Model!$B$4,0,MAX(0,Model!$B$6-IF((A21+44)&gt;=Model!$B$11,Model!$B$20,0)-IF(44&lt;Model!$B$15,Model!$B$22,0))/(1-Model!$B$9)/(1+Model!$B$18)^44))</f>
        <v/>
      </c>
      <c r="BG21" s="7">
        <f>IF(A21="","",IF((A21+45)&gt;Model!$B$4,0,MAX(0,Model!$B$6-IF((A21+45)&gt;=Model!$B$11,Model!$B$20,0)-IF(45&lt;Model!$B$15,Model!$B$22,0))/(1-Model!$B$9)/(1+Model!$B$18)^45))</f>
        <v/>
      </c>
      <c r="BH21" s="7">
        <f>IF(A21="","",IF((A21+46)&gt;Model!$B$4,0,MAX(0,Model!$B$6-IF((A21+46)&gt;=Model!$B$11,Model!$B$20,0)-IF(46&lt;Model!$B$15,Model!$B$22,0))/(1-Model!$B$9)/(1+Model!$B$18)^46))</f>
        <v/>
      </c>
      <c r="BI21" s="7">
        <f>IF(A21="","",IF((A21+47)&gt;Model!$B$4,0,MAX(0,Model!$B$6-IF((A21+47)&gt;=Model!$B$11,Model!$B$20,0)-IF(47&lt;Model!$B$15,Model!$B$22,0))/(1-Model!$B$9)/(1+Model!$B$18)^47))</f>
        <v/>
      </c>
      <c r="BJ21" s="7">
        <f>IF(A21="","",IF((A21+48)&gt;Model!$B$4,0,MAX(0,Model!$B$6-IF((A21+48)&gt;=Model!$B$11,Model!$B$20,0)-IF(48&lt;Model!$B$15,Model!$B$22,0))/(1-Model!$B$9)/(1+Model!$B$18)^48))</f>
        <v/>
      </c>
      <c r="BK21" s="7">
        <f>IF(A21="","",IF((A21+49)&gt;Model!$B$4,0,MAX(0,Model!$B$6-IF((A21+49)&gt;=Model!$B$11,Model!$B$20,0)-IF(49&lt;Model!$B$15,Model!$B$22,0))/(1-Model!$B$9)/(1+Model!$B$18)^49))</f>
        <v/>
      </c>
      <c r="BL21" s="7">
        <f>IF(A21="","",IF((A21+50)&gt;Model!$B$4,0,MAX(0,Model!$B$6-IF((A21+50)&gt;=Model!$B$11,Model!$B$20,0)-IF(50&lt;Model!$B$15,Model!$B$22,0))/(1-Model!$B$9)/(1+Model!$B$18)^50))</f>
        <v/>
      </c>
      <c r="BM21" s="7">
        <f>IF(A21="","",IF((A21+51)&gt;Model!$B$4,0,MAX(0,Model!$B$6-IF((A21+51)&gt;=Model!$B$11,Model!$B$20,0)-IF(51&lt;Model!$B$15,Model!$B$22,0))/(1-Model!$B$9)/(1+Model!$B$18)^51))</f>
        <v/>
      </c>
      <c r="BN21" s="7">
        <f>IF(A21="","",IF((A21+52)&gt;Model!$B$4,0,MAX(0,Model!$B$6-IF((A21+52)&gt;=Model!$B$11,Model!$B$20,0)-IF(52&lt;Model!$B$15,Model!$B$22,0))/(1-Model!$B$9)/(1+Model!$B$18)^52))</f>
        <v/>
      </c>
      <c r="BO21" s="7">
        <f>IF(A21="","",IF((A21+53)&gt;Model!$B$4,0,MAX(0,Model!$B$6-IF((A21+53)&gt;=Model!$B$11,Model!$B$20,0)-IF(53&lt;Model!$B$15,Model!$B$22,0))/(1-Model!$B$9)/(1+Model!$B$18)^53))</f>
        <v/>
      </c>
      <c r="BP21" s="7">
        <f>IF(A21="","",IF((A21+54)&gt;Model!$B$4,0,MAX(0,Model!$B$6-IF((A21+54)&gt;=Model!$B$11,Model!$B$20,0)-IF(54&lt;Model!$B$15,Model!$B$22,0))/(1-Model!$B$9)/(1+Model!$B$18)^54))</f>
        <v/>
      </c>
      <c r="BQ21" s="7">
        <f>IF(A21="","",IF((A21+55)&gt;Model!$B$4,0,MAX(0,Model!$B$6-IF((A21+55)&gt;=Model!$B$11,Model!$B$20,0)-IF(55&lt;Model!$B$15,Model!$B$22,0))/(1-Model!$B$9)/(1+Model!$B$18)^55))</f>
        <v/>
      </c>
      <c r="BR21" s="7">
        <f>IF(A21="","",IF((A21+56)&gt;Model!$B$4,0,MAX(0,Model!$B$6-IF((A21+56)&gt;=Model!$B$11,Model!$B$20,0)-IF(56&lt;Model!$B$15,Model!$B$22,0))/(1-Model!$B$9)/(1+Model!$B$18)^56))</f>
        <v/>
      </c>
      <c r="BS21" s="7">
        <f>IF(A21="","",IF((A21+57)&gt;Model!$B$4,0,MAX(0,Model!$B$6-IF((A21+57)&gt;=Model!$B$11,Model!$B$20,0)-IF(57&lt;Model!$B$15,Model!$B$22,0))/(1-Model!$B$9)/(1+Model!$B$18)^57))</f>
        <v/>
      </c>
      <c r="BT21" s="7">
        <f>IF(A21="","",IF((A21+58)&gt;Model!$B$4,0,MAX(0,Model!$B$6-IF((A21+58)&gt;=Model!$B$11,Model!$B$20,0)-IF(58&lt;Model!$B$15,Model!$B$22,0))/(1-Model!$B$9)/(1+Model!$B$18)^58))</f>
        <v/>
      </c>
      <c r="BU21" s="7">
        <f>IF(A21="","",IF((A21+59)&gt;Model!$B$4,0,MAX(0,Model!$B$6-IF((A21+59)&gt;=Model!$B$11,Model!$B$20,0)-IF(59&lt;Model!$B$15,Model!$B$22,0))/(1-Model!$B$9)/(1+Model!$B$18)^59))</f>
        <v/>
      </c>
      <c r="BV21" s="7">
        <f>IF(A21="","",IF((A21+60)&gt;Model!$B$4,0,MAX(0,Model!$B$6-IF((A21+60)&gt;=Model!$B$11,Model!$B$20,0)-IF(60&lt;Model!$B$15,Model!$B$22,0))/(1-Model!$B$9)/(1+Model!$B$18)^60))</f>
        <v/>
      </c>
      <c r="BW21" s="7">
        <f>IF(A21="","",IF((A21+61)&gt;Model!$B$4,0,MAX(0,Model!$B$6-IF((A21+61)&gt;=Model!$B$11,Model!$B$20,0)-IF(61&lt;Model!$B$15,Model!$B$22,0))/(1-Model!$B$9)/(1+Model!$B$18)^61))</f>
        <v/>
      </c>
      <c r="BX21" s="7">
        <f>IF(A21="","",IF((A21+62)&gt;Model!$B$4,0,MAX(0,Model!$B$6-IF((A21+62)&gt;=Model!$B$11,Model!$B$20,0)-IF(62&lt;Model!$B$15,Model!$B$22,0))/(1-Model!$B$9)/(1+Model!$B$18)^62))</f>
        <v/>
      </c>
      <c r="BY21" s="7">
        <f>IF(A21="","",IF((A21+63)&gt;Model!$B$4,0,MAX(0,Model!$B$6-IF((A21+63)&gt;=Model!$B$11,Model!$B$20,0)-IF(63&lt;Model!$B$15,Model!$B$22,0))/(1-Model!$B$9)/(1+Model!$B$18)^63))</f>
        <v/>
      </c>
      <c r="BZ21" s="7">
        <f>IF(A21="","",IF((A21+64)&gt;Model!$B$4,0,MAX(0,Model!$B$6-IF((A21+64)&gt;=Model!$B$11,Model!$B$20,0)-IF(64&lt;Model!$B$15,Model!$B$22,0))/(1-Model!$B$9)/(1+Model!$B$18)^64))</f>
        <v/>
      </c>
      <c r="CA21" s="7">
        <f>IF(A21="","",IF((A21+65)&gt;Model!$B$4,0,MAX(0,Model!$B$6-IF((A21+65)&gt;=Model!$B$11,Model!$B$20,0)-IF(65&lt;Model!$B$15,Model!$B$22,0))/(1-Model!$B$9)/(1+Model!$B$18)^65))</f>
        <v/>
      </c>
      <c r="CB21" s="7">
        <f>IF(A21="","",IF((A21+66)&gt;Model!$B$4,0,MAX(0,Model!$B$6-IF((A21+66)&gt;=Model!$B$11,Model!$B$20,0)-IF(66&lt;Model!$B$15,Model!$B$22,0))/(1-Model!$B$9)/(1+Model!$B$18)^66))</f>
        <v/>
      </c>
      <c r="CC21" s="7">
        <f>IF(A21="","",IF((A21+67)&gt;Model!$B$4,0,MAX(0,Model!$B$6-IF((A21+67)&gt;=Model!$B$11,Model!$B$20,0)-IF(67&lt;Model!$B$15,Model!$B$22,0))/(1-Model!$B$9)/(1+Model!$B$18)^67))</f>
        <v/>
      </c>
      <c r="CD21" s="7">
        <f>IF(A21="","",IF((A21+68)&gt;Model!$B$4,0,MAX(0,Model!$B$6-IF((A21+68)&gt;=Model!$B$11,Model!$B$20,0)-IF(68&lt;Model!$B$15,Model!$B$22,0))/(1-Model!$B$9)/(1+Model!$B$18)^68))</f>
        <v/>
      </c>
      <c r="CE21" s="7">
        <f>IF(A21="","",IF((A21+69)&gt;Model!$B$4,0,MAX(0,Model!$B$6-IF((A21+69)&gt;=Model!$B$11,Model!$B$20,0)-IF(69&lt;Model!$B$15,Model!$B$22,0))/(1-Model!$B$9)/(1+Model!$B$18)^69))</f>
        <v/>
      </c>
      <c r="CF21" s="7">
        <f>IF(A21="","",IF((A21+70)&gt;Model!$B$4,0,MAX(0,Model!$B$6-IF((A21+70)&gt;=Model!$B$11,Model!$B$20,0)-IF(70&lt;Model!$B$15,Model!$B$22,0))/(1-Model!$B$9)/(1+Model!$B$18)^70))</f>
        <v/>
      </c>
      <c r="CG21" s="7">
        <f>IF(A21="","",IF((A21+71)&gt;Model!$B$4,0,MAX(0,Model!$B$6-IF((A21+71)&gt;=Model!$B$11,Model!$B$20,0)-IF(71&lt;Model!$B$15,Model!$B$22,0))/(1-Model!$B$9)/(1+Model!$B$18)^71))</f>
        <v/>
      </c>
      <c r="CH21" s="7">
        <f>IF(A21="","",IF((A21+72)&gt;Model!$B$4,0,MAX(0,Model!$B$6-IF((A21+72)&gt;=Model!$B$11,Model!$B$20,0)-IF(72&lt;Model!$B$15,Model!$B$22,0))/(1-Model!$B$9)/(1+Model!$B$18)^72))</f>
        <v/>
      </c>
      <c r="CI21" s="7">
        <f>IF(A21="","",IF((A21+73)&gt;Model!$B$4,0,MAX(0,Model!$B$6-IF((A21+73)&gt;=Model!$B$11,Model!$B$20,0)-IF(73&lt;Model!$B$15,Model!$B$22,0))/(1-Model!$B$9)/(1+Model!$B$18)^73))</f>
        <v/>
      </c>
      <c r="CJ21" s="7">
        <f>IF(A21="","",IF((A21+74)&gt;Model!$B$4,0,MAX(0,Model!$B$6-IF((A21+74)&gt;=Model!$B$11,Model!$B$20,0)-IF(74&lt;Model!$B$15,Model!$B$22,0))/(1-Model!$B$9)/(1+Model!$B$18)^74))</f>
        <v/>
      </c>
      <c r="CK21" s="7">
        <f>IF(A21="","",IF((A21+75)&gt;Model!$B$4,0,MAX(0,Model!$B$6-IF((A21+75)&gt;=Model!$B$11,Model!$B$20,0)-IF(75&lt;Model!$B$15,Model!$B$22,0))/(1-Model!$B$9)/(1+Model!$B$18)^75))</f>
        <v/>
      </c>
      <c r="CL21" s="7">
        <f>IF(A21="","",IF((A21+76)&gt;Model!$B$4,0,MAX(0,Model!$B$6-IF((A21+76)&gt;=Model!$B$11,Model!$B$20,0)-IF(76&lt;Model!$B$15,Model!$B$22,0))/(1-Model!$B$9)/(1+Model!$B$18)^76))</f>
        <v/>
      </c>
      <c r="CM21" s="7">
        <f>IF(A21="","",IF((A21+77)&gt;Model!$B$4,0,MAX(0,Model!$B$6-IF((A21+77)&gt;=Model!$B$11,Model!$B$20,0)-IF(77&lt;Model!$B$15,Model!$B$22,0))/(1-Model!$B$9)/(1+Model!$B$18)^77))</f>
        <v/>
      </c>
      <c r="CN21" s="7">
        <f>IF(A21="","",IF((A21+78)&gt;Model!$B$4,0,MAX(0,Model!$B$6-IF((A21+78)&gt;=Model!$B$11,Model!$B$20,0)-IF(78&lt;Model!$B$15,Model!$B$22,0))/(1-Model!$B$9)/(1+Model!$B$18)^78))</f>
        <v/>
      </c>
      <c r="CO21" s="7">
        <f>IF(A21="","",IF((A21+79)&gt;Model!$B$4,0,MAX(0,Model!$B$6-IF((A21+79)&gt;=Model!$B$11,Model!$B$20,0)-IF(79&lt;Model!$B$15,Model!$B$22,0))/(1-Model!$B$9)/(1+Model!$B$18)^79))</f>
        <v/>
      </c>
      <c r="CP21" s="7">
        <f>IF(A21="","",IF((A21+80)&gt;Model!$B$4,0,MAX(0,Model!$B$6-IF((A21+80)&gt;=Model!$B$11,Model!$B$20,0)-IF(80&lt;Model!$B$15,Model!$B$22,0))/(1-Model!$B$9)/(1+Model!$B$18)^80))</f>
        <v/>
      </c>
      <c r="CQ21" s="7">
        <f>IF(A21="","",IF((A21+81)&gt;Model!$B$4,0,MAX(0,Model!$B$6-IF((A21+81)&gt;=Model!$B$11,Model!$B$20,0)-IF(81&lt;Model!$B$15,Model!$B$22,0))/(1-Model!$B$9)/(1+Model!$B$18)^81))</f>
        <v/>
      </c>
      <c r="CR21" s="7">
        <f>IF(A21="","",IF((A21+82)&gt;Model!$B$4,0,MAX(0,Model!$B$6-IF((A21+82)&gt;=Model!$B$11,Model!$B$20,0)-IF(82&lt;Model!$B$15,Model!$B$22,0))/(1-Model!$B$9)/(1+Model!$B$18)^82))</f>
        <v/>
      </c>
      <c r="CS21" s="7">
        <f>IF(A21="","",IF((A21+83)&gt;Model!$B$4,0,MAX(0,Model!$B$6-IF((A21+83)&gt;=Model!$B$11,Model!$B$20,0)-IF(83&lt;Model!$B$15,Model!$B$22,0))/(1-Model!$B$9)/(1+Model!$B$18)^83))</f>
        <v/>
      </c>
      <c r="CT21" s="7">
        <f>IF(A21="","",IF((A21+84)&gt;Model!$B$4,0,MAX(0,Model!$B$6-IF((A21+84)&gt;=Model!$B$11,Model!$B$20,0)-IF(84&lt;Model!$B$15,Model!$B$22,0))/(1-Model!$B$9)/(1+Model!$B$18)^84))</f>
        <v/>
      </c>
      <c r="CU21" s="7">
        <f>IF(A21="","",IF((A21+85)&gt;Model!$B$4,0,MAX(0,Model!$B$6-IF((A21+85)&gt;=Model!$B$11,Model!$B$20,0)-IF(85&lt;Model!$B$15,Model!$B$22,0))/(1-Model!$B$9)/(1+Model!$B$18)^85))</f>
        <v/>
      </c>
      <c r="CV21" s="7">
        <f>IF(A21="","",IF((A21+86)&gt;Model!$B$4,0,MAX(0,Model!$B$6-IF((A21+86)&gt;=Model!$B$11,Model!$B$20,0)-IF(86&lt;Model!$B$15,Model!$B$22,0))/(1-Model!$B$9)/(1+Model!$B$18)^86))</f>
        <v/>
      </c>
      <c r="CW21" s="7">
        <f>IF(A21="","",IF((A21+87)&gt;Model!$B$4,0,MAX(0,Model!$B$6-IF((A21+87)&gt;=Model!$B$11,Model!$B$20,0)-IF(87&lt;Model!$B$15,Model!$B$22,0))/(1-Model!$B$9)/(1+Model!$B$18)^87))</f>
        <v/>
      </c>
      <c r="CX21" s="7">
        <f>IF(A21="","",IF((A21+88)&gt;Model!$B$4,0,MAX(0,Model!$B$6-IF((A21+88)&gt;=Model!$B$11,Model!$B$20,0)-IF(88&lt;Model!$B$15,Model!$B$22,0))/(1-Model!$B$9)/(1+Model!$B$18)^88))</f>
        <v/>
      </c>
      <c r="CY21" s="7">
        <f>IF(A21="","",IF((A21+89)&gt;Model!$B$4,0,MAX(0,Model!$B$6-IF((A21+89)&gt;=Model!$B$11,Model!$B$20,0)-IF(89&lt;Model!$B$15,Model!$B$22,0))/(1-Model!$B$9)/(1+Model!$B$18)^89))</f>
        <v/>
      </c>
      <c r="CZ21" s="7">
        <f>IF(A21="","",IF((A21+90)&gt;Model!$B$4,0,MAX(0,Model!$B$6-IF((A21+90)&gt;=Model!$B$11,Model!$B$20,0)-IF(90&lt;Model!$B$15,Model!$B$22,0))/(1-Model!$B$9)/(1+Model!$B$18)^90))</f>
        <v/>
      </c>
      <c r="DA21" s="7">
        <f>IF(A21="","",IF((A21+91)&gt;Model!$B$4,0,MAX(0,Model!$B$6-IF((A21+91)&gt;=Model!$B$11,Model!$B$20,0)-IF(91&lt;Model!$B$15,Model!$B$22,0))/(1-Model!$B$9)/(1+Model!$B$18)^91))</f>
        <v/>
      </c>
      <c r="DB21" s="7">
        <f>IF(A21="","",IF((A21+92)&gt;Model!$B$4,0,MAX(0,Model!$B$6-IF((A21+92)&gt;=Model!$B$11,Model!$B$20,0)-IF(92&lt;Model!$B$15,Model!$B$22,0))/(1-Model!$B$9)/(1+Model!$B$18)^92))</f>
        <v/>
      </c>
      <c r="DC21" s="7">
        <f>IF(A21="","",IF((A21+93)&gt;Model!$B$4,0,MAX(0,Model!$B$6-IF((A21+93)&gt;=Model!$B$11,Model!$B$20,0)-IF(93&lt;Model!$B$15,Model!$B$22,0))/(1-Model!$B$9)/(1+Model!$B$18)^93))</f>
        <v/>
      </c>
      <c r="DD21" s="7">
        <f>IF(A21="","",IF((A21+94)&gt;Model!$B$4,0,MAX(0,Model!$B$6-IF((A21+94)&gt;=Model!$B$11,Model!$B$20,0)-IF(94&lt;Model!$B$15,Model!$B$22,0))/(1-Model!$B$9)/(1+Model!$B$18)^94))</f>
        <v/>
      </c>
      <c r="DE21" s="7">
        <f>IF(A21="","",IF((A21+95)&gt;Model!$B$4,0,MAX(0,Model!$B$6-IF((A21+95)&gt;=Model!$B$11,Model!$B$20,0)-IF(95&lt;Model!$B$15,Model!$B$22,0))/(1-Model!$B$9)/(1+Model!$B$18)^95))</f>
        <v/>
      </c>
      <c r="DF21" s="7">
        <f>IF(A21="","",IF((A21+96)&gt;Model!$B$4,0,MAX(0,Model!$B$6-IF((A21+96)&gt;=Model!$B$11,Model!$B$20,0)-IF(96&lt;Model!$B$15,Model!$B$22,0))/(1-Model!$B$9)/(1+Model!$B$18)^96))</f>
        <v/>
      </c>
      <c r="DG21" s="7">
        <f>IF(A21="","",IF((A21+97)&gt;Model!$B$4,0,MAX(0,Model!$B$6-IF((A21+97)&gt;=Model!$B$11,Model!$B$20,0)-IF(97&lt;Model!$B$15,Model!$B$22,0))/(1-Model!$B$9)/(1+Model!$B$18)^97))</f>
        <v/>
      </c>
      <c r="DH21" s="7">
        <f>IF(A21="","",IF((A21+98)&gt;Model!$B$4,0,MAX(0,Model!$B$6-IF((A21+98)&gt;=Model!$B$11,Model!$B$20,0)-IF(98&lt;Model!$B$15,Model!$B$22,0))/(1-Model!$B$9)/(1+Model!$B$18)^98))</f>
        <v/>
      </c>
      <c r="DI21" s="7">
        <f>IF(A21="","",IF((A21+99)&gt;Model!$B$4,0,MAX(0,Model!$B$6-IF((A21+99)&gt;=Model!$B$11,Model!$B$20,0)-IF(99&lt;Model!$B$15,Model!$B$22,0))/(1-Model!$B$9)/(1+Model!$B$18)^99))</f>
        <v/>
      </c>
      <c r="DJ21" s="7">
        <f>IF(A21="","",IF((A21+100)&gt;Model!$B$4,0,MAX(0,Model!$B$6-IF((A21+100)&gt;=Model!$B$11,Model!$B$20,0)-IF(100&lt;Model!$B$15,Model!$B$22,0))/(1-Model!$B$9)/(1+Model!$B$18)^100))</f>
        <v/>
      </c>
      <c r="DK21" s="7">
        <f>IF(A21="","",IF((A21+101)&gt;Model!$B$4,0,MAX(0,Model!$B$6-IF((A21+101)&gt;=Model!$B$11,Model!$B$20,0)-IF(101&lt;Model!$B$15,Model!$B$22,0))/(1-Model!$B$9)/(1+Model!$B$18)^101))</f>
        <v/>
      </c>
      <c r="DL21" s="7">
        <f>IF(A21="","",IF((A21+102)&gt;Model!$B$4,0,MAX(0,Model!$B$6-IF((A21+102)&gt;=Model!$B$11,Model!$B$20,0)-IF(102&lt;Model!$B$15,Model!$B$22,0))/(1-Model!$B$9)/(1+Model!$B$18)^102))</f>
        <v/>
      </c>
      <c r="DM21" s="7">
        <f>IF(A21="","",IF((A21+103)&gt;Model!$B$4,0,MAX(0,Model!$B$6-IF((A21+103)&gt;=Model!$B$11,Model!$B$20,0)-IF(103&lt;Model!$B$15,Model!$B$22,0))/(1-Model!$B$9)/(1+Model!$B$18)^103))</f>
        <v/>
      </c>
      <c r="DN21" s="7">
        <f>IF(A21="","",IF((A21+104)&gt;Model!$B$4,0,MAX(0,Model!$B$6-IF((A21+104)&gt;=Model!$B$11,Model!$B$20,0)-IF(104&lt;Model!$B$15,Model!$B$22,0))/(1-Model!$B$9)/(1+Model!$B$18)^104))</f>
        <v/>
      </c>
      <c r="DO21" s="7">
        <f>IF(A21="","",IF((A21+105)&gt;Model!$B$4,0,MAX(0,Model!$B$6-IF((A21+105)&gt;=Model!$B$11,Model!$B$20,0)-IF(105&lt;Model!$B$15,Model!$B$22,0))/(1-Model!$B$9)/(1+Model!$B$18)^105))</f>
        <v/>
      </c>
      <c r="DP21" s="7">
        <f>IF(A21="","",IF((A21+106)&gt;Model!$B$4,0,MAX(0,Model!$B$6-IF((A21+106)&gt;=Model!$B$11,Model!$B$20,0)-IF(106&lt;Model!$B$15,Model!$B$22,0))/(1-Model!$B$9)/(1+Model!$B$18)^106))</f>
        <v/>
      </c>
      <c r="DQ21" s="7">
        <f>IF(A21="","",IF((A21+107)&gt;Model!$B$4,0,MAX(0,Model!$B$6-IF((A21+107)&gt;=Model!$B$11,Model!$B$20,0)-IF(107&lt;Model!$B$15,Model!$B$22,0))/(1-Model!$B$9)/(1+Model!$B$18)^107))</f>
        <v/>
      </c>
      <c r="DR21" s="7">
        <f>IF(A21="","",IF((A21+108)&gt;Model!$B$4,0,MAX(0,Model!$B$6-IF((A21+108)&gt;=Model!$B$11,Model!$B$20,0)-IF(108&lt;Model!$B$15,Model!$B$22,0))/(1-Model!$B$9)/(1+Model!$B$18)^108))</f>
        <v/>
      </c>
      <c r="DS21" s="7">
        <f>IF(A21="","",IF((A21+109)&gt;Model!$B$4,0,MAX(0,Model!$B$6-IF((A21+109)&gt;=Model!$B$11,Model!$B$20,0)-IF(109&lt;Model!$B$15,Model!$B$22,0))/(1-Model!$B$9)/(1+Model!$B$18)^109))</f>
        <v/>
      </c>
      <c r="DT21" s="7">
        <f>IF(A21="","",IF((A21+110)&gt;Model!$B$4,0,MAX(0,Model!$B$6-IF((A21+110)&gt;=Model!$B$11,Model!$B$20,0)-IF(110&lt;Model!$B$15,Model!$B$22,0))/(1-Model!$B$9)/(1+Model!$B$18)^110))</f>
        <v/>
      </c>
      <c r="DU21" s="7">
        <f>IF(A21="","",IF((A21+111)&gt;Model!$B$4,0,MAX(0,Model!$B$6-IF((A21+111)&gt;=Model!$B$11,Model!$B$20,0)-IF(111&lt;Model!$B$15,Model!$B$22,0))/(1-Model!$B$9)/(1+Model!$B$18)^111))</f>
        <v/>
      </c>
      <c r="DV21" s="7">
        <f>IF(A21="","",IF((A21+112)&gt;Model!$B$4,0,MAX(0,Model!$B$6-IF((A21+112)&gt;=Model!$B$11,Model!$B$20,0)-IF(112&lt;Model!$B$15,Model!$B$22,0))/(1-Model!$B$9)/(1+Model!$B$18)^112))</f>
        <v/>
      </c>
      <c r="DW21" s="7">
        <f>IF(A21="","",IF((A21+113)&gt;Model!$B$4,0,MAX(0,Model!$B$6-IF((A21+113)&gt;=Model!$B$11,Model!$B$20,0)-IF(113&lt;Model!$B$15,Model!$B$22,0))/(1-Model!$B$9)/(1+Model!$B$18)^113))</f>
        <v/>
      </c>
      <c r="DX21" s="7">
        <f>IF(A21="","",IF((A21+114)&gt;Model!$B$4,0,MAX(0,Model!$B$6-IF((A21+114)&gt;=Model!$B$11,Model!$B$20,0)-IF(114&lt;Model!$B$15,Model!$B$22,0))/(1-Model!$B$9)/(1+Model!$B$18)^114))</f>
        <v/>
      </c>
      <c r="DY21" s="7">
        <f>IF(A21="","",IF((A21+115)&gt;Model!$B$4,0,MAX(0,Model!$B$6-IF((A21+115)&gt;=Model!$B$11,Model!$B$20,0)-IF(115&lt;Model!$B$15,Model!$B$22,0))/(1-Model!$B$9)/(1+Model!$B$18)^115))</f>
        <v/>
      </c>
      <c r="DZ21" s="7">
        <f>IF(A21="","",IF((A21+116)&gt;Model!$B$4,0,MAX(0,Model!$B$6-IF((A21+116)&gt;=Model!$B$11,Model!$B$20,0)-IF(116&lt;Model!$B$15,Model!$B$22,0))/(1-Model!$B$9)/(1+Model!$B$18)^116))</f>
        <v/>
      </c>
      <c r="EA21" s="7">
        <f>IF(A21="","",IF((A21+117)&gt;Model!$B$4,0,MAX(0,Model!$B$6-IF((A21+117)&gt;=Model!$B$11,Model!$B$20,0)-IF(117&lt;Model!$B$15,Model!$B$22,0))/(1-Model!$B$9)/(1+Model!$B$18)^117))</f>
        <v/>
      </c>
      <c r="EB21" s="7">
        <f>IF(A21="","",IF((A21+118)&gt;Model!$B$4,0,MAX(0,Model!$B$6-IF((A21+118)&gt;=Model!$B$11,Model!$B$20,0)-IF(118&lt;Model!$B$15,Model!$B$22,0))/(1-Model!$B$9)/(1+Model!$B$18)^118))</f>
        <v/>
      </c>
      <c r="EC21" s="7">
        <f>IF(A21="","",IF((A21+119)&gt;Model!$B$4,0,MAX(0,Model!$B$6-IF((A21+119)&gt;=Model!$B$11,Model!$B$20,0)-IF(119&lt;Model!$B$15,Model!$B$22,0))/(1-Model!$B$9)/(1+Model!$B$18)^119))</f>
        <v/>
      </c>
      <c r="ED21" s="7">
        <f>IF(A21="","",IF((A21+120)&gt;Model!$B$4,0,MAX(0,Model!$B$6-IF((A21+120)&gt;=Model!$B$11,Model!$B$20,0)-IF(120&lt;Model!$B$15,Model!$B$22,0))/(1-Model!$B$9)/(1+Model!$B$18)^120))</f>
        <v/>
      </c>
    </row>
    <row r="22">
      <c r="A22">
        <f>IF(Model!$B$10+ROW()-2&lt;=Model!$B$4,Model!$B$10+ROW()-2,"")</f>
        <v/>
      </c>
      <c r="B22">
        <f>IF(A22="","",A22-Model!$B$10)</f>
        <v/>
      </c>
      <c r="C22" s="7">
        <f>IF(A22="","",Model!$B$5*(1+Model!$B$18)^B22)</f>
        <v/>
      </c>
      <c r="D22" s="7">
        <f>IF(A22="","",SUM(N22:ED22))</f>
        <v/>
      </c>
      <c r="E22" s="7">
        <f>IF(A22="","",IF(A22&gt;=Model!$B$11,Model!$B$20,0))</f>
        <v/>
      </c>
      <c r="F22" s="7">
        <f>IF(A22="","",IF(Model!$B$15&gt;0,Model!$B$22,0))</f>
        <v/>
      </c>
      <c r="G22" s="7">
        <f>IF(A22="","",E22+F22)</f>
        <v/>
      </c>
      <c r="H22" s="7">
        <f>IF(A22="","",MAX(0,Model!$B$6-G22))</f>
        <v/>
      </c>
      <c r="I22" s="7">
        <f>IF(A22="","",H22/(1-Model!$B$9))</f>
        <v/>
      </c>
      <c r="J22" s="7">
        <f>IF(A22="","",C22-D22)</f>
        <v/>
      </c>
      <c r="K22">
        <f>IF(A22="","",C22&gt;=D22)</f>
        <v/>
      </c>
      <c r="L22" s="7">
        <f>IF(A22="","",IF(A22&gt;=Model!$B$11,Model!$B$19*(1+Model!$B$13)^B22,0))</f>
        <v/>
      </c>
      <c r="M22" s="7">
        <f>IF(A22="","",IF(Model!$B$15&gt;0,Model!$B$21*(1+Model!$B$13)^B22,0))</f>
        <v/>
      </c>
      <c r="N22" s="7">
        <f>IF(A22="","",IF((A22+0)&gt;Model!$B$4,0,MAX(0,Model!$B$6-IF((A22+0)&gt;=Model!$B$11,Model!$B$20,0)-IF(0&lt;Model!$B$15,Model!$B$22,0))/(1-Model!$B$9)/(1+Model!$B$18)^0))</f>
        <v/>
      </c>
      <c r="O22" s="7">
        <f>IF(A22="","",IF((A22+1)&gt;Model!$B$4,0,MAX(0,Model!$B$6-IF((A22+1)&gt;=Model!$B$11,Model!$B$20,0)-IF(1&lt;Model!$B$15,Model!$B$22,0))/(1-Model!$B$9)/(1+Model!$B$18)^1))</f>
        <v/>
      </c>
      <c r="P22" s="7">
        <f>IF(A22="","",IF((A22+2)&gt;Model!$B$4,0,MAX(0,Model!$B$6-IF((A22+2)&gt;=Model!$B$11,Model!$B$20,0)-IF(2&lt;Model!$B$15,Model!$B$22,0))/(1-Model!$B$9)/(1+Model!$B$18)^2))</f>
        <v/>
      </c>
      <c r="Q22" s="7">
        <f>IF(A22="","",IF((A22+3)&gt;Model!$B$4,0,MAX(0,Model!$B$6-IF((A22+3)&gt;=Model!$B$11,Model!$B$20,0)-IF(3&lt;Model!$B$15,Model!$B$22,0))/(1-Model!$B$9)/(1+Model!$B$18)^3))</f>
        <v/>
      </c>
      <c r="R22" s="7">
        <f>IF(A22="","",IF((A22+4)&gt;Model!$B$4,0,MAX(0,Model!$B$6-IF((A22+4)&gt;=Model!$B$11,Model!$B$20,0)-IF(4&lt;Model!$B$15,Model!$B$22,0))/(1-Model!$B$9)/(1+Model!$B$18)^4))</f>
        <v/>
      </c>
      <c r="S22" s="7">
        <f>IF(A22="","",IF((A22+5)&gt;Model!$B$4,0,MAX(0,Model!$B$6-IF((A22+5)&gt;=Model!$B$11,Model!$B$20,0)-IF(5&lt;Model!$B$15,Model!$B$22,0))/(1-Model!$B$9)/(1+Model!$B$18)^5))</f>
        <v/>
      </c>
      <c r="T22" s="7">
        <f>IF(A22="","",IF((A22+6)&gt;Model!$B$4,0,MAX(0,Model!$B$6-IF((A22+6)&gt;=Model!$B$11,Model!$B$20,0)-IF(6&lt;Model!$B$15,Model!$B$22,0))/(1-Model!$B$9)/(1+Model!$B$18)^6))</f>
        <v/>
      </c>
      <c r="U22" s="7">
        <f>IF(A22="","",IF((A22+7)&gt;Model!$B$4,0,MAX(0,Model!$B$6-IF((A22+7)&gt;=Model!$B$11,Model!$B$20,0)-IF(7&lt;Model!$B$15,Model!$B$22,0))/(1-Model!$B$9)/(1+Model!$B$18)^7))</f>
        <v/>
      </c>
      <c r="V22" s="7">
        <f>IF(A22="","",IF((A22+8)&gt;Model!$B$4,0,MAX(0,Model!$B$6-IF((A22+8)&gt;=Model!$B$11,Model!$B$20,0)-IF(8&lt;Model!$B$15,Model!$B$22,0))/(1-Model!$B$9)/(1+Model!$B$18)^8))</f>
        <v/>
      </c>
      <c r="W22" s="7">
        <f>IF(A22="","",IF((A22+9)&gt;Model!$B$4,0,MAX(0,Model!$B$6-IF((A22+9)&gt;=Model!$B$11,Model!$B$20,0)-IF(9&lt;Model!$B$15,Model!$B$22,0))/(1-Model!$B$9)/(1+Model!$B$18)^9))</f>
        <v/>
      </c>
      <c r="X22" s="7">
        <f>IF(A22="","",IF((A22+10)&gt;Model!$B$4,0,MAX(0,Model!$B$6-IF((A22+10)&gt;=Model!$B$11,Model!$B$20,0)-IF(10&lt;Model!$B$15,Model!$B$22,0))/(1-Model!$B$9)/(1+Model!$B$18)^10))</f>
        <v/>
      </c>
      <c r="Y22" s="7">
        <f>IF(A22="","",IF((A22+11)&gt;Model!$B$4,0,MAX(0,Model!$B$6-IF((A22+11)&gt;=Model!$B$11,Model!$B$20,0)-IF(11&lt;Model!$B$15,Model!$B$22,0))/(1-Model!$B$9)/(1+Model!$B$18)^11))</f>
        <v/>
      </c>
      <c r="Z22" s="7">
        <f>IF(A22="","",IF((A22+12)&gt;Model!$B$4,0,MAX(0,Model!$B$6-IF((A22+12)&gt;=Model!$B$11,Model!$B$20,0)-IF(12&lt;Model!$B$15,Model!$B$22,0))/(1-Model!$B$9)/(1+Model!$B$18)^12))</f>
        <v/>
      </c>
      <c r="AA22" s="7">
        <f>IF(A22="","",IF((A22+13)&gt;Model!$B$4,0,MAX(0,Model!$B$6-IF((A22+13)&gt;=Model!$B$11,Model!$B$20,0)-IF(13&lt;Model!$B$15,Model!$B$22,0))/(1-Model!$B$9)/(1+Model!$B$18)^13))</f>
        <v/>
      </c>
      <c r="AB22" s="7">
        <f>IF(A22="","",IF((A22+14)&gt;Model!$B$4,0,MAX(0,Model!$B$6-IF((A22+14)&gt;=Model!$B$11,Model!$B$20,0)-IF(14&lt;Model!$B$15,Model!$B$22,0))/(1-Model!$B$9)/(1+Model!$B$18)^14))</f>
        <v/>
      </c>
      <c r="AC22" s="7">
        <f>IF(A22="","",IF((A22+15)&gt;Model!$B$4,0,MAX(0,Model!$B$6-IF((A22+15)&gt;=Model!$B$11,Model!$B$20,0)-IF(15&lt;Model!$B$15,Model!$B$22,0))/(1-Model!$B$9)/(1+Model!$B$18)^15))</f>
        <v/>
      </c>
      <c r="AD22" s="7">
        <f>IF(A22="","",IF((A22+16)&gt;Model!$B$4,0,MAX(0,Model!$B$6-IF((A22+16)&gt;=Model!$B$11,Model!$B$20,0)-IF(16&lt;Model!$B$15,Model!$B$22,0))/(1-Model!$B$9)/(1+Model!$B$18)^16))</f>
        <v/>
      </c>
      <c r="AE22" s="7">
        <f>IF(A22="","",IF((A22+17)&gt;Model!$B$4,0,MAX(0,Model!$B$6-IF((A22+17)&gt;=Model!$B$11,Model!$B$20,0)-IF(17&lt;Model!$B$15,Model!$B$22,0))/(1-Model!$B$9)/(1+Model!$B$18)^17))</f>
        <v/>
      </c>
      <c r="AF22" s="7">
        <f>IF(A22="","",IF((A22+18)&gt;Model!$B$4,0,MAX(0,Model!$B$6-IF((A22+18)&gt;=Model!$B$11,Model!$B$20,0)-IF(18&lt;Model!$B$15,Model!$B$22,0))/(1-Model!$B$9)/(1+Model!$B$18)^18))</f>
        <v/>
      </c>
      <c r="AG22" s="7">
        <f>IF(A22="","",IF((A22+19)&gt;Model!$B$4,0,MAX(0,Model!$B$6-IF((A22+19)&gt;=Model!$B$11,Model!$B$20,0)-IF(19&lt;Model!$B$15,Model!$B$22,0))/(1-Model!$B$9)/(1+Model!$B$18)^19))</f>
        <v/>
      </c>
      <c r="AH22" s="7">
        <f>IF(A22="","",IF((A22+20)&gt;Model!$B$4,0,MAX(0,Model!$B$6-IF((A22+20)&gt;=Model!$B$11,Model!$B$20,0)-IF(20&lt;Model!$B$15,Model!$B$22,0))/(1-Model!$B$9)/(1+Model!$B$18)^20))</f>
        <v/>
      </c>
      <c r="AI22" s="7">
        <f>IF(A22="","",IF((A22+21)&gt;Model!$B$4,0,MAX(0,Model!$B$6-IF((A22+21)&gt;=Model!$B$11,Model!$B$20,0)-IF(21&lt;Model!$B$15,Model!$B$22,0))/(1-Model!$B$9)/(1+Model!$B$18)^21))</f>
        <v/>
      </c>
      <c r="AJ22" s="7">
        <f>IF(A22="","",IF((A22+22)&gt;Model!$B$4,0,MAX(0,Model!$B$6-IF((A22+22)&gt;=Model!$B$11,Model!$B$20,0)-IF(22&lt;Model!$B$15,Model!$B$22,0))/(1-Model!$B$9)/(1+Model!$B$18)^22))</f>
        <v/>
      </c>
      <c r="AK22" s="7">
        <f>IF(A22="","",IF((A22+23)&gt;Model!$B$4,0,MAX(0,Model!$B$6-IF((A22+23)&gt;=Model!$B$11,Model!$B$20,0)-IF(23&lt;Model!$B$15,Model!$B$22,0))/(1-Model!$B$9)/(1+Model!$B$18)^23))</f>
        <v/>
      </c>
      <c r="AL22" s="7">
        <f>IF(A22="","",IF((A22+24)&gt;Model!$B$4,0,MAX(0,Model!$B$6-IF((A22+24)&gt;=Model!$B$11,Model!$B$20,0)-IF(24&lt;Model!$B$15,Model!$B$22,0))/(1-Model!$B$9)/(1+Model!$B$18)^24))</f>
        <v/>
      </c>
      <c r="AM22" s="7">
        <f>IF(A22="","",IF((A22+25)&gt;Model!$B$4,0,MAX(0,Model!$B$6-IF((A22+25)&gt;=Model!$B$11,Model!$B$20,0)-IF(25&lt;Model!$B$15,Model!$B$22,0))/(1-Model!$B$9)/(1+Model!$B$18)^25))</f>
        <v/>
      </c>
      <c r="AN22" s="7">
        <f>IF(A22="","",IF((A22+26)&gt;Model!$B$4,0,MAX(0,Model!$B$6-IF((A22+26)&gt;=Model!$B$11,Model!$B$20,0)-IF(26&lt;Model!$B$15,Model!$B$22,0))/(1-Model!$B$9)/(1+Model!$B$18)^26))</f>
        <v/>
      </c>
      <c r="AO22" s="7">
        <f>IF(A22="","",IF((A22+27)&gt;Model!$B$4,0,MAX(0,Model!$B$6-IF((A22+27)&gt;=Model!$B$11,Model!$B$20,0)-IF(27&lt;Model!$B$15,Model!$B$22,0))/(1-Model!$B$9)/(1+Model!$B$18)^27))</f>
        <v/>
      </c>
      <c r="AP22" s="7">
        <f>IF(A22="","",IF((A22+28)&gt;Model!$B$4,0,MAX(0,Model!$B$6-IF((A22+28)&gt;=Model!$B$11,Model!$B$20,0)-IF(28&lt;Model!$B$15,Model!$B$22,0))/(1-Model!$B$9)/(1+Model!$B$18)^28))</f>
        <v/>
      </c>
      <c r="AQ22" s="7">
        <f>IF(A22="","",IF((A22+29)&gt;Model!$B$4,0,MAX(0,Model!$B$6-IF((A22+29)&gt;=Model!$B$11,Model!$B$20,0)-IF(29&lt;Model!$B$15,Model!$B$22,0))/(1-Model!$B$9)/(1+Model!$B$18)^29))</f>
        <v/>
      </c>
      <c r="AR22" s="7">
        <f>IF(A22="","",IF((A22+30)&gt;Model!$B$4,0,MAX(0,Model!$B$6-IF((A22+30)&gt;=Model!$B$11,Model!$B$20,0)-IF(30&lt;Model!$B$15,Model!$B$22,0))/(1-Model!$B$9)/(1+Model!$B$18)^30))</f>
        <v/>
      </c>
      <c r="AS22" s="7">
        <f>IF(A22="","",IF((A22+31)&gt;Model!$B$4,0,MAX(0,Model!$B$6-IF((A22+31)&gt;=Model!$B$11,Model!$B$20,0)-IF(31&lt;Model!$B$15,Model!$B$22,0))/(1-Model!$B$9)/(1+Model!$B$18)^31))</f>
        <v/>
      </c>
      <c r="AT22" s="7">
        <f>IF(A22="","",IF((A22+32)&gt;Model!$B$4,0,MAX(0,Model!$B$6-IF((A22+32)&gt;=Model!$B$11,Model!$B$20,0)-IF(32&lt;Model!$B$15,Model!$B$22,0))/(1-Model!$B$9)/(1+Model!$B$18)^32))</f>
        <v/>
      </c>
      <c r="AU22" s="7">
        <f>IF(A22="","",IF((A22+33)&gt;Model!$B$4,0,MAX(0,Model!$B$6-IF((A22+33)&gt;=Model!$B$11,Model!$B$20,0)-IF(33&lt;Model!$B$15,Model!$B$22,0))/(1-Model!$B$9)/(1+Model!$B$18)^33))</f>
        <v/>
      </c>
      <c r="AV22" s="7">
        <f>IF(A22="","",IF((A22+34)&gt;Model!$B$4,0,MAX(0,Model!$B$6-IF((A22+34)&gt;=Model!$B$11,Model!$B$20,0)-IF(34&lt;Model!$B$15,Model!$B$22,0))/(1-Model!$B$9)/(1+Model!$B$18)^34))</f>
        <v/>
      </c>
      <c r="AW22" s="7">
        <f>IF(A22="","",IF((A22+35)&gt;Model!$B$4,0,MAX(0,Model!$B$6-IF((A22+35)&gt;=Model!$B$11,Model!$B$20,0)-IF(35&lt;Model!$B$15,Model!$B$22,0))/(1-Model!$B$9)/(1+Model!$B$18)^35))</f>
        <v/>
      </c>
      <c r="AX22" s="7">
        <f>IF(A22="","",IF((A22+36)&gt;Model!$B$4,0,MAX(0,Model!$B$6-IF((A22+36)&gt;=Model!$B$11,Model!$B$20,0)-IF(36&lt;Model!$B$15,Model!$B$22,0))/(1-Model!$B$9)/(1+Model!$B$18)^36))</f>
        <v/>
      </c>
      <c r="AY22" s="7">
        <f>IF(A22="","",IF((A22+37)&gt;Model!$B$4,0,MAX(0,Model!$B$6-IF((A22+37)&gt;=Model!$B$11,Model!$B$20,0)-IF(37&lt;Model!$B$15,Model!$B$22,0))/(1-Model!$B$9)/(1+Model!$B$18)^37))</f>
        <v/>
      </c>
      <c r="AZ22" s="7">
        <f>IF(A22="","",IF((A22+38)&gt;Model!$B$4,0,MAX(0,Model!$B$6-IF((A22+38)&gt;=Model!$B$11,Model!$B$20,0)-IF(38&lt;Model!$B$15,Model!$B$22,0))/(1-Model!$B$9)/(1+Model!$B$18)^38))</f>
        <v/>
      </c>
      <c r="BA22" s="7">
        <f>IF(A22="","",IF((A22+39)&gt;Model!$B$4,0,MAX(0,Model!$B$6-IF((A22+39)&gt;=Model!$B$11,Model!$B$20,0)-IF(39&lt;Model!$B$15,Model!$B$22,0))/(1-Model!$B$9)/(1+Model!$B$18)^39))</f>
        <v/>
      </c>
      <c r="BB22" s="7">
        <f>IF(A22="","",IF((A22+40)&gt;Model!$B$4,0,MAX(0,Model!$B$6-IF((A22+40)&gt;=Model!$B$11,Model!$B$20,0)-IF(40&lt;Model!$B$15,Model!$B$22,0))/(1-Model!$B$9)/(1+Model!$B$18)^40))</f>
        <v/>
      </c>
      <c r="BC22" s="7">
        <f>IF(A22="","",IF((A22+41)&gt;Model!$B$4,0,MAX(0,Model!$B$6-IF((A22+41)&gt;=Model!$B$11,Model!$B$20,0)-IF(41&lt;Model!$B$15,Model!$B$22,0))/(1-Model!$B$9)/(1+Model!$B$18)^41))</f>
        <v/>
      </c>
      <c r="BD22" s="7">
        <f>IF(A22="","",IF((A22+42)&gt;Model!$B$4,0,MAX(0,Model!$B$6-IF((A22+42)&gt;=Model!$B$11,Model!$B$20,0)-IF(42&lt;Model!$B$15,Model!$B$22,0))/(1-Model!$B$9)/(1+Model!$B$18)^42))</f>
        <v/>
      </c>
      <c r="BE22" s="7">
        <f>IF(A22="","",IF((A22+43)&gt;Model!$B$4,0,MAX(0,Model!$B$6-IF((A22+43)&gt;=Model!$B$11,Model!$B$20,0)-IF(43&lt;Model!$B$15,Model!$B$22,0))/(1-Model!$B$9)/(1+Model!$B$18)^43))</f>
        <v/>
      </c>
      <c r="BF22" s="7">
        <f>IF(A22="","",IF((A22+44)&gt;Model!$B$4,0,MAX(0,Model!$B$6-IF((A22+44)&gt;=Model!$B$11,Model!$B$20,0)-IF(44&lt;Model!$B$15,Model!$B$22,0))/(1-Model!$B$9)/(1+Model!$B$18)^44))</f>
        <v/>
      </c>
      <c r="BG22" s="7">
        <f>IF(A22="","",IF((A22+45)&gt;Model!$B$4,0,MAX(0,Model!$B$6-IF((A22+45)&gt;=Model!$B$11,Model!$B$20,0)-IF(45&lt;Model!$B$15,Model!$B$22,0))/(1-Model!$B$9)/(1+Model!$B$18)^45))</f>
        <v/>
      </c>
      <c r="BH22" s="7">
        <f>IF(A22="","",IF((A22+46)&gt;Model!$B$4,0,MAX(0,Model!$B$6-IF((A22+46)&gt;=Model!$B$11,Model!$B$20,0)-IF(46&lt;Model!$B$15,Model!$B$22,0))/(1-Model!$B$9)/(1+Model!$B$18)^46))</f>
        <v/>
      </c>
      <c r="BI22" s="7">
        <f>IF(A22="","",IF((A22+47)&gt;Model!$B$4,0,MAX(0,Model!$B$6-IF((A22+47)&gt;=Model!$B$11,Model!$B$20,0)-IF(47&lt;Model!$B$15,Model!$B$22,0))/(1-Model!$B$9)/(1+Model!$B$18)^47))</f>
        <v/>
      </c>
      <c r="BJ22" s="7">
        <f>IF(A22="","",IF((A22+48)&gt;Model!$B$4,0,MAX(0,Model!$B$6-IF((A22+48)&gt;=Model!$B$11,Model!$B$20,0)-IF(48&lt;Model!$B$15,Model!$B$22,0))/(1-Model!$B$9)/(1+Model!$B$18)^48))</f>
        <v/>
      </c>
      <c r="BK22" s="7">
        <f>IF(A22="","",IF((A22+49)&gt;Model!$B$4,0,MAX(0,Model!$B$6-IF((A22+49)&gt;=Model!$B$11,Model!$B$20,0)-IF(49&lt;Model!$B$15,Model!$B$22,0))/(1-Model!$B$9)/(1+Model!$B$18)^49))</f>
        <v/>
      </c>
      <c r="BL22" s="7">
        <f>IF(A22="","",IF((A22+50)&gt;Model!$B$4,0,MAX(0,Model!$B$6-IF((A22+50)&gt;=Model!$B$11,Model!$B$20,0)-IF(50&lt;Model!$B$15,Model!$B$22,0))/(1-Model!$B$9)/(1+Model!$B$18)^50))</f>
        <v/>
      </c>
      <c r="BM22" s="7">
        <f>IF(A22="","",IF((A22+51)&gt;Model!$B$4,0,MAX(0,Model!$B$6-IF((A22+51)&gt;=Model!$B$11,Model!$B$20,0)-IF(51&lt;Model!$B$15,Model!$B$22,0))/(1-Model!$B$9)/(1+Model!$B$18)^51))</f>
        <v/>
      </c>
      <c r="BN22" s="7">
        <f>IF(A22="","",IF((A22+52)&gt;Model!$B$4,0,MAX(0,Model!$B$6-IF((A22+52)&gt;=Model!$B$11,Model!$B$20,0)-IF(52&lt;Model!$B$15,Model!$B$22,0))/(1-Model!$B$9)/(1+Model!$B$18)^52))</f>
        <v/>
      </c>
      <c r="BO22" s="7">
        <f>IF(A22="","",IF((A22+53)&gt;Model!$B$4,0,MAX(0,Model!$B$6-IF((A22+53)&gt;=Model!$B$11,Model!$B$20,0)-IF(53&lt;Model!$B$15,Model!$B$22,0))/(1-Model!$B$9)/(1+Model!$B$18)^53))</f>
        <v/>
      </c>
      <c r="BP22" s="7">
        <f>IF(A22="","",IF((A22+54)&gt;Model!$B$4,0,MAX(0,Model!$B$6-IF((A22+54)&gt;=Model!$B$11,Model!$B$20,0)-IF(54&lt;Model!$B$15,Model!$B$22,0))/(1-Model!$B$9)/(1+Model!$B$18)^54))</f>
        <v/>
      </c>
      <c r="BQ22" s="7">
        <f>IF(A22="","",IF((A22+55)&gt;Model!$B$4,0,MAX(0,Model!$B$6-IF((A22+55)&gt;=Model!$B$11,Model!$B$20,0)-IF(55&lt;Model!$B$15,Model!$B$22,0))/(1-Model!$B$9)/(1+Model!$B$18)^55))</f>
        <v/>
      </c>
      <c r="BR22" s="7">
        <f>IF(A22="","",IF((A22+56)&gt;Model!$B$4,0,MAX(0,Model!$B$6-IF((A22+56)&gt;=Model!$B$11,Model!$B$20,0)-IF(56&lt;Model!$B$15,Model!$B$22,0))/(1-Model!$B$9)/(1+Model!$B$18)^56))</f>
        <v/>
      </c>
      <c r="BS22" s="7">
        <f>IF(A22="","",IF((A22+57)&gt;Model!$B$4,0,MAX(0,Model!$B$6-IF((A22+57)&gt;=Model!$B$11,Model!$B$20,0)-IF(57&lt;Model!$B$15,Model!$B$22,0))/(1-Model!$B$9)/(1+Model!$B$18)^57))</f>
        <v/>
      </c>
      <c r="BT22" s="7">
        <f>IF(A22="","",IF((A22+58)&gt;Model!$B$4,0,MAX(0,Model!$B$6-IF((A22+58)&gt;=Model!$B$11,Model!$B$20,0)-IF(58&lt;Model!$B$15,Model!$B$22,0))/(1-Model!$B$9)/(1+Model!$B$18)^58))</f>
        <v/>
      </c>
      <c r="BU22" s="7">
        <f>IF(A22="","",IF((A22+59)&gt;Model!$B$4,0,MAX(0,Model!$B$6-IF((A22+59)&gt;=Model!$B$11,Model!$B$20,0)-IF(59&lt;Model!$B$15,Model!$B$22,0))/(1-Model!$B$9)/(1+Model!$B$18)^59))</f>
        <v/>
      </c>
      <c r="BV22" s="7">
        <f>IF(A22="","",IF((A22+60)&gt;Model!$B$4,0,MAX(0,Model!$B$6-IF((A22+60)&gt;=Model!$B$11,Model!$B$20,0)-IF(60&lt;Model!$B$15,Model!$B$22,0))/(1-Model!$B$9)/(1+Model!$B$18)^60))</f>
        <v/>
      </c>
      <c r="BW22" s="7">
        <f>IF(A22="","",IF((A22+61)&gt;Model!$B$4,0,MAX(0,Model!$B$6-IF((A22+61)&gt;=Model!$B$11,Model!$B$20,0)-IF(61&lt;Model!$B$15,Model!$B$22,0))/(1-Model!$B$9)/(1+Model!$B$18)^61))</f>
        <v/>
      </c>
      <c r="BX22" s="7">
        <f>IF(A22="","",IF((A22+62)&gt;Model!$B$4,0,MAX(0,Model!$B$6-IF((A22+62)&gt;=Model!$B$11,Model!$B$20,0)-IF(62&lt;Model!$B$15,Model!$B$22,0))/(1-Model!$B$9)/(1+Model!$B$18)^62))</f>
        <v/>
      </c>
      <c r="BY22" s="7">
        <f>IF(A22="","",IF((A22+63)&gt;Model!$B$4,0,MAX(0,Model!$B$6-IF((A22+63)&gt;=Model!$B$11,Model!$B$20,0)-IF(63&lt;Model!$B$15,Model!$B$22,0))/(1-Model!$B$9)/(1+Model!$B$18)^63))</f>
        <v/>
      </c>
      <c r="BZ22" s="7">
        <f>IF(A22="","",IF((A22+64)&gt;Model!$B$4,0,MAX(0,Model!$B$6-IF((A22+64)&gt;=Model!$B$11,Model!$B$20,0)-IF(64&lt;Model!$B$15,Model!$B$22,0))/(1-Model!$B$9)/(1+Model!$B$18)^64))</f>
        <v/>
      </c>
      <c r="CA22" s="7">
        <f>IF(A22="","",IF((A22+65)&gt;Model!$B$4,0,MAX(0,Model!$B$6-IF((A22+65)&gt;=Model!$B$11,Model!$B$20,0)-IF(65&lt;Model!$B$15,Model!$B$22,0))/(1-Model!$B$9)/(1+Model!$B$18)^65))</f>
        <v/>
      </c>
      <c r="CB22" s="7">
        <f>IF(A22="","",IF((A22+66)&gt;Model!$B$4,0,MAX(0,Model!$B$6-IF((A22+66)&gt;=Model!$B$11,Model!$B$20,0)-IF(66&lt;Model!$B$15,Model!$B$22,0))/(1-Model!$B$9)/(1+Model!$B$18)^66))</f>
        <v/>
      </c>
      <c r="CC22" s="7">
        <f>IF(A22="","",IF((A22+67)&gt;Model!$B$4,0,MAX(0,Model!$B$6-IF((A22+67)&gt;=Model!$B$11,Model!$B$20,0)-IF(67&lt;Model!$B$15,Model!$B$22,0))/(1-Model!$B$9)/(1+Model!$B$18)^67))</f>
        <v/>
      </c>
      <c r="CD22" s="7">
        <f>IF(A22="","",IF((A22+68)&gt;Model!$B$4,0,MAX(0,Model!$B$6-IF((A22+68)&gt;=Model!$B$11,Model!$B$20,0)-IF(68&lt;Model!$B$15,Model!$B$22,0))/(1-Model!$B$9)/(1+Model!$B$18)^68))</f>
        <v/>
      </c>
      <c r="CE22" s="7">
        <f>IF(A22="","",IF((A22+69)&gt;Model!$B$4,0,MAX(0,Model!$B$6-IF((A22+69)&gt;=Model!$B$11,Model!$B$20,0)-IF(69&lt;Model!$B$15,Model!$B$22,0))/(1-Model!$B$9)/(1+Model!$B$18)^69))</f>
        <v/>
      </c>
      <c r="CF22" s="7">
        <f>IF(A22="","",IF((A22+70)&gt;Model!$B$4,0,MAX(0,Model!$B$6-IF((A22+70)&gt;=Model!$B$11,Model!$B$20,0)-IF(70&lt;Model!$B$15,Model!$B$22,0))/(1-Model!$B$9)/(1+Model!$B$18)^70))</f>
        <v/>
      </c>
      <c r="CG22" s="7">
        <f>IF(A22="","",IF((A22+71)&gt;Model!$B$4,0,MAX(0,Model!$B$6-IF((A22+71)&gt;=Model!$B$11,Model!$B$20,0)-IF(71&lt;Model!$B$15,Model!$B$22,0))/(1-Model!$B$9)/(1+Model!$B$18)^71))</f>
        <v/>
      </c>
      <c r="CH22" s="7">
        <f>IF(A22="","",IF((A22+72)&gt;Model!$B$4,0,MAX(0,Model!$B$6-IF((A22+72)&gt;=Model!$B$11,Model!$B$20,0)-IF(72&lt;Model!$B$15,Model!$B$22,0))/(1-Model!$B$9)/(1+Model!$B$18)^72))</f>
        <v/>
      </c>
      <c r="CI22" s="7">
        <f>IF(A22="","",IF((A22+73)&gt;Model!$B$4,0,MAX(0,Model!$B$6-IF((A22+73)&gt;=Model!$B$11,Model!$B$20,0)-IF(73&lt;Model!$B$15,Model!$B$22,0))/(1-Model!$B$9)/(1+Model!$B$18)^73))</f>
        <v/>
      </c>
      <c r="CJ22" s="7">
        <f>IF(A22="","",IF((A22+74)&gt;Model!$B$4,0,MAX(0,Model!$B$6-IF((A22+74)&gt;=Model!$B$11,Model!$B$20,0)-IF(74&lt;Model!$B$15,Model!$B$22,0))/(1-Model!$B$9)/(1+Model!$B$18)^74))</f>
        <v/>
      </c>
      <c r="CK22" s="7">
        <f>IF(A22="","",IF((A22+75)&gt;Model!$B$4,0,MAX(0,Model!$B$6-IF((A22+75)&gt;=Model!$B$11,Model!$B$20,0)-IF(75&lt;Model!$B$15,Model!$B$22,0))/(1-Model!$B$9)/(1+Model!$B$18)^75))</f>
        <v/>
      </c>
      <c r="CL22" s="7">
        <f>IF(A22="","",IF((A22+76)&gt;Model!$B$4,0,MAX(0,Model!$B$6-IF((A22+76)&gt;=Model!$B$11,Model!$B$20,0)-IF(76&lt;Model!$B$15,Model!$B$22,0))/(1-Model!$B$9)/(1+Model!$B$18)^76))</f>
        <v/>
      </c>
      <c r="CM22" s="7">
        <f>IF(A22="","",IF((A22+77)&gt;Model!$B$4,0,MAX(0,Model!$B$6-IF((A22+77)&gt;=Model!$B$11,Model!$B$20,0)-IF(77&lt;Model!$B$15,Model!$B$22,0))/(1-Model!$B$9)/(1+Model!$B$18)^77))</f>
        <v/>
      </c>
      <c r="CN22" s="7">
        <f>IF(A22="","",IF((A22+78)&gt;Model!$B$4,0,MAX(0,Model!$B$6-IF((A22+78)&gt;=Model!$B$11,Model!$B$20,0)-IF(78&lt;Model!$B$15,Model!$B$22,0))/(1-Model!$B$9)/(1+Model!$B$18)^78))</f>
        <v/>
      </c>
      <c r="CO22" s="7">
        <f>IF(A22="","",IF((A22+79)&gt;Model!$B$4,0,MAX(0,Model!$B$6-IF((A22+79)&gt;=Model!$B$11,Model!$B$20,0)-IF(79&lt;Model!$B$15,Model!$B$22,0))/(1-Model!$B$9)/(1+Model!$B$18)^79))</f>
        <v/>
      </c>
      <c r="CP22" s="7">
        <f>IF(A22="","",IF((A22+80)&gt;Model!$B$4,0,MAX(0,Model!$B$6-IF((A22+80)&gt;=Model!$B$11,Model!$B$20,0)-IF(80&lt;Model!$B$15,Model!$B$22,0))/(1-Model!$B$9)/(1+Model!$B$18)^80))</f>
        <v/>
      </c>
      <c r="CQ22" s="7">
        <f>IF(A22="","",IF((A22+81)&gt;Model!$B$4,0,MAX(0,Model!$B$6-IF((A22+81)&gt;=Model!$B$11,Model!$B$20,0)-IF(81&lt;Model!$B$15,Model!$B$22,0))/(1-Model!$B$9)/(1+Model!$B$18)^81))</f>
        <v/>
      </c>
      <c r="CR22" s="7">
        <f>IF(A22="","",IF((A22+82)&gt;Model!$B$4,0,MAX(0,Model!$B$6-IF((A22+82)&gt;=Model!$B$11,Model!$B$20,0)-IF(82&lt;Model!$B$15,Model!$B$22,0))/(1-Model!$B$9)/(1+Model!$B$18)^82))</f>
        <v/>
      </c>
      <c r="CS22" s="7">
        <f>IF(A22="","",IF((A22+83)&gt;Model!$B$4,0,MAX(0,Model!$B$6-IF((A22+83)&gt;=Model!$B$11,Model!$B$20,0)-IF(83&lt;Model!$B$15,Model!$B$22,0))/(1-Model!$B$9)/(1+Model!$B$18)^83))</f>
        <v/>
      </c>
      <c r="CT22" s="7">
        <f>IF(A22="","",IF((A22+84)&gt;Model!$B$4,0,MAX(0,Model!$B$6-IF((A22+84)&gt;=Model!$B$11,Model!$B$20,0)-IF(84&lt;Model!$B$15,Model!$B$22,0))/(1-Model!$B$9)/(1+Model!$B$18)^84))</f>
        <v/>
      </c>
      <c r="CU22" s="7">
        <f>IF(A22="","",IF((A22+85)&gt;Model!$B$4,0,MAX(0,Model!$B$6-IF((A22+85)&gt;=Model!$B$11,Model!$B$20,0)-IF(85&lt;Model!$B$15,Model!$B$22,0))/(1-Model!$B$9)/(1+Model!$B$18)^85))</f>
        <v/>
      </c>
      <c r="CV22" s="7">
        <f>IF(A22="","",IF((A22+86)&gt;Model!$B$4,0,MAX(0,Model!$B$6-IF((A22+86)&gt;=Model!$B$11,Model!$B$20,0)-IF(86&lt;Model!$B$15,Model!$B$22,0))/(1-Model!$B$9)/(1+Model!$B$18)^86))</f>
        <v/>
      </c>
      <c r="CW22" s="7">
        <f>IF(A22="","",IF((A22+87)&gt;Model!$B$4,0,MAX(0,Model!$B$6-IF((A22+87)&gt;=Model!$B$11,Model!$B$20,0)-IF(87&lt;Model!$B$15,Model!$B$22,0))/(1-Model!$B$9)/(1+Model!$B$18)^87))</f>
        <v/>
      </c>
      <c r="CX22" s="7">
        <f>IF(A22="","",IF((A22+88)&gt;Model!$B$4,0,MAX(0,Model!$B$6-IF((A22+88)&gt;=Model!$B$11,Model!$B$20,0)-IF(88&lt;Model!$B$15,Model!$B$22,0))/(1-Model!$B$9)/(1+Model!$B$18)^88))</f>
        <v/>
      </c>
      <c r="CY22" s="7">
        <f>IF(A22="","",IF((A22+89)&gt;Model!$B$4,0,MAX(0,Model!$B$6-IF((A22+89)&gt;=Model!$B$11,Model!$B$20,0)-IF(89&lt;Model!$B$15,Model!$B$22,0))/(1-Model!$B$9)/(1+Model!$B$18)^89))</f>
        <v/>
      </c>
      <c r="CZ22" s="7">
        <f>IF(A22="","",IF((A22+90)&gt;Model!$B$4,0,MAX(0,Model!$B$6-IF((A22+90)&gt;=Model!$B$11,Model!$B$20,0)-IF(90&lt;Model!$B$15,Model!$B$22,0))/(1-Model!$B$9)/(1+Model!$B$18)^90))</f>
        <v/>
      </c>
      <c r="DA22" s="7">
        <f>IF(A22="","",IF((A22+91)&gt;Model!$B$4,0,MAX(0,Model!$B$6-IF((A22+91)&gt;=Model!$B$11,Model!$B$20,0)-IF(91&lt;Model!$B$15,Model!$B$22,0))/(1-Model!$B$9)/(1+Model!$B$18)^91))</f>
        <v/>
      </c>
      <c r="DB22" s="7">
        <f>IF(A22="","",IF((A22+92)&gt;Model!$B$4,0,MAX(0,Model!$B$6-IF((A22+92)&gt;=Model!$B$11,Model!$B$20,0)-IF(92&lt;Model!$B$15,Model!$B$22,0))/(1-Model!$B$9)/(1+Model!$B$18)^92))</f>
        <v/>
      </c>
      <c r="DC22" s="7">
        <f>IF(A22="","",IF((A22+93)&gt;Model!$B$4,0,MAX(0,Model!$B$6-IF((A22+93)&gt;=Model!$B$11,Model!$B$20,0)-IF(93&lt;Model!$B$15,Model!$B$22,0))/(1-Model!$B$9)/(1+Model!$B$18)^93))</f>
        <v/>
      </c>
      <c r="DD22" s="7">
        <f>IF(A22="","",IF((A22+94)&gt;Model!$B$4,0,MAX(0,Model!$B$6-IF((A22+94)&gt;=Model!$B$11,Model!$B$20,0)-IF(94&lt;Model!$B$15,Model!$B$22,0))/(1-Model!$B$9)/(1+Model!$B$18)^94))</f>
        <v/>
      </c>
      <c r="DE22" s="7">
        <f>IF(A22="","",IF((A22+95)&gt;Model!$B$4,0,MAX(0,Model!$B$6-IF((A22+95)&gt;=Model!$B$11,Model!$B$20,0)-IF(95&lt;Model!$B$15,Model!$B$22,0))/(1-Model!$B$9)/(1+Model!$B$18)^95))</f>
        <v/>
      </c>
      <c r="DF22" s="7">
        <f>IF(A22="","",IF((A22+96)&gt;Model!$B$4,0,MAX(0,Model!$B$6-IF((A22+96)&gt;=Model!$B$11,Model!$B$20,0)-IF(96&lt;Model!$B$15,Model!$B$22,0))/(1-Model!$B$9)/(1+Model!$B$18)^96))</f>
        <v/>
      </c>
      <c r="DG22" s="7">
        <f>IF(A22="","",IF((A22+97)&gt;Model!$B$4,0,MAX(0,Model!$B$6-IF((A22+97)&gt;=Model!$B$11,Model!$B$20,0)-IF(97&lt;Model!$B$15,Model!$B$22,0))/(1-Model!$B$9)/(1+Model!$B$18)^97))</f>
        <v/>
      </c>
      <c r="DH22" s="7">
        <f>IF(A22="","",IF((A22+98)&gt;Model!$B$4,0,MAX(0,Model!$B$6-IF((A22+98)&gt;=Model!$B$11,Model!$B$20,0)-IF(98&lt;Model!$B$15,Model!$B$22,0))/(1-Model!$B$9)/(1+Model!$B$18)^98))</f>
        <v/>
      </c>
      <c r="DI22" s="7">
        <f>IF(A22="","",IF((A22+99)&gt;Model!$B$4,0,MAX(0,Model!$B$6-IF((A22+99)&gt;=Model!$B$11,Model!$B$20,0)-IF(99&lt;Model!$B$15,Model!$B$22,0))/(1-Model!$B$9)/(1+Model!$B$18)^99))</f>
        <v/>
      </c>
      <c r="DJ22" s="7">
        <f>IF(A22="","",IF((A22+100)&gt;Model!$B$4,0,MAX(0,Model!$B$6-IF((A22+100)&gt;=Model!$B$11,Model!$B$20,0)-IF(100&lt;Model!$B$15,Model!$B$22,0))/(1-Model!$B$9)/(1+Model!$B$18)^100))</f>
        <v/>
      </c>
      <c r="DK22" s="7">
        <f>IF(A22="","",IF((A22+101)&gt;Model!$B$4,0,MAX(0,Model!$B$6-IF((A22+101)&gt;=Model!$B$11,Model!$B$20,0)-IF(101&lt;Model!$B$15,Model!$B$22,0))/(1-Model!$B$9)/(1+Model!$B$18)^101))</f>
        <v/>
      </c>
      <c r="DL22" s="7">
        <f>IF(A22="","",IF((A22+102)&gt;Model!$B$4,0,MAX(0,Model!$B$6-IF((A22+102)&gt;=Model!$B$11,Model!$B$20,0)-IF(102&lt;Model!$B$15,Model!$B$22,0))/(1-Model!$B$9)/(1+Model!$B$18)^102))</f>
        <v/>
      </c>
      <c r="DM22" s="7">
        <f>IF(A22="","",IF((A22+103)&gt;Model!$B$4,0,MAX(0,Model!$B$6-IF((A22+103)&gt;=Model!$B$11,Model!$B$20,0)-IF(103&lt;Model!$B$15,Model!$B$22,0))/(1-Model!$B$9)/(1+Model!$B$18)^103))</f>
        <v/>
      </c>
      <c r="DN22" s="7">
        <f>IF(A22="","",IF((A22+104)&gt;Model!$B$4,0,MAX(0,Model!$B$6-IF((A22+104)&gt;=Model!$B$11,Model!$B$20,0)-IF(104&lt;Model!$B$15,Model!$B$22,0))/(1-Model!$B$9)/(1+Model!$B$18)^104))</f>
        <v/>
      </c>
      <c r="DO22" s="7">
        <f>IF(A22="","",IF((A22+105)&gt;Model!$B$4,0,MAX(0,Model!$B$6-IF((A22+105)&gt;=Model!$B$11,Model!$B$20,0)-IF(105&lt;Model!$B$15,Model!$B$22,0))/(1-Model!$B$9)/(1+Model!$B$18)^105))</f>
        <v/>
      </c>
      <c r="DP22" s="7">
        <f>IF(A22="","",IF((A22+106)&gt;Model!$B$4,0,MAX(0,Model!$B$6-IF((A22+106)&gt;=Model!$B$11,Model!$B$20,0)-IF(106&lt;Model!$B$15,Model!$B$22,0))/(1-Model!$B$9)/(1+Model!$B$18)^106))</f>
        <v/>
      </c>
      <c r="DQ22" s="7">
        <f>IF(A22="","",IF((A22+107)&gt;Model!$B$4,0,MAX(0,Model!$B$6-IF((A22+107)&gt;=Model!$B$11,Model!$B$20,0)-IF(107&lt;Model!$B$15,Model!$B$22,0))/(1-Model!$B$9)/(1+Model!$B$18)^107))</f>
        <v/>
      </c>
      <c r="DR22" s="7">
        <f>IF(A22="","",IF((A22+108)&gt;Model!$B$4,0,MAX(0,Model!$B$6-IF((A22+108)&gt;=Model!$B$11,Model!$B$20,0)-IF(108&lt;Model!$B$15,Model!$B$22,0))/(1-Model!$B$9)/(1+Model!$B$18)^108))</f>
        <v/>
      </c>
      <c r="DS22" s="7">
        <f>IF(A22="","",IF((A22+109)&gt;Model!$B$4,0,MAX(0,Model!$B$6-IF((A22+109)&gt;=Model!$B$11,Model!$B$20,0)-IF(109&lt;Model!$B$15,Model!$B$22,0))/(1-Model!$B$9)/(1+Model!$B$18)^109))</f>
        <v/>
      </c>
      <c r="DT22" s="7">
        <f>IF(A22="","",IF((A22+110)&gt;Model!$B$4,0,MAX(0,Model!$B$6-IF((A22+110)&gt;=Model!$B$11,Model!$B$20,0)-IF(110&lt;Model!$B$15,Model!$B$22,0))/(1-Model!$B$9)/(1+Model!$B$18)^110))</f>
        <v/>
      </c>
      <c r="DU22" s="7">
        <f>IF(A22="","",IF((A22+111)&gt;Model!$B$4,0,MAX(0,Model!$B$6-IF((A22+111)&gt;=Model!$B$11,Model!$B$20,0)-IF(111&lt;Model!$B$15,Model!$B$22,0))/(1-Model!$B$9)/(1+Model!$B$18)^111))</f>
        <v/>
      </c>
      <c r="DV22" s="7">
        <f>IF(A22="","",IF((A22+112)&gt;Model!$B$4,0,MAX(0,Model!$B$6-IF((A22+112)&gt;=Model!$B$11,Model!$B$20,0)-IF(112&lt;Model!$B$15,Model!$B$22,0))/(1-Model!$B$9)/(1+Model!$B$18)^112))</f>
        <v/>
      </c>
      <c r="DW22" s="7">
        <f>IF(A22="","",IF((A22+113)&gt;Model!$B$4,0,MAX(0,Model!$B$6-IF((A22+113)&gt;=Model!$B$11,Model!$B$20,0)-IF(113&lt;Model!$B$15,Model!$B$22,0))/(1-Model!$B$9)/(1+Model!$B$18)^113))</f>
        <v/>
      </c>
      <c r="DX22" s="7">
        <f>IF(A22="","",IF((A22+114)&gt;Model!$B$4,0,MAX(0,Model!$B$6-IF((A22+114)&gt;=Model!$B$11,Model!$B$20,0)-IF(114&lt;Model!$B$15,Model!$B$22,0))/(1-Model!$B$9)/(1+Model!$B$18)^114))</f>
        <v/>
      </c>
      <c r="DY22" s="7">
        <f>IF(A22="","",IF((A22+115)&gt;Model!$B$4,0,MAX(0,Model!$B$6-IF((A22+115)&gt;=Model!$B$11,Model!$B$20,0)-IF(115&lt;Model!$B$15,Model!$B$22,0))/(1-Model!$B$9)/(1+Model!$B$18)^115))</f>
        <v/>
      </c>
      <c r="DZ22" s="7">
        <f>IF(A22="","",IF((A22+116)&gt;Model!$B$4,0,MAX(0,Model!$B$6-IF((A22+116)&gt;=Model!$B$11,Model!$B$20,0)-IF(116&lt;Model!$B$15,Model!$B$22,0))/(1-Model!$B$9)/(1+Model!$B$18)^116))</f>
        <v/>
      </c>
      <c r="EA22" s="7">
        <f>IF(A22="","",IF((A22+117)&gt;Model!$B$4,0,MAX(0,Model!$B$6-IF((A22+117)&gt;=Model!$B$11,Model!$B$20,0)-IF(117&lt;Model!$B$15,Model!$B$22,0))/(1-Model!$B$9)/(1+Model!$B$18)^117))</f>
        <v/>
      </c>
      <c r="EB22" s="7">
        <f>IF(A22="","",IF((A22+118)&gt;Model!$B$4,0,MAX(0,Model!$B$6-IF((A22+118)&gt;=Model!$B$11,Model!$B$20,0)-IF(118&lt;Model!$B$15,Model!$B$22,0))/(1-Model!$B$9)/(1+Model!$B$18)^118))</f>
        <v/>
      </c>
      <c r="EC22" s="7">
        <f>IF(A22="","",IF((A22+119)&gt;Model!$B$4,0,MAX(0,Model!$B$6-IF((A22+119)&gt;=Model!$B$11,Model!$B$20,0)-IF(119&lt;Model!$B$15,Model!$B$22,0))/(1-Model!$B$9)/(1+Model!$B$18)^119))</f>
        <v/>
      </c>
      <c r="ED22" s="7">
        <f>IF(A22="","",IF((A22+120)&gt;Model!$B$4,0,MAX(0,Model!$B$6-IF((A22+120)&gt;=Model!$B$11,Model!$B$20,0)-IF(120&lt;Model!$B$15,Model!$B$22,0))/(1-Model!$B$9)/(1+Model!$B$18)^120))</f>
        <v/>
      </c>
    </row>
    <row r="23">
      <c r="A23">
        <f>IF(Model!$B$10+ROW()-2&lt;=Model!$B$4,Model!$B$10+ROW()-2,"")</f>
        <v/>
      </c>
      <c r="B23">
        <f>IF(A23="","",A23-Model!$B$10)</f>
        <v/>
      </c>
      <c r="C23" s="7">
        <f>IF(A23="","",Model!$B$5*(1+Model!$B$18)^B23)</f>
        <v/>
      </c>
      <c r="D23" s="7">
        <f>IF(A23="","",SUM(N23:ED23))</f>
        <v/>
      </c>
      <c r="E23" s="7">
        <f>IF(A23="","",IF(A23&gt;=Model!$B$11,Model!$B$20,0))</f>
        <v/>
      </c>
      <c r="F23" s="7">
        <f>IF(A23="","",IF(Model!$B$15&gt;0,Model!$B$22,0))</f>
        <v/>
      </c>
      <c r="G23" s="7">
        <f>IF(A23="","",E23+F23)</f>
        <v/>
      </c>
      <c r="H23" s="7">
        <f>IF(A23="","",MAX(0,Model!$B$6-G23))</f>
        <v/>
      </c>
      <c r="I23" s="7">
        <f>IF(A23="","",H23/(1-Model!$B$9))</f>
        <v/>
      </c>
      <c r="J23" s="7">
        <f>IF(A23="","",C23-D23)</f>
        <v/>
      </c>
      <c r="K23">
        <f>IF(A23="","",C23&gt;=D23)</f>
        <v/>
      </c>
      <c r="L23" s="7">
        <f>IF(A23="","",IF(A23&gt;=Model!$B$11,Model!$B$19*(1+Model!$B$13)^B23,0))</f>
        <v/>
      </c>
      <c r="M23" s="7">
        <f>IF(A23="","",IF(Model!$B$15&gt;0,Model!$B$21*(1+Model!$B$13)^B23,0))</f>
        <v/>
      </c>
      <c r="N23" s="7">
        <f>IF(A23="","",IF((A23+0)&gt;Model!$B$4,0,MAX(0,Model!$B$6-IF((A23+0)&gt;=Model!$B$11,Model!$B$20,0)-IF(0&lt;Model!$B$15,Model!$B$22,0))/(1-Model!$B$9)/(1+Model!$B$18)^0))</f>
        <v/>
      </c>
      <c r="O23" s="7">
        <f>IF(A23="","",IF((A23+1)&gt;Model!$B$4,0,MAX(0,Model!$B$6-IF((A23+1)&gt;=Model!$B$11,Model!$B$20,0)-IF(1&lt;Model!$B$15,Model!$B$22,0))/(1-Model!$B$9)/(1+Model!$B$18)^1))</f>
        <v/>
      </c>
      <c r="P23" s="7">
        <f>IF(A23="","",IF((A23+2)&gt;Model!$B$4,0,MAX(0,Model!$B$6-IF((A23+2)&gt;=Model!$B$11,Model!$B$20,0)-IF(2&lt;Model!$B$15,Model!$B$22,0))/(1-Model!$B$9)/(1+Model!$B$18)^2))</f>
        <v/>
      </c>
      <c r="Q23" s="7">
        <f>IF(A23="","",IF((A23+3)&gt;Model!$B$4,0,MAX(0,Model!$B$6-IF((A23+3)&gt;=Model!$B$11,Model!$B$20,0)-IF(3&lt;Model!$B$15,Model!$B$22,0))/(1-Model!$B$9)/(1+Model!$B$18)^3))</f>
        <v/>
      </c>
      <c r="R23" s="7">
        <f>IF(A23="","",IF((A23+4)&gt;Model!$B$4,0,MAX(0,Model!$B$6-IF((A23+4)&gt;=Model!$B$11,Model!$B$20,0)-IF(4&lt;Model!$B$15,Model!$B$22,0))/(1-Model!$B$9)/(1+Model!$B$18)^4))</f>
        <v/>
      </c>
      <c r="S23" s="7">
        <f>IF(A23="","",IF((A23+5)&gt;Model!$B$4,0,MAX(0,Model!$B$6-IF((A23+5)&gt;=Model!$B$11,Model!$B$20,0)-IF(5&lt;Model!$B$15,Model!$B$22,0))/(1-Model!$B$9)/(1+Model!$B$18)^5))</f>
        <v/>
      </c>
      <c r="T23" s="7">
        <f>IF(A23="","",IF((A23+6)&gt;Model!$B$4,0,MAX(0,Model!$B$6-IF((A23+6)&gt;=Model!$B$11,Model!$B$20,0)-IF(6&lt;Model!$B$15,Model!$B$22,0))/(1-Model!$B$9)/(1+Model!$B$18)^6))</f>
        <v/>
      </c>
      <c r="U23" s="7">
        <f>IF(A23="","",IF((A23+7)&gt;Model!$B$4,0,MAX(0,Model!$B$6-IF((A23+7)&gt;=Model!$B$11,Model!$B$20,0)-IF(7&lt;Model!$B$15,Model!$B$22,0))/(1-Model!$B$9)/(1+Model!$B$18)^7))</f>
        <v/>
      </c>
      <c r="V23" s="7">
        <f>IF(A23="","",IF((A23+8)&gt;Model!$B$4,0,MAX(0,Model!$B$6-IF((A23+8)&gt;=Model!$B$11,Model!$B$20,0)-IF(8&lt;Model!$B$15,Model!$B$22,0))/(1-Model!$B$9)/(1+Model!$B$18)^8))</f>
        <v/>
      </c>
      <c r="W23" s="7">
        <f>IF(A23="","",IF((A23+9)&gt;Model!$B$4,0,MAX(0,Model!$B$6-IF((A23+9)&gt;=Model!$B$11,Model!$B$20,0)-IF(9&lt;Model!$B$15,Model!$B$22,0))/(1-Model!$B$9)/(1+Model!$B$18)^9))</f>
        <v/>
      </c>
      <c r="X23" s="7">
        <f>IF(A23="","",IF((A23+10)&gt;Model!$B$4,0,MAX(0,Model!$B$6-IF((A23+10)&gt;=Model!$B$11,Model!$B$20,0)-IF(10&lt;Model!$B$15,Model!$B$22,0))/(1-Model!$B$9)/(1+Model!$B$18)^10))</f>
        <v/>
      </c>
      <c r="Y23" s="7">
        <f>IF(A23="","",IF((A23+11)&gt;Model!$B$4,0,MAX(0,Model!$B$6-IF((A23+11)&gt;=Model!$B$11,Model!$B$20,0)-IF(11&lt;Model!$B$15,Model!$B$22,0))/(1-Model!$B$9)/(1+Model!$B$18)^11))</f>
        <v/>
      </c>
      <c r="Z23" s="7">
        <f>IF(A23="","",IF((A23+12)&gt;Model!$B$4,0,MAX(0,Model!$B$6-IF((A23+12)&gt;=Model!$B$11,Model!$B$20,0)-IF(12&lt;Model!$B$15,Model!$B$22,0))/(1-Model!$B$9)/(1+Model!$B$18)^12))</f>
        <v/>
      </c>
      <c r="AA23" s="7">
        <f>IF(A23="","",IF((A23+13)&gt;Model!$B$4,0,MAX(0,Model!$B$6-IF((A23+13)&gt;=Model!$B$11,Model!$B$20,0)-IF(13&lt;Model!$B$15,Model!$B$22,0))/(1-Model!$B$9)/(1+Model!$B$18)^13))</f>
        <v/>
      </c>
      <c r="AB23" s="7">
        <f>IF(A23="","",IF((A23+14)&gt;Model!$B$4,0,MAX(0,Model!$B$6-IF((A23+14)&gt;=Model!$B$11,Model!$B$20,0)-IF(14&lt;Model!$B$15,Model!$B$22,0))/(1-Model!$B$9)/(1+Model!$B$18)^14))</f>
        <v/>
      </c>
      <c r="AC23" s="7">
        <f>IF(A23="","",IF((A23+15)&gt;Model!$B$4,0,MAX(0,Model!$B$6-IF((A23+15)&gt;=Model!$B$11,Model!$B$20,0)-IF(15&lt;Model!$B$15,Model!$B$22,0))/(1-Model!$B$9)/(1+Model!$B$18)^15))</f>
        <v/>
      </c>
      <c r="AD23" s="7">
        <f>IF(A23="","",IF((A23+16)&gt;Model!$B$4,0,MAX(0,Model!$B$6-IF((A23+16)&gt;=Model!$B$11,Model!$B$20,0)-IF(16&lt;Model!$B$15,Model!$B$22,0))/(1-Model!$B$9)/(1+Model!$B$18)^16))</f>
        <v/>
      </c>
      <c r="AE23" s="7">
        <f>IF(A23="","",IF((A23+17)&gt;Model!$B$4,0,MAX(0,Model!$B$6-IF((A23+17)&gt;=Model!$B$11,Model!$B$20,0)-IF(17&lt;Model!$B$15,Model!$B$22,0))/(1-Model!$B$9)/(1+Model!$B$18)^17))</f>
        <v/>
      </c>
      <c r="AF23" s="7">
        <f>IF(A23="","",IF((A23+18)&gt;Model!$B$4,0,MAX(0,Model!$B$6-IF((A23+18)&gt;=Model!$B$11,Model!$B$20,0)-IF(18&lt;Model!$B$15,Model!$B$22,0))/(1-Model!$B$9)/(1+Model!$B$18)^18))</f>
        <v/>
      </c>
      <c r="AG23" s="7">
        <f>IF(A23="","",IF((A23+19)&gt;Model!$B$4,0,MAX(0,Model!$B$6-IF((A23+19)&gt;=Model!$B$11,Model!$B$20,0)-IF(19&lt;Model!$B$15,Model!$B$22,0))/(1-Model!$B$9)/(1+Model!$B$18)^19))</f>
        <v/>
      </c>
      <c r="AH23" s="7">
        <f>IF(A23="","",IF((A23+20)&gt;Model!$B$4,0,MAX(0,Model!$B$6-IF((A23+20)&gt;=Model!$B$11,Model!$B$20,0)-IF(20&lt;Model!$B$15,Model!$B$22,0))/(1-Model!$B$9)/(1+Model!$B$18)^20))</f>
        <v/>
      </c>
      <c r="AI23" s="7">
        <f>IF(A23="","",IF((A23+21)&gt;Model!$B$4,0,MAX(0,Model!$B$6-IF((A23+21)&gt;=Model!$B$11,Model!$B$20,0)-IF(21&lt;Model!$B$15,Model!$B$22,0))/(1-Model!$B$9)/(1+Model!$B$18)^21))</f>
        <v/>
      </c>
      <c r="AJ23" s="7">
        <f>IF(A23="","",IF((A23+22)&gt;Model!$B$4,0,MAX(0,Model!$B$6-IF((A23+22)&gt;=Model!$B$11,Model!$B$20,0)-IF(22&lt;Model!$B$15,Model!$B$22,0))/(1-Model!$B$9)/(1+Model!$B$18)^22))</f>
        <v/>
      </c>
      <c r="AK23" s="7">
        <f>IF(A23="","",IF((A23+23)&gt;Model!$B$4,0,MAX(0,Model!$B$6-IF((A23+23)&gt;=Model!$B$11,Model!$B$20,0)-IF(23&lt;Model!$B$15,Model!$B$22,0))/(1-Model!$B$9)/(1+Model!$B$18)^23))</f>
        <v/>
      </c>
      <c r="AL23" s="7">
        <f>IF(A23="","",IF((A23+24)&gt;Model!$B$4,0,MAX(0,Model!$B$6-IF((A23+24)&gt;=Model!$B$11,Model!$B$20,0)-IF(24&lt;Model!$B$15,Model!$B$22,0))/(1-Model!$B$9)/(1+Model!$B$18)^24))</f>
        <v/>
      </c>
      <c r="AM23" s="7">
        <f>IF(A23="","",IF((A23+25)&gt;Model!$B$4,0,MAX(0,Model!$B$6-IF((A23+25)&gt;=Model!$B$11,Model!$B$20,0)-IF(25&lt;Model!$B$15,Model!$B$22,0))/(1-Model!$B$9)/(1+Model!$B$18)^25))</f>
        <v/>
      </c>
      <c r="AN23" s="7">
        <f>IF(A23="","",IF((A23+26)&gt;Model!$B$4,0,MAX(0,Model!$B$6-IF((A23+26)&gt;=Model!$B$11,Model!$B$20,0)-IF(26&lt;Model!$B$15,Model!$B$22,0))/(1-Model!$B$9)/(1+Model!$B$18)^26))</f>
        <v/>
      </c>
      <c r="AO23" s="7">
        <f>IF(A23="","",IF((A23+27)&gt;Model!$B$4,0,MAX(0,Model!$B$6-IF((A23+27)&gt;=Model!$B$11,Model!$B$20,0)-IF(27&lt;Model!$B$15,Model!$B$22,0))/(1-Model!$B$9)/(1+Model!$B$18)^27))</f>
        <v/>
      </c>
      <c r="AP23" s="7">
        <f>IF(A23="","",IF((A23+28)&gt;Model!$B$4,0,MAX(0,Model!$B$6-IF((A23+28)&gt;=Model!$B$11,Model!$B$20,0)-IF(28&lt;Model!$B$15,Model!$B$22,0))/(1-Model!$B$9)/(1+Model!$B$18)^28))</f>
        <v/>
      </c>
      <c r="AQ23" s="7">
        <f>IF(A23="","",IF((A23+29)&gt;Model!$B$4,0,MAX(0,Model!$B$6-IF((A23+29)&gt;=Model!$B$11,Model!$B$20,0)-IF(29&lt;Model!$B$15,Model!$B$22,0))/(1-Model!$B$9)/(1+Model!$B$18)^29))</f>
        <v/>
      </c>
      <c r="AR23" s="7">
        <f>IF(A23="","",IF((A23+30)&gt;Model!$B$4,0,MAX(0,Model!$B$6-IF((A23+30)&gt;=Model!$B$11,Model!$B$20,0)-IF(30&lt;Model!$B$15,Model!$B$22,0))/(1-Model!$B$9)/(1+Model!$B$18)^30))</f>
        <v/>
      </c>
      <c r="AS23" s="7">
        <f>IF(A23="","",IF((A23+31)&gt;Model!$B$4,0,MAX(0,Model!$B$6-IF((A23+31)&gt;=Model!$B$11,Model!$B$20,0)-IF(31&lt;Model!$B$15,Model!$B$22,0))/(1-Model!$B$9)/(1+Model!$B$18)^31))</f>
        <v/>
      </c>
      <c r="AT23" s="7">
        <f>IF(A23="","",IF((A23+32)&gt;Model!$B$4,0,MAX(0,Model!$B$6-IF((A23+32)&gt;=Model!$B$11,Model!$B$20,0)-IF(32&lt;Model!$B$15,Model!$B$22,0))/(1-Model!$B$9)/(1+Model!$B$18)^32))</f>
        <v/>
      </c>
      <c r="AU23" s="7">
        <f>IF(A23="","",IF((A23+33)&gt;Model!$B$4,0,MAX(0,Model!$B$6-IF((A23+33)&gt;=Model!$B$11,Model!$B$20,0)-IF(33&lt;Model!$B$15,Model!$B$22,0))/(1-Model!$B$9)/(1+Model!$B$18)^33))</f>
        <v/>
      </c>
      <c r="AV23" s="7">
        <f>IF(A23="","",IF((A23+34)&gt;Model!$B$4,0,MAX(0,Model!$B$6-IF((A23+34)&gt;=Model!$B$11,Model!$B$20,0)-IF(34&lt;Model!$B$15,Model!$B$22,0))/(1-Model!$B$9)/(1+Model!$B$18)^34))</f>
        <v/>
      </c>
      <c r="AW23" s="7">
        <f>IF(A23="","",IF((A23+35)&gt;Model!$B$4,0,MAX(0,Model!$B$6-IF((A23+35)&gt;=Model!$B$11,Model!$B$20,0)-IF(35&lt;Model!$B$15,Model!$B$22,0))/(1-Model!$B$9)/(1+Model!$B$18)^35))</f>
        <v/>
      </c>
      <c r="AX23" s="7">
        <f>IF(A23="","",IF((A23+36)&gt;Model!$B$4,0,MAX(0,Model!$B$6-IF((A23+36)&gt;=Model!$B$11,Model!$B$20,0)-IF(36&lt;Model!$B$15,Model!$B$22,0))/(1-Model!$B$9)/(1+Model!$B$18)^36))</f>
        <v/>
      </c>
      <c r="AY23" s="7">
        <f>IF(A23="","",IF((A23+37)&gt;Model!$B$4,0,MAX(0,Model!$B$6-IF((A23+37)&gt;=Model!$B$11,Model!$B$20,0)-IF(37&lt;Model!$B$15,Model!$B$22,0))/(1-Model!$B$9)/(1+Model!$B$18)^37))</f>
        <v/>
      </c>
      <c r="AZ23" s="7">
        <f>IF(A23="","",IF((A23+38)&gt;Model!$B$4,0,MAX(0,Model!$B$6-IF((A23+38)&gt;=Model!$B$11,Model!$B$20,0)-IF(38&lt;Model!$B$15,Model!$B$22,0))/(1-Model!$B$9)/(1+Model!$B$18)^38))</f>
        <v/>
      </c>
      <c r="BA23" s="7">
        <f>IF(A23="","",IF((A23+39)&gt;Model!$B$4,0,MAX(0,Model!$B$6-IF((A23+39)&gt;=Model!$B$11,Model!$B$20,0)-IF(39&lt;Model!$B$15,Model!$B$22,0))/(1-Model!$B$9)/(1+Model!$B$18)^39))</f>
        <v/>
      </c>
      <c r="BB23" s="7">
        <f>IF(A23="","",IF((A23+40)&gt;Model!$B$4,0,MAX(0,Model!$B$6-IF((A23+40)&gt;=Model!$B$11,Model!$B$20,0)-IF(40&lt;Model!$B$15,Model!$B$22,0))/(1-Model!$B$9)/(1+Model!$B$18)^40))</f>
        <v/>
      </c>
      <c r="BC23" s="7">
        <f>IF(A23="","",IF((A23+41)&gt;Model!$B$4,0,MAX(0,Model!$B$6-IF((A23+41)&gt;=Model!$B$11,Model!$B$20,0)-IF(41&lt;Model!$B$15,Model!$B$22,0))/(1-Model!$B$9)/(1+Model!$B$18)^41))</f>
        <v/>
      </c>
      <c r="BD23" s="7">
        <f>IF(A23="","",IF((A23+42)&gt;Model!$B$4,0,MAX(0,Model!$B$6-IF((A23+42)&gt;=Model!$B$11,Model!$B$20,0)-IF(42&lt;Model!$B$15,Model!$B$22,0))/(1-Model!$B$9)/(1+Model!$B$18)^42))</f>
        <v/>
      </c>
      <c r="BE23" s="7">
        <f>IF(A23="","",IF((A23+43)&gt;Model!$B$4,0,MAX(0,Model!$B$6-IF((A23+43)&gt;=Model!$B$11,Model!$B$20,0)-IF(43&lt;Model!$B$15,Model!$B$22,0))/(1-Model!$B$9)/(1+Model!$B$18)^43))</f>
        <v/>
      </c>
      <c r="BF23" s="7">
        <f>IF(A23="","",IF((A23+44)&gt;Model!$B$4,0,MAX(0,Model!$B$6-IF((A23+44)&gt;=Model!$B$11,Model!$B$20,0)-IF(44&lt;Model!$B$15,Model!$B$22,0))/(1-Model!$B$9)/(1+Model!$B$18)^44))</f>
        <v/>
      </c>
      <c r="BG23" s="7">
        <f>IF(A23="","",IF((A23+45)&gt;Model!$B$4,0,MAX(0,Model!$B$6-IF((A23+45)&gt;=Model!$B$11,Model!$B$20,0)-IF(45&lt;Model!$B$15,Model!$B$22,0))/(1-Model!$B$9)/(1+Model!$B$18)^45))</f>
        <v/>
      </c>
      <c r="BH23" s="7">
        <f>IF(A23="","",IF((A23+46)&gt;Model!$B$4,0,MAX(0,Model!$B$6-IF((A23+46)&gt;=Model!$B$11,Model!$B$20,0)-IF(46&lt;Model!$B$15,Model!$B$22,0))/(1-Model!$B$9)/(1+Model!$B$18)^46))</f>
        <v/>
      </c>
      <c r="BI23" s="7">
        <f>IF(A23="","",IF((A23+47)&gt;Model!$B$4,0,MAX(0,Model!$B$6-IF((A23+47)&gt;=Model!$B$11,Model!$B$20,0)-IF(47&lt;Model!$B$15,Model!$B$22,0))/(1-Model!$B$9)/(1+Model!$B$18)^47))</f>
        <v/>
      </c>
      <c r="BJ23" s="7">
        <f>IF(A23="","",IF((A23+48)&gt;Model!$B$4,0,MAX(0,Model!$B$6-IF((A23+48)&gt;=Model!$B$11,Model!$B$20,0)-IF(48&lt;Model!$B$15,Model!$B$22,0))/(1-Model!$B$9)/(1+Model!$B$18)^48))</f>
        <v/>
      </c>
      <c r="BK23" s="7">
        <f>IF(A23="","",IF((A23+49)&gt;Model!$B$4,0,MAX(0,Model!$B$6-IF((A23+49)&gt;=Model!$B$11,Model!$B$20,0)-IF(49&lt;Model!$B$15,Model!$B$22,0))/(1-Model!$B$9)/(1+Model!$B$18)^49))</f>
        <v/>
      </c>
      <c r="BL23" s="7">
        <f>IF(A23="","",IF((A23+50)&gt;Model!$B$4,0,MAX(0,Model!$B$6-IF((A23+50)&gt;=Model!$B$11,Model!$B$20,0)-IF(50&lt;Model!$B$15,Model!$B$22,0))/(1-Model!$B$9)/(1+Model!$B$18)^50))</f>
        <v/>
      </c>
      <c r="BM23" s="7">
        <f>IF(A23="","",IF((A23+51)&gt;Model!$B$4,0,MAX(0,Model!$B$6-IF((A23+51)&gt;=Model!$B$11,Model!$B$20,0)-IF(51&lt;Model!$B$15,Model!$B$22,0))/(1-Model!$B$9)/(1+Model!$B$18)^51))</f>
        <v/>
      </c>
      <c r="BN23" s="7">
        <f>IF(A23="","",IF((A23+52)&gt;Model!$B$4,0,MAX(0,Model!$B$6-IF((A23+52)&gt;=Model!$B$11,Model!$B$20,0)-IF(52&lt;Model!$B$15,Model!$B$22,0))/(1-Model!$B$9)/(1+Model!$B$18)^52))</f>
        <v/>
      </c>
      <c r="BO23" s="7">
        <f>IF(A23="","",IF((A23+53)&gt;Model!$B$4,0,MAX(0,Model!$B$6-IF((A23+53)&gt;=Model!$B$11,Model!$B$20,0)-IF(53&lt;Model!$B$15,Model!$B$22,0))/(1-Model!$B$9)/(1+Model!$B$18)^53))</f>
        <v/>
      </c>
      <c r="BP23" s="7">
        <f>IF(A23="","",IF((A23+54)&gt;Model!$B$4,0,MAX(0,Model!$B$6-IF((A23+54)&gt;=Model!$B$11,Model!$B$20,0)-IF(54&lt;Model!$B$15,Model!$B$22,0))/(1-Model!$B$9)/(1+Model!$B$18)^54))</f>
        <v/>
      </c>
      <c r="BQ23" s="7">
        <f>IF(A23="","",IF((A23+55)&gt;Model!$B$4,0,MAX(0,Model!$B$6-IF((A23+55)&gt;=Model!$B$11,Model!$B$20,0)-IF(55&lt;Model!$B$15,Model!$B$22,0))/(1-Model!$B$9)/(1+Model!$B$18)^55))</f>
        <v/>
      </c>
      <c r="BR23" s="7">
        <f>IF(A23="","",IF((A23+56)&gt;Model!$B$4,0,MAX(0,Model!$B$6-IF((A23+56)&gt;=Model!$B$11,Model!$B$20,0)-IF(56&lt;Model!$B$15,Model!$B$22,0))/(1-Model!$B$9)/(1+Model!$B$18)^56))</f>
        <v/>
      </c>
      <c r="BS23" s="7">
        <f>IF(A23="","",IF((A23+57)&gt;Model!$B$4,0,MAX(0,Model!$B$6-IF((A23+57)&gt;=Model!$B$11,Model!$B$20,0)-IF(57&lt;Model!$B$15,Model!$B$22,0))/(1-Model!$B$9)/(1+Model!$B$18)^57))</f>
        <v/>
      </c>
      <c r="BT23" s="7">
        <f>IF(A23="","",IF((A23+58)&gt;Model!$B$4,0,MAX(0,Model!$B$6-IF((A23+58)&gt;=Model!$B$11,Model!$B$20,0)-IF(58&lt;Model!$B$15,Model!$B$22,0))/(1-Model!$B$9)/(1+Model!$B$18)^58))</f>
        <v/>
      </c>
      <c r="BU23" s="7">
        <f>IF(A23="","",IF((A23+59)&gt;Model!$B$4,0,MAX(0,Model!$B$6-IF((A23+59)&gt;=Model!$B$11,Model!$B$20,0)-IF(59&lt;Model!$B$15,Model!$B$22,0))/(1-Model!$B$9)/(1+Model!$B$18)^59))</f>
        <v/>
      </c>
      <c r="BV23" s="7">
        <f>IF(A23="","",IF((A23+60)&gt;Model!$B$4,0,MAX(0,Model!$B$6-IF((A23+60)&gt;=Model!$B$11,Model!$B$20,0)-IF(60&lt;Model!$B$15,Model!$B$22,0))/(1-Model!$B$9)/(1+Model!$B$18)^60))</f>
        <v/>
      </c>
      <c r="BW23" s="7">
        <f>IF(A23="","",IF((A23+61)&gt;Model!$B$4,0,MAX(0,Model!$B$6-IF((A23+61)&gt;=Model!$B$11,Model!$B$20,0)-IF(61&lt;Model!$B$15,Model!$B$22,0))/(1-Model!$B$9)/(1+Model!$B$18)^61))</f>
        <v/>
      </c>
      <c r="BX23" s="7">
        <f>IF(A23="","",IF((A23+62)&gt;Model!$B$4,0,MAX(0,Model!$B$6-IF((A23+62)&gt;=Model!$B$11,Model!$B$20,0)-IF(62&lt;Model!$B$15,Model!$B$22,0))/(1-Model!$B$9)/(1+Model!$B$18)^62))</f>
        <v/>
      </c>
      <c r="BY23" s="7">
        <f>IF(A23="","",IF((A23+63)&gt;Model!$B$4,0,MAX(0,Model!$B$6-IF((A23+63)&gt;=Model!$B$11,Model!$B$20,0)-IF(63&lt;Model!$B$15,Model!$B$22,0))/(1-Model!$B$9)/(1+Model!$B$18)^63))</f>
        <v/>
      </c>
      <c r="BZ23" s="7">
        <f>IF(A23="","",IF((A23+64)&gt;Model!$B$4,0,MAX(0,Model!$B$6-IF((A23+64)&gt;=Model!$B$11,Model!$B$20,0)-IF(64&lt;Model!$B$15,Model!$B$22,0))/(1-Model!$B$9)/(1+Model!$B$18)^64))</f>
        <v/>
      </c>
      <c r="CA23" s="7">
        <f>IF(A23="","",IF((A23+65)&gt;Model!$B$4,0,MAX(0,Model!$B$6-IF((A23+65)&gt;=Model!$B$11,Model!$B$20,0)-IF(65&lt;Model!$B$15,Model!$B$22,0))/(1-Model!$B$9)/(1+Model!$B$18)^65))</f>
        <v/>
      </c>
      <c r="CB23" s="7">
        <f>IF(A23="","",IF((A23+66)&gt;Model!$B$4,0,MAX(0,Model!$B$6-IF((A23+66)&gt;=Model!$B$11,Model!$B$20,0)-IF(66&lt;Model!$B$15,Model!$B$22,0))/(1-Model!$B$9)/(1+Model!$B$18)^66))</f>
        <v/>
      </c>
      <c r="CC23" s="7">
        <f>IF(A23="","",IF((A23+67)&gt;Model!$B$4,0,MAX(0,Model!$B$6-IF((A23+67)&gt;=Model!$B$11,Model!$B$20,0)-IF(67&lt;Model!$B$15,Model!$B$22,0))/(1-Model!$B$9)/(1+Model!$B$18)^67))</f>
        <v/>
      </c>
      <c r="CD23" s="7">
        <f>IF(A23="","",IF((A23+68)&gt;Model!$B$4,0,MAX(0,Model!$B$6-IF((A23+68)&gt;=Model!$B$11,Model!$B$20,0)-IF(68&lt;Model!$B$15,Model!$B$22,0))/(1-Model!$B$9)/(1+Model!$B$18)^68))</f>
        <v/>
      </c>
      <c r="CE23" s="7">
        <f>IF(A23="","",IF((A23+69)&gt;Model!$B$4,0,MAX(0,Model!$B$6-IF((A23+69)&gt;=Model!$B$11,Model!$B$20,0)-IF(69&lt;Model!$B$15,Model!$B$22,0))/(1-Model!$B$9)/(1+Model!$B$18)^69))</f>
        <v/>
      </c>
      <c r="CF23" s="7">
        <f>IF(A23="","",IF((A23+70)&gt;Model!$B$4,0,MAX(0,Model!$B$6-IF((A23+70)&gt;=Model!$B$11,Model!$B$20,0)-IF(70&lt;Model!$B$15,Model!$B$22,0))/(1-Model!$B$9)/(1+Model!$B$18)^70))</f>
        <v/>
      </c>
      <c r="CG23" s="7">
        <f>IF(A23="","",IF((A23+71)&gt;Model!$B$4,0,MAX(0,Model!$B$6-IF((A23+71)&gt;=Model!$B$11,Model!$B$20,0)-IF(71&lt;Model!$B$15,Model!$B$22,0))/(1-Model!$B$9)/(1+Model!$B$18)^71))</f>
        <v/>
      </c>
      <c r="CH23" s="7">
        <f>IF(A23="","",IF((A23+72)&gt;Model!$B$4,0,MAX(0,Model!$B$6-IF((A23+72)&gt;=Model!$B$11,Model!$B$20,0)-IF(72&lt;Model!$B$15,Model!$B$22,0))/(1-Model!$B$9)/(1+Model!$B$18)^72))</f>
        <v/>
      </c>
      <c r="CI23" s="7">
        <f>IF(A23="","",IF((A23+73)&gt;Model!$B$4,0,MAX(0,Model!$B$6-IF((A23+73)&gt;=Model!$B$11,Model!$B$20,0)-IF(73&lt;Model!$B$15,Model!$B$22,0))/(1-Model!$B$9)/(1+Model!$B$18)^73))</f>
        <v/>
      </c>
      <c r="CJ23" s="7">
        <f>IF(A23="","",IF((A23+74)&gt;Model!$B$4,0,MAX(0,Model!$B$6-IF((A23+74)&gt;=Model!$B$11,Model!$B$20,0)-IF(74&lt;Model!$B$15,Model!$B$22,0))/(1-Model!$B$9)/(1+Model!$B$18)^74))</f>
        <v/>
      </c>
      <c r="CK23" s="7">
        <f>IF(A23="","",IF((A23+75)&gt;Model!$B$4,0,MAX(0,Model!$B$6-IF((A23+75)&gt;=Model!$B$11,Model!$B$20,0)-IF(75&lt;Model!$B$15,Model!$B$22,0))/(1-Model!$B$9)/(1+Model!$B$18)^75))</f>
        <v/>
      </c>
      <c r="CL23" s="7">
        <f>IF(A23="","",IF((A23+76)&gt;Model!$B$4,0,MAX(0,Model!$B$6-IF((A23+76)&gt;=Model!$B$11,Model!$B$20,0)-IF(76&lt;Model!$B$15,Model!$B$22,0))/(1-Model!$B$9)/(1+Model!$B$18)^76))</f>
        <v/>
      </c>
      <c r="CM23" s="7">
        <f>IF(A23="","",IF((A23+77)&gt;Model!$B$4,0,MAX(0,Model!$B$6-IF((A23+77)&gt;=Model!$B$11,Model!$B$20,0)-IF(77&lt;Model!$B$15,Model!$B$22,0))/(1-Model!$B$9)/(1+Model!$B$18)^77))</f>
        <v/>
      </c>
      <c r="CN23" s="7">
        <f>IF(A23="","",IF((A23+78)&gt;Model!$B$4,0,MAX(0,Model!$B$6-IF((A23+78)&gt;=Model!$B$11,Model!$B$20,0)-IF(78&lt;Model!$B$15,Model!$B$22,0))/(1-Model!$B$9)/(1+Model!$B$18)^78))</f>
        <v/>
      </c>
      <c r="CO23" s="7">
        <f>IF(A23="","",IF((A23+79)&gt;Model!$B$4,0,MAX(0,Model!$B$6-IF((A23+79)&gt;=Model!$B$11,Model!$B$20,0)-IF(79&lt;Model!$B$15,Model!$B$22,0))/(1-Model!$B$9)/(1+Model!$B$18)^79))</f>
        <v/>
      </c>
      <c r="CP23" s="7">
        <f>IF(A23="","",IF((A23+80)&gt;Model!$B$4,0,MAX(0,Model!$B$6-IF((A23+80)&gt;=Model!$B$11,Model!$B$20,0)-IF(80&lt;Model!$B$15,Model!$B$22,0))/(1-Model!$B$9)/(1+Model!$B$18)^80))</f>
        <v/>
      </c>
      <c r="CQ23" s="7">
        <f>IF(A23="","",IF((A23+81)&gt;Model!$B$4,0,MAX(0,Model!$B$6-IF((A23+81)&gt;=Model!$B$11,Model!$B$20,0)-IF(81&lt;Model!$B$15,Model!$B$22,0))/(1-Model!$B$9)/(1+Model!$B$18)^81))</f>
        <v/>
      </c>
      <c r="CR23" s="7">
        <f>IF(A23="","",IF((A23+82)&gt;Model!$B$4,0,MAX(0,Model!$B$6-IF((A23+82)&gt;=Model!$B$11,Model!$B$20,0)-IF(82&lt;Model!$B$15,Model!$B$22,0))/(1-Model!$B$9)/(1+Model!$B$18)^82))</f>
        <v/>
      </c>
      <c r="CS23" s="7">
        <f>IF(A23="","",IF((A23+83)&gt;Model!$B$4,0,MAX(0,Model!$B$6-IF((A23+83)&gt;=Model!$B$11,Model!$B$20,0)-IF(83&lt;Model!$B$15,Model!$B$22,0))/(1-Model!$B$9)/(1+Model!$B$18)^83))</f>
        <v/>
      </c>
      <c r="CT23" s="7">
        <f>IF(A23="","",IF((A23+84)&gt;Model!$B$4,0,MAX(0,Model!$B$6-IF((A23+84)&gt;=Model!$B$11,Model!$B$20,0)-IF(84&lt;Model!$B$15,Model!$B$22,0))/(1-Model!$B$9)/(1+Model!$B$18)^84))</f>
        <v/>
      </c>
      <c r="CU23" s="7">
        <f>IF(A23="","",IF((A23+85)&gt;Model!$B$4,0,MAX(0,Model!$B$6-IF((A23+85)&gt;=Model!$B$11,Model!$B$20,0)-IF(85&lt;Model!$B$15,Model!$B$22,0))/(1-Model!$B$9)/(1+Model!$B$18)^85))</f>
        <v/>
      </c>
      <c r="CV23" s="7">
        <f>IF(A23="","",IF((A23+86)&gt;Model!$B$4,0,MAX(0,Model!$B$6-IF((A23+86)&gt;=Model!$B$11,Model!$B$20,0)-IF(86&lt;Model!$B$15,Model!$B$22,0))/(1-Model!$B$9)/(1+Model!$B$18)^86))</f>
        <v/>
      </c>
      <c r="CW23" s="7">
        <f>IF(A23="","",IF((A23+87)&gt;Model!$B$4,0,MAX(0,Model!$B$6-IF((A23+87)&gt;=Model!$B$11,Model!$B$20,0)-IF(87&lt;Model!$B$15,Model!$B$22,0))/(1-Model!$B$9)/(1+Model!$B$18)^87))</f>
        <v/>
      </c>
      <c r="CX23" s="7">
        <f>IF(A23="","",IF((A23+88)&gt;Model!$B$4,0,MAX(0,Model!$B$6-IF((A23+88)&gt;=Model!$B$11,Model!$B$20,0)-IF(88&lt;Model!$B$15,Model!$B$22,0))/(1-Model!$B$9)/(1+Model!$B$18)^88))</f>
        <v/>
      </c>
      <c r="CY23" s="7">
        <f>IF(A23="","",IF((A23+89)&gt;Model!$B$4,0,MAX(0,Model!$B$6-IF((A23+89)&gt;=Model!$B$11,Model!$B$20,0)-IF(89&lt;Model!$B$15,Model!$B$22,0))/(1-Model!$B$9)/(1+Model!$B$18)^89))</f>
        <v/>
      </c>
      <c r="CZ23" s="7">
        <f>IF(A23="","",IF((A23+90)&gt;Model!$B$4,0,MAX(0,Model!$B$6-IF((A23+90)&gt;=Model!$B$11,Model!$B$20,0)-IF(90&lt;Model!$B$15,Model!$B$22,0))/(1-Model!$B$9)/(1+Model!$B$18)^90))</f>
        <v/>
      </c>
      <c r="DA23" s="7">
        <f>IF(A23="","",IF((A23+91)&gt;Model!$B$4,0,MAX(0,Model!$B$6-IF((A23+91)&gt;=Model!$B$11,Model!$B$20,0)-IF(91&lt;Model!$B$15,Model!$B$22,0))/(1-Model!$B$9)/(1+Model!$B$18)^91))</f>
        <v/>
      </c>
      <c r="DB23" s="7">
        <f>IF(A23="","",IF((A23+92)&gt;Model!$B$4,0,MAX(0,Model!$B$6-IF((A23+92)&gt;=Model!$B$11,Model!$B$20,0)-IF(92&lt;Model!$B$15,Model!$B$22,0))/(1-Model!$B$9)/(1+Model!$B$18)^92))</f>
        <v/>
      </c>
      <c r="DC23" s="7">
        <f>IF(A23="","",IF((A23+93)&gt;Model!$B$4,0,MAX(0,Model!$B$6-IF((A23+93)&gt;=Model!$B$11,Model!$B$20,0)-IF(93&lt;Model!$B$15,Model!$B$22,0))/(1-Model!$B$9)/(1+Model!$B$18)^93))</f>
        <v/>
      </c>
      <c r="DD23" s="7">
        <f>IF(A23="","",IF((A23+94)&gt;Model!$B$4,0,MAX(0,Model!$B$6-IF((A23+94)&gt;=Model!$B$11,Model!$B$20,0)-IF(94&lt;Model!$B$15,Model!$B$22,0))/(1-Model!$B$9)/(1+Model!$B$18)^94))</f>
        <v/>
      </c>
      <c r="DE23" s="7">
        <f>IF(A23="","",IF((A23+95)&gt;Model!$B$4,0,MAX(0,Model!$B$6-IF((A23+95)&gt;=Model!$B$11,Model!$B$20,0)-IF(95&lt;Model!$B$15,Model!$B$22,0))/(1-Model!$B$9)/(1+Model!$B$18)^95))</f>
        <v/>
      </c>
      <c r="DF23" s="7">
        <f>IF(A23="","",IF((A23+96)&gt;Model!$B$4,0,MAX(0,Model!$B$6-IF((A23+96)&gt;=Model!$B$11,Model!$B$20,0)-IF(96&lt;Model!$B$15,Model!$B$22,0))/(1-Model!$B$9)/(1+Model!$B$18)^96))</f>
        <v/>
      </c>
      <c r="DG23" s="7">
        <f>IF(A23="","",IF((A23+97)&gt;Model!$B$4,0,MAX(0,Model!$B$6-IF((A23+97)&gt;=Model!$B$11,Model!$B$20,0)-IF(97&lt;Model!$B$15,Model!$B$22,0))/(1-Model!$B$9)/(1+Model!$B$18)^97))</f>
        <v/>
      </c>
      <c r="DH23" s="7">
        <f>IF(A23="","",IF((A23+98)&gt;Model!$B$4,0,MAX(0,Model!$B$6-IF((A23+98)&gt;=Model!$B$11,Model!$B$20,0)-IF(98&lt;Model!$B$15,Model!$B$22,0))/(1-Model!$B$9)/(1+Model!$B$18)^98))</f>
        <v/>
      </c>
      <c r="DI23" s="7">
        <f>IF(A23="","",IF((A23+99)&gt;Model!$B$4,0,MAX(0,Model!$B$6-IF((A23+99)&gt;=Model!$B$11,Model!$B$20,0)-IF(99&lt;Model!$B$15,Model!$B$22,0))/(1-Model!$B$9)/(1+Model!$B$18)^99))</f>
        <v/>
      </c>
      <c r="DJ23" s="7">
        <f>IF(A23="","",IF((A23+100)&gt;Model!$B$4,0,MAX(0,Model!$B$6-IF((A23+100)&gt;=Model!$B$11,Model!$B$20,0)-IF(100&lt;Model!$B$15,Model!$B$22,0))/(1-Model!$B$9)/(1+Model!$B$18)^100))</f>
        <v/>
      </c>
      <c r="DK23" s="7">
        <f>IF(A23="","",IF((A23+101)&gt;Model!$B$4,0,MAX(0,Model!$B$6-IF((A23+101)&gt;=Model!$B$11,Model!$B$20,0)-IF(101&lt;Model!$B$15,Model!$B$22,0))/(1-Model!$B$9)/(1+Model!$B$18)^101))</f>
        <v/>
      </c>
      <c r="DL23" s="7">
        <f>IF(A23="","",IF((A23+102)&gt;Model!$B$4,0,MAX(0,Model!$B$6-IF((A23+102)&gt;=Model!$B$11,Model!$B$20,0)-IF(102&lt;Model!$B$15,Model!$B$22,0))/(1-Model!$B$9)/(1+Model!$B$18)^102))</f>
        <v/>
      </c>
      <c r="DM23" s="7">
        <f>IF(A23="","",IF((A23+103)&gt;Model!$B$4,0,MAX(0,Model!$B$6-IF((A23+103)&gt;=Model!$B$11,Model!$B$20,0)-IF(103&lt;Model!$B$15,Model!$B$22,0))/(1-Model!$B$9)/(1+Model!$B$18)^103))</f>
        <v/>
      </c>
      <c r="DN23" s="7">
        <f>IF(A23="","",IF((A23+104)&gt;Model!$B$4,0,MAX(0,Model!$B$6-IF((A23+104)&gt;=Model!$B$11,Model!$B$20,0)-IF(104&lt;Model!$B$15,Model!$B$22,0))/(1-Model!$B$9)/(1+Model!$B$18)^104))</f>
        <v/>
      </c>
      <c r="DO23" s="7">
        <f>IF(A23="","",IF((A23+105)&gt;Model!$B$4,0,MAX(0,Model!$B$6-IF((A23+105)&gt;=Model!$B$11,Model!$B$20,0)-IF(105&lt;Model!$B$15,Model!$B$22,0))/(1-Model!$B$9)/(1+Model!$B$18)^105))</f>
        <v/>
      </c>
      <c r="DP23" s="7">
        <f>IF(A23="","",IF((A23+106)&gt;Model!$B$4,0,MAX(0,Model!$B$6-IF((A23+106)&gt;=Model!$B$11,Model!$B$20,0)-IF(106&lt;Model!$B$15,Model!$B$22,0))/(1-Model!$B$9)/(1+Model!$B$18)^106))</f>
        <v/>
      </c>
      <c r="DQ23" s="7">
        <f>IF(A23="","",IF((A23+107)&gt;Model!$B$4,0,MAX(0,Model!$B$6-IF((A23+107)&gt;=Model!$B$11,Model!$B$20,0)-IF(107&lt;Model!$B$15,Model!$B$22,0))/(1-Model!$B$9)/(1+Model!$B$18)^107))</f>
        <v/>
      </c>
      <c r="DR23" s="7">
        <f>IF(A23="","",IF((A23+108)&gt;Model!$B$4,0,MAX(0,Model!$B$6-IF((A23+108)&gt;=Model!$B$11,Model!$B$20,0)-IF(108&lt;Model!$B$15,Model!$B$22,0))/(1-Model!$B$9)/(1+Model!$B$18)^108))</f>
        <v/>
      </c>
      <c r="DS23" s="7">
        <f>IF(A23="","",IF((A23+109)&gt;Model!$B$4,0,MAX(0,Model!$B$6-IF((A23+109)&gt;=Model!$B$11,Model!$B$20,0)-IF(109&lt;Model!$B$15,Model!$B$22,0))/(1-Model!$B$9)/(1+Model!$B$18)^109))</f>
        <v/>
      </c>
      <c r="DT23" s="7">
        <f>IF(A23="","",IF((A23+110)&gt;Model!$B$4,0,MAX(0,Model!$B$6-IF((A23+110)&gt;=Model!$B$11,Model!$B$20,0)-IF(110&lt;Model!$B$15,Model!$B$22,0))/(1-Model!$B$9)/(1+Model!$B$18)^110))</f>
        <v/>
      </c>
      <c r="DU23" s="7">
        <f>IF(A23="","",IF((A23+111)&gt;Model!$B$4,0,MAX(0,Model!$B$6-IF((A23+111)&gt;=Model!$B$11,Model!$B$20,0)-IF(111&lt;Model!$B$15,Model!$B$22,0))/(1-Model!$B$9)/(1+Model!$B$18)^111))</f>
        <v/>
      </c>
      <c r="DV23" s="7">
        <f>IF(A23="","",IF((A23+112)&gt;Model!$B$4,0,MAX(0,Model!$B$6-IF((A23+112)&gt;=Model!$B$11,Model!$B$20,0)-IF(112&lt;Model!$B$15,Model!$B$22,0))/(1-Model!$B$9)/(1+Model!$B$18)^112))</f>
        <v/>
      </c>
      <c r="DW23" s="7">
        <f>IF(A23="","",IF((A23+113)&gt;Model!$B$4,0,MAX(0,Model!$B$6-IF((A23+113)&gt;=Model!$B$11,Model!$B$20,0)-IF(113&lt;Model!$B$15,Model!$B$22,0))/(1-Model!$B$9)/(1+Model!$B$18)^113))</f>
        <v/>
      </c>
      <c r="DX23" s="7">
        <f>IF(A23="","",IF((A23+114)&gt;Model!$B$4,0,MAX(0,Model!$B$6-IF((A23+114)&gt;=Model!$B$11,Model!$B$20,0)-IF(114&lt;Model!$B$15,Model!$B$22,0))/(1-Model!$B$9)/(1+Model!$B$18)^114))</f>
        <v/>
      </c>
      <c r="DY23" s="7">
        <f>IF(A23="","",IF((A23+115)&gt;Model!$B$4,0,MAX(0,Model!$B$6-IF((A23+115)&gt;=Model!$B$11,Model!$B$20,0)-IF(115&lt;Model!$B$15,Model!$B$22,0))/(1-Model!$B$9)/(1+Model!$B$18)^115))</f>
        <v/>
      </c>
      <c r="DZ23" s="7">
        <f>IF(A23="","",IF((A23+116)&gt;Model!$B$4,0,MAX(0,Model!$B$6-IF((A23+116)&gt;=Model!$B$11,Model!$B$20,0)-IF(116&lt;Model!$B$15,Model!$B$22,0))/(1-Model!$B$9)/(1+Model!$B$18)^116))</f>
        <v/>
      </c>
      <c r="EA23" s="7">
        <f>IF(A23="","",IF((A23+117)&gt;Model!$B$4,0,MAX(0,Model!$B$6-IF((A23+117)&gt;=Model!$B$11,Model!$B$20,0)-IF(117&lt;Model!$B$15,Model!$B$22,0))/(1-Model!$B$9)/(1+Model!$B$18)^117))</f>
        <v/>
      </c>
      <c r="EB23" s="7">
        <f>IF(A23="","",IF((A23+118)&gt;Model!$B$4,0,MAX(0,Model!$B$6-IF((A23+118)&gt;=Model!$B$11,Model!$B$20,0)-IF(118&lt;Model!$B$15,Model!$B$22,0))/(1-Model!$B$9)/(1+Model!$B$18)^118))</f>
        <v/>
      </c>
      <c r="EC23" s="7">
        <f>IF(A23="","",IF((A23+119)&gt;Model!$B$4,0,MAX(0,Model!$B$6-IF((A23+119)&gt;=Model!$B$11,Model!$B$20,0)-IF(119&lt;Model!$B$15,Model!$B$22,0))/(1-Model!$B$9)/(1+Model!$B$18)^119))</f>
        <v/>
      </c>
      <c r="ED23" s="7">
        <f>IF(A23="","",IF((A23+120)&gt;Model!$B$4,0,MAX(0,Model!$B$6-IF((A23+120)&gt;=Model!$B$11,Model!$B$20,0)-IF(120&lt;Model!$B$15,Model!$B$22,0))/(1-Model!$B$9)/(1+Model!$B$18)^120))</f>
        <v/>
      </c>
    </row>
    <row r="24">
      <c r="A24">
        <f>IF(Model!$B$10+ROW()-2&lt;=Model!$B$4,Model!$B$10+ROW()-2,"")</f>
        <v/>
      </c>
      <c r="B24">
        <f>IF(A24="","",A24-Model!$B$10)</f>
        <v/>
      </c>
      <c r="C24" s="7">
        <f>IF(A24="","",Model!$B$5*(1+Model!$B$18)^B24)</f>
        <v/>
      </c>
      <c r="D24" s="7">
        <f>IF(A24="","",SUM(N24:ED24))</f>
        <v/>
      </c>
      <c r="E24" s="7">
        <f>IF(A24="","",IF(A24&gt;=Model!$B$11,Model!$B$20,0))</f>
        <v/>
      </c>
      <c r="F24" s="7">
        <f>IF(A24="","",IF(Model!$B$15&gt;0,Model!$B$22,0))</f>
        <v/>
      </c>
      <c r="G24" s="7">
        <f>IF(A24="","",E24+F24)</f>
        <v/>
      </c>
      <c r="H24" s="7">
        <f>IF(A24="","",MAX(0,Model!$B$6-G24))</f>
        <v/>
      </c>
      <c r="I24" s="7">
        <f>IF(A24="","",H24/(1-Model!$B$9))</f>
        <v/>
      </c>
      <c r="J24" s="7">
        <f>IF(A24="","",C24-D24)</f>
        <v/>
      </c>
      <c r="K24">
        <f>IF(A24="","",C24&gt;=D24)</f>
        <v/>
      </c>
      <c r="L24" s="7">
        <f>IF(A24="","",IF(A24&gt;=Model!$B$11,Model!$B$19*(1+Model!$B$13)^B24,0))</f>
        <v/>
      </c>
      <c r="M24" s="7">
        <f>IF(A24="","",IF(Model!$B$15&gt;0,Model!$B$21*(1+Model!$B$13)^B24,0))</f>
        <v/>
      </c>
      <c r="N24" s="7">
        <f>IF(A24="","",IF((A24+0)&gt;Model!$B$4,0,MAX(0,Model!$B$6-IF((A24+0)&gt;=Model!$B$11,Model!$B$20,0)-IF(0&lt;Model!$B$15,Model!$B$22,0))/(1-Model!$B$9)/(1+Model!$B$18)^0))</f>
        <v/>
      </c>
      <c r="O24" s="7">
        <f>IF(A24="","",IF((A24+1)&gt;Model!$B$4,0,MAX(0,Model!$B$6-IF((A24+1)&gt;=Model!$B$11,Model!$B$20,0)-IF(1&lt;Model!$B$15,Model!$B$22,0))/(1-Model!$B$9)/(1+Model!$B$18)^1))</f>
        <v/>
      </c>
      <c r="P24" s="7">
        <f>IF(A24="","",IF((A24+2)&gt;Model!$B$4,0,MAX(0,Model!$B$6-IF((A24+2)&gt;=Model!$B$11,Model!$B$20,0)-IF(2&lt;Model!$B$15,Model!$B$22,0))/(1-Model!$B$9)/(1+Model!$B$18)^2))</f>
        <v/>
      </c>
      <c r="Q24" s="7">
        <f>IF(A24="","",IF((A24+3)&gt;Model!$B$4,0,MAX(0,Model!$B$6-IF((A24+3)&gt;=Model!$B$11,Model!$B$20,0)-IF(3&lt;Model!$B$15,Model!$B$22,0))/(1-Model!$B$9)/(1+Model!$B$18)^3))</f>
        <v/>
      </c>
      <c r="R24" s="7">
        <f>IF(A24="","",IF((A24+4)&gt;Model!$B$4,0,MAX(0,Model!$B$6-IF((A24+4)&gt;=Model!$B$11,Model!$B$20,0)-IF(4&lt;Model!$B$15,Model!$B$22,0))/(1-Model!$B$9)/(1+Model!$B$18)^4))</f>
        <v/>
      </c>
      <c r="S24" s="7">
        <f>IF(A24="","",IF((A24+5)&gt;Model!$B$4,0,MAX(0,Model!$B$6-IF((A24+5)&gt;=Model!$B$11,Model!$B$20,0)-IF(5&lt;Model!$B$15,Model!$B$22,0))/(1-Model!$B$9)/(1+Model!$B$18)^5))</f>
        <v/>
      </c>
      <c r="T24" s="7">
        <f>IF(A24="","",IF((A24+6)&gt;Model!$B$4,0,MAX(0,Model!$B$6-IF((A24+6)&gt;=Model!$B$11,Model!$B$20,0)-IF(6&lt;Model!$B$15,Model!$B$22,0))/(1-Model!$B$9)/(1+Model!$B$18)^6))</f>
        <v/>
      </c>
      <c r="U24" s="7">
        <f>IF(A24="","",IF((A24+7)&gt;Model!$B$4,0,MAX(0,Model!$B$6-IF((A24+7)&gt;=Model!$B$11,Model!$B$20,0)-IF(7&lt;Model!$B$15,Model!$B$22,0))/(1-Model!$B$9)/(1+Model!$B$18)^7))</f>
        <v/>
      </c>
      <c r="V24" s="7">
        <f>IF(A24="","",IF((A24+8)&gt;Model!$B$4,0,MAX(0,Model!$B$6-IF((A24+8)&gt;=Model!$B$11,Model!$B$20,0)-IF(8&lt;Model!$B$15,Model!$B$22,0))/(1-Model!$B$9)/(1+Model!$B$18)^8))</f>
        <v/>
      </c>
      <c r="W24" s="7">
        <f>IF(A24="","",IF((A24+9)&gt;Model!$B$4,0,MAX(0,Model!$B$6-IF((A24+9)&gt;=Model!$B$11,Model!$B$20,0)-IF(9&lt;Model!$B$15,Model!$B$22,0))/(1-Model!$B$9)/(1+Model!$B$18)^9))</f>
        <v/>
      </c>
      <c r="X24" s="7">
        <f>IF(A24="","",IF((A24+10)&gt;Model!$B$4,0,MAX(0,Model!$B$6-IF((A24+10)&gt;=Model!$B$11,Model!$B$20,0)-IF(10&lt;Model!$B$15,Model!$B$22,0))/(1-Model!$B$9)/(1+Model!$B$18)^10))</f>
        <v/>
      </c>
      <c r="Y24" s="7">
        <f>IF(A24="","",IF((A24+11)&gt;Model!$B$4,0,MAX(0,Model!$B$6-IF((A24+11)&gt;=Model!$B$11,Model!$B$20,0)-IF(11&lt;Model!$B$15,Model!$B$22,0))/(1-Model!$B$9)/(1+Model!$B$18)^11))</f>
        <v/>
      </c>
      <c r="Z24" s="7">
        <f>IF(A24="","",IF((A24+12)&gt;Model!$B$4,0,MAX(0,Model!$B$6-IF((A24+12)&gt;=Model!$B$11,Model!$B$20,0)-IF(12&lt;Model!$B$15,Model!$B$22,0))/(1-Model!$B$9)/(1+Model!$B$18)^12))</f>
        <v/>
      </c>
      <c r="AA24" s="7">
        <f>IF(A24="","",IF((A24+13)&gt;Model!$B$4,0,MAX(0,Model!$B$6-IF((A24+13)&gt;=Model!$B$11,Model!$B$20,0)-IF(13&lt;Model!$B$15,Model!$B$22,0))/(1-Model!$B$9)/(1+Model!$B$18)^13))</f>
        <v/>
      </c>
      <c r="AB24" s="7">
        <f>IF(A24="","",IF((A24+14)&gt;Model!$B$4,0,MAX(0,Model!$B$6-IF((A24+14)&gt;=Model!$B$11,Model!$B$20,0)-IF(14&lt;Model!$B$15,Model!$B$22,0))/(1-Model!$B$9)/(1+Model!$B$18)^14))</f>
        <v/>
      </c>
      <c r="AC24" s="7">
        <f>IF(A24="","",IF((A24+15)&gt;Model!$B$4,0,MAX(0,Model!$B$6-IF((A24+15)&gt;=Model!$B$11,Model!$B$20,0)-IF(15&lt;Model!$B$15,Model!$B$22,0))/(1-Model!$B$9)/(1+Model!$B$18)^15))</f>
        <v/>
      </c>
      <c r="AD24" s="7">
        <f>IF(A24="","",IF((A24+16)&gt;Model!$B$4,0,MAX(0,Model!$B$6-IF((A24+16)&gt;=Model!$B$11,Model!$B$20,0)-IF(16&lt;Model!$B$15,Model!$B$22,0))/(1-Model!$B$9)/(1+Model!$B$18)^16))</f>
        <v/>
      </c>
      <c r="AE24" s="7">
        <f>IF(A24="","",IF((A24+17)&gt;Model!$B$4,0,MAX(0,Model!$B$6-IF((A24+17)&gt;=Model!$B$11,Model!$B$20,0)-IF(17&lt;Model!$B$15,Model!$B$22,0))/(1-Model!$B$9)/(1+Model!$B$18)^17))</f>
        <v/>
      </c>
      <c r="AF24" s="7">
        <f>IF(A24="","",IF((A24+18)&gt;Model!$B$4,0,MAX(0,Model!$B$6-IF((A24+18)&gt;=Model!$B$11,Model!$B$20,0)-IF(18&lt;Model!$B$15,Model!$B$22,0))/(1-Model!$B$9)/(1+Model!$B$18)^18))</f>
        <v/>
      </c>
      <c r="AG24" s="7">
        <f>IF(A24="","",IF((A24+19)&gt;Model!$B$4,0,MAX(0,Model!$B$6-IF((A24+19)&gt;=Model!$B$11,Model!$B$20,0)-IF(19&lt;Model!$B$15,Model!$B$22,0))/(1-Model!$B$9)/(1+Model!$B$18)^19))</f>
        <v/>
      </c>
      <c r="AH24" s="7">
        <f>IF(A24="","",IF((A24+20)&gt;Model!$B$4,0,MAX(0,Model!$B$6-IF((A24+20)&gt;=Model!$B$11,Model!$B$20,0)-IF(20&lt;Model!$B$15,Model!$B$22,0))/(1-Model!$B$9)/(1+Model!$B$18)^20))</f>
        <v/>
      </c>
      <c r="AI24" s="7">
        <f>IF(A24="","",IF((A24+21)&gt;Model!$B$4,0,MAX(0,Model!$B$6-IF((A24+21)&gt;=Model!$B$11,Model!$B$20,0)-IF(21&lt;Model!$B$15,Model!$B$22,0))/(1-Model!$B$9)/(1+Model!$B$18)^21))</f>
        <v/>
      </c>
      <c r="AJ24" s="7">
        <f>IF(A24="","",IF((A24+22)&gt;Model!$B$4,0,MAX(0,Model!$B$6-IF((A24+22)&gt;=Model!$B$11,Model!$B$20,0)-IF(22&lt;Model!$B$15,Model!$B$22,0))/(1-Model!$B$9)/(1+Model!$B$18)^22))</f>
        <v/>
      </c>
      <c r="AK24" s="7">
        <f>IF(A24="","",IF((A24+23)&gt;Model!$B$4,0,MAX(0,Model!$B$6-IF((A24+23)&gt;=Model!$B$11,Model!$B$20,0)-IF(23&lt;Model!$B$15,Model!$B$22,0))/(1-Model!$B$9)/(1+Model!$B$18)^23))</f>
        <v/>
      </c>
      <c r="AL24" s="7">
        <f>IF(A24="","",IF((A24+24)&gt;Model!$B$4,0,MAX(0,Model!$B$6-IF((A24+24)&gt;=Model!$B$11,Model!$B$20,0)-IF(24&lt;Model!$B$15,Model!$B$22,0))/(1-Model!$B$9)/(1+Model!$B$18)^24))</f>
        <v/>
      </c>
      <c r="AM24" s="7">
        <f>IF(A24="","",IF((A24+25)&gt;Model!$B$4,0,MAX(0,Model!$B$6-IF((A24+25)&gt;=Model!$B$11,Model!$B$20,0)-IF(25&lt;Model!$B$15,Model!$B$22,0))/(1-Model!$B$9)/(1+Model!$B$18)^25))</f>
        <v/>
      </c>
      <c r="AN24" s="7">
        <f>IF(A24="","",IF((A24+26)&gt;Model!$B$4,0,MAX(0,Model!$B$6-IF((A24+26)&gt;=Model!$B$11,Model!$B$20,0)-IF(26&lt;Model!$B$15,Model!$B$22,0))/(1-Model!$B$9)/(1+Model!$B$18)^26))</f>
        <v/>
      </c>
      <c r="AO24" s="7">
        <f>IF(A24="","",IF((A24+27)&gt;Model!$B$4,0,MAX(0,Model!$B$6-IF((A24+27)&gt;=Model!$B$11,Model!$B$20,0)-IF(27&lt;Model!$B$15,Model!$B$22,0))/(1-Model!$B$9)/(1+Model!$B$18)^27))</f>
        <v/>
      </c>
      <c r="AP24" s="7">
        <f>IF(A24="","",IF((A24+28)&gt;Model!$B$4,0,MAX(0,Model!$B$6-IF((A24+28)&gt;=Model!$B$11,Model!$B$20,0)-IF(28&lt;Model!$B$15,Model!$B$22,0))/(1-Model!$B$9)/(1+Model!$B$18)^28))</f>
        <v/>
      </c>
      <c r="AQ24" s="7">
        <f>IF(A24="","",IF((A24+29)&gt;Model!$B$4,0,MAX(0,Model!$B$6-IF((A24+29)&gt;=Model!$B$11,Model!$B$20,0)-IF(29&lt;Model!$B$15,Model!$B$22,0))/(1-Model!$B$9)/(1+Model!$B$18)^29))</f>
        <v/>
      </c>
      <c r="AR24" s="7">
        <f>IF(A24="","",IF((A24+30)&gt;Model!$B$4,0,MAX(0,Model!$B$6-IF((A24+30)&gt;=Model!$B$11,Model!$B$20,0)-IF(30&lt;Model!$B$15,Model!$B$22,0))/(1-Model!$B$9)/(1+Model!$B$18)^30))</f>
        <v/>
      </c>
      <c r="AS24" s="7">
        <f>IF(A24="","",IF((A24+31)&gt;Model!$B$4,0,MAX(0,Model!$B$6-IF((A24+31)&gt;=Model!$B$11,Model!$B$20,0)-IF(31&lt;Model!$B$15,Model!$B$22,0))/(1-Model!$B$9)/(1+Model!$B$18)^31))</f>
        <v/>
      </c>
      <c r="AT24" s="7">
        <f>IF(A24="","",IF((A24+32)&gt;Model!$B$4,0,MAX(0,Model!$B$6-IF((A24+32)&gt;=Model!$B$11,Model!$B$20,0)-IF(32&lt;Model!$B$15,Model!$B$22,0))/(1-Model!$B$9)/(1+Model!$B$18)^32))</f>
        <v/>
      </c>
      <c r="AU24" s="7">
        <f>IF(A24="","",IF((A24+33)&gt;Model!$B$4,0,MAX(0,Model!$B$6-IF((A24+33)&gt;=Model!$B$11,Model!$B$20,0)-IF(33&lt;Model!$B$15,Model!$B$22,0))/(1-Model!$B$9)/(1+Model!$B$18)^33))</f>
        <v/>
      </c>
      <c r="AV24" s="7">
        <f>IF(A24="","",IF((A24+34)&gt;Model!$B$4,0,MAX(0,Model!$B$6-IF((A24+34)&gt;=Model!$B$11,Model!$B$20,0)-IF(34&lt;Model!$B$15,Model!$B$22,0))/(1-Model!$B$9)/(1+Model!$B$18)^34))</f>
        <v/>
      </c>
      <c r="AW24" s="7">
        <f>IF(A24="","",IF((A24+35)&gt;Model!$B$4,0,MAX(0,Model!$B$6-IF((A24+35)&gt;=Model!$B$11,Model!$B$20,0)-IF(35&lt;Model!$B$15,Model!$B$22,0))/(1-Model!$B$9)/(1+Model!$B$18)^35))</f>
        <v/>
      </c>
      <c r="AX24" s="7">
        <f>IF(A24="","",IF((A24+36)&gt;Model!$B$4,0,MAX(0,Model!$B$6-IF((A24+36)&gt;=Model!$B$11,Model!$B$20,0)-IF(36&lt;Model!$B$15,Model!$B$22,0))/(1-Model!$B$9)/(1+Model!$B$18)^36))</f>
        <v/>
      </c>
      <c r="AY24" s="7">
        <f>IF(A24="","",IF((A24+37)&gt;Model!$B$4,0,MAX(0,Model!$B$6-IF((A24+37)&gt;=Model!$B$11,Model!$B$20,0)-IF(37&lt;Model!$B$15,Model!$B$22,0))/(1-Model!$B$9)/(1+Model!$B$18)^37))</f>
        <v/>
      </c>
      <c r="AZ24" s="7">
        <f>IF(A24="","",IF((A24+38)&gt;Model!$B$4,0,MAX(0,Model!$B$6-IF((A24+38)&gt;=Model!$B$11,Model!$B$20,0)-IF(38&lt;Model!$B$15,Model!$B$22,0))/(1-Model!$B$9)/(1+Model!$B$18)^38))</f>
        <v/>
      </c>
      <c r="BA24" s="7">
        <f>IF(A24="","",IF((A24+39)&gt;Model!$B$4,0,MAX(0,Model!$B$6-IF((A24+39)&gt;=Model!$B$11,Model!$B$20,0)-IF(39&lt;Model!$B$15,Model!$B$22,0))/(1-Model!$B$9)/(1+Model!$B$18)^39))</f>
        <v/>
      </c>
      <c r="BB24" s="7">
        <f>IF(A24="","",IF((A24+40)&gt;Model!$B$4,0,MAX(0,Model!$B$6-IF((A24+40)&gt;=Model!$B$11,Model!$B$20,0)-IF(40&lt;Model!$B$15,Model!$B$22,0))/(1-Model!$B$9)/(1+Model!$B$18)^40))</f>
        <v/>
      </c>
      <c r="BC24" s="7">
        <f>IF(A24="","",IF((A24+41)&gt;Model!$B$4,0,MAX(0,Model!$B$6-IF((A24+41)&gt;=Model!$B$11,Model!$B$20,0)-IF(41&lt;Model!$B$15,Model!$B$22,0))/(1-Model!$B$9)/(1+Model!$B$18)^41))</f>
        <v/>
      </c>
      <c r="BD24" s="7">
        <f>IF(A24="","",IF((A24+42)&gt;Model!$B$4,0,MAX(0,Model!$B$6-IF((A24+42)&gt;=Model!$B$11,Model!$B$20,0)-IF(42&lt;Model!$B$15,Model!$B$22,0))/(1-Model!$B$9)/(1+Model!$B$18)^42))</f>
        <v/>
      </c>
      <c r="BE24" s="7">
        <f>IF(A24="","",IF((A24+43)&gt;Model!$B$4,0,MAX(0,Model!$B$6-IF((A24+43)&gt;=Model!$B$11,Model!$B$20,0)-IF(43&lt;Model!$B$15,Model!$B$22,0))/(1-Model!$B$9)/(1+Model!$B$18)^43))</f>
        <v/>
      </c>
      <c r="BF24" s="7">
        <f>IF(A24="","",IF((A24+44)&gt;Model!$B$4,0,MAX(0,Model!$B$6-IF((A24+44)&gt;=Model!$B$11,Model!$B$20,0)-IF(44&lt;Model!$B$15,Model!$B$22,0))/(1-Model!$B$9)/(1+Model!$B$18)^44))</f>
        <v/>
      </c>
      <c r="BG24" s="7">
        <f>IF(A24="","",IF((A24+45)&gt;Model!$B$4,0,MAX(0,Model!$B$6-IF((A24+45)&gt;=Model!$B$11,Model!$B$20,0)-IF(45&lt;Model!$B$15,Model!$B$22,0))/(1-Model!$B$9)/(1+Model!$B$18)^45))</f>
        <v/>
      </c>
      <c r="BH24" s="7">
        <f>IF(A24="","",IF((A24+46)&gt;Model!$B$4,0,MAX(0,Model!$B$6-IF((A24+46)&gt;=Model!$B$11,Model!$B$20,0)-IF(46&lt;Model!$B$15,Model!$B$22,0))/(1-Model!$B$9)/(1+Model!$B$18)^46))</f>
        <v/>
      </c>
      <c r="BI24" s="7">
        <f>IF(A24="","",IF((A24+47)&gt;Model!$B$4,0,MAX(0,Model!$B$6-IF((A24+47)&gt;=Model!$B$11,Model!$B$20,0)-IF(47&lt;Model!$B$15,Model!$B$22,0))/(1-Model!$B$9)/(1+Model!$B$18)^47))</f>
        <v/>
      </c>
      <c r="BJ24" s="7">
        <f>IF(A24="","",IF((A24+48)&gt;Model!$B$4,0,MAX(0,Model!$B$6-IF((A24+48)&gt;=Model!$B$11,Model!$B$20,0)-IF(48&lt;Model!$B$15,Model!$B$22,0))/(1-Model!$B$9)/(1+Model!$B$18)^48))</f>
        <v/>
      </c>
      <c r="BK24" s="7">
        <f>IF(A24="","",IF((A24+49)&gt;Model!$B$4,0,MAX(0,Model!$B$6-IF((A24+49)&gt;=Model!$B$11,Model!$B$20,0)-IF(49&lt;Model!$B$15,Model!$B$22,0))/(1-Model!$B$9)/(1+Model!$B$18)^49))</f>
        <v/>
      </c>
      <c r="BL24" s="7">
        <f>IF(A24="","",IF((A24+50)&gt;Model!$B$4,0,MAX(0,Model!$B$6-IF((A24+50)&gt;=Model!$B$11,Model!$B$20,0)-IF(50&lt;Model!$B$15,Model!$B$22,0))/(1-Model!$B$9)/(1+Model!$B$18)^50))</f>
        <v/>
      </c>
      <c r="BM24" s="7">
        <f>IF(A24="","",IF((A24+51)&gt;Model!$B$4,0,MAX(0,Model!$B$6-IF((A24+51)&gt;=Model!$B$11,Model!$B$20,0)-IF(51&lt;Model!$B$15,Model!$B$22,0))/(1-Model!$B$9)/(1+Model!$B$18)^51))</f>
        <v/>
      </c>
      <c r="BN24" s="7">
        <f>IF(A24="","",IF((A24+52)&gt;Model!$B$4,0,MAX(0,Model!$B$6-IF((A24+52)&gt;=Model!$B$11,Model!$B$20,0)-IF(52&lt;Model!$B$15,Model!$B$22,0))/(1-Model!$B$9)/(1+Model!$B$18)^52))</f>
        <v/>
      </c>
      <c r="BO24" s="7">
        <f>IF(A24="","",IF((A24+53)&gt;Model!$B$4,0,MAX(0,Model!$B$6-IF((A24+53)&gt;=Model!$B$11,Model!$B$20,0)-IF(53&lt;Model!$B$15,Model!$B$22,0))/(1-Model!$B$9)/(1+Model!$B$18)^53))</f>
        <v/>
      </c>
      <c r="BP24" s="7">
        <f>IF(A24="","",IF((A24+54)&gt;Model!$B$4,0,MAX(0,Model!$B$6-IF((A24+54)&gt;=Model!$B$11,Model!$B$20,0)-IF(54&lt;Model!$B$15,Model!$B$22,0))/(1-Model!$B$9)/(1+Model!$B$18)^54))</f>
        <v/>
      </c>
      <c r="BQ24" s="7">
        <f>IF(A24="","",IF((A24+55)&gt;Model!$B$4,0,MAX(0,Model!$B$6-IF((A24+55)&gt;=Model!$B$11,Model!$B$20,0)-IF(55&lt;Model!$B$15,Model!$B$22,0))/(1-Model!$B$9)/(1+Model!$B$18)^55))</f>
        <v/>
      </c>
      <c r="BR24" s="7">
        <f>IF(A24="","",IF((A24+56)&gt;Model!$B$4,0,MAX(0,Model!$B$6-IF((A24+56)&gt;=Model!$B$11,Model!$B$20,0)-IF(56&lt;Model!$B$15,Model!$B$22,0))/(1-Model!$B$9)/(1+Model!$B$18)^56))</f>
        <v/>
      </c>
      <c r="BS24" s="7">
        <f>IF(A24="","",IF((A24+57)&gt;Model!$B$4,0,MAX(0,Model!$B$6-IF((A24+57)&gt;=Model!$B$11,Model!$B$20,0)-IF(57&lt;Model!$B$15,Model!$B$22,0))/(1-Model!$B$9)/(1+Model!$B$18)^57))</f>
        <v/>
      </c>
      <c r="BT24" s="7">
        <f>IF(A24="","",IF((A24+58)&gt;Model!$B$4,0,MAX(0,Model!$B$6-IF((A24+58)&gt;=Model!$B$11,Model!$B$20,0)-IF(58&lt;Model!$B$15,Model!$B$22,0))/(1-Model!$B$9)/(1+Model!$B$18)^58))</f>
        <v/>
      </c>
      <c r="BU24" s="7">
        <f>IF(A24="","",IF((A24+59)&gt;Model!$B$4,0,MAX(0,Model!$B$6-IF((A24+59)&gt;=Model!$B$11,Model!$B$20,0)-IF(59&lt;Model!$B$15,Model!$B$22,0))/(1-Model!$B$9)/(1+Model!$B$18)^59))</f>
        <v/>
      </c>
      <c r="BV24" s="7">
        <f>IF(A24="","",IF((A24+60)&gt;Model!$B$4,0,MAX(0,Model!$B$6-IF((A24+60)&gt;=Model!$B$11,Model!$B$20,0)-IF(60&lt;Model!$B$15,Model!$B$22,0))/(1-Model!$B$9)/(1+Model!$B$18)^60))</f>
        <v/>
      </c>
      <c r="BW24" s="7">
        <f>IF(A24="","",IF((A24+61)&gt;Model!$B$4,0,MAX(0,Model!$B$6-IF((A24+61)&gt;=Model!$B$11,Model!$B$20,0)-IF(61&lt;Model!$B$15,Model!$B$22,0))/(1-Model!$B$9)/(1+Model!$B$18)^61))</f>
        <v/>
      </c>
      <c r="BX24" s="7">
        <f>IF(A24="","",IF((A24+62)&gt;Model!$B$4,0,MAX(0,Model!$B$6-IF((A24+62)&gt;=Model!$B$11,Model!$B$20,0)-IF(62&lt;Model!$B$15,Model!$B$22,0))/(1-Model!$B$9)/(1+Model!$B$18)^62))</f>
        <v/>
      </c>
      <c r="BY24" s="7">
        <f>IF(A24="","",IF((A24+63)&gt;Model!$B$4,0,MAX(0,Model!$B$6-IF((A24+63)&gt;=Model!$B$11,Model!$B$20,0)-IF(63&lt;Model!$B$15,Model!$B$22,0))/(1-Model!$B$9)/(1+Model!$B$18)^63))</f>
        <v/>
      </c>
      <c r="BZ24" s="7">
        <f>IF(A24="","",IF((A24+64)&gt;Model!$B$4,0,MAX(0,Model!$B$6-IF((A24+64)&gt;=Model!$B$11,Model!$B$20,0)-IF(64&lt;Model!$B$15,Model!$B$22,0))/(1-Model!$B$9)/(1+Model!$B$18)^64))</f>
        <v/>
      </c>
      <c r="CA24" s="7">
        <f>IF(A24="","",IF((A24+65)&gt;Model!$B$4,0,MAX(0,Model!$B$6-IF((A24+65)&gt;=Model!$B$11,Model!$B$20,0)-IF(65&lt;Model!$B$15,Model!$B$22,0))/(1-Model!$B$9)/(1+Model!$B$18)^65))</f>
        <v/>
      </c>
      <c r="CB24" s="7">
        <f>IF(A24="","",IF((A24+66)&gt;Model!$B$4,0,MAX(0,Model!$B$6-IF((A24+66)&gt;=Model!$B$11,Model!$B$20,0)-IF(66&lt;Model!$B$15,Model!$B$22,0))/(1-Model!$B$9)/(1+Model!$B$18)^66))</f>
        <v/>
      </c>
      <c r="CC24" s="7">
        <f>IF(A24="","",IF((A24+67)&gt;Model!$B$4,0,MAX(0,Model!$B$6-IF((A24+67)&gt;=Model!$B$11,Model!$B$20,0)-IF(67&lt;Model!$B$15,Model!$B$22,0))/(1-Model!$B$9)/(1+Model!$B$18)^67))</f>
        <v/>
      </c>
      <c r="CD24" s="7">
        <f>IF(A24="","",IF((A24+68)&gt;Model!$B$4,0,MAX(0,Model!$B$6-IF((A24+68)&gt;=Model!$B$11,Model!$B$20,0)-IF(68&lt;Model!$B$15,Model!$B$22,0))/(1-Model!$B$9)/(1+Model!$B$18)^68))</f>
        <v/>
      </c>
      <c r="CE24" s="7">
        <f>IF(A24="","",IF((A24+69)&gt;Model!$B$4,0,MAX(0,Model!$B$6-IF((A24+69)&gt;=Model!$B$11,Model!$B$20,0)-IF(69&lt;Model!$B$15,Model!$B$22,0))/(1-Model!$B$9)/(1+Model!$B$18)^69))</f>
        <v/>
      </c>
      <c r="CF24" s="7">
        <f>IF(A24="","",IF((A24+70)&gt;Model!$B$4,0,MAX(0,Model!$B$6-IF((A24+70)&gt;=Model!$B$11,Model!$B$20,0)-IF(70&lt;Model!$B$15,Model!$B$22,0))/(1-Model!$B$9)/(1+Model!$B$18)^70))</f>
        <v/>
      </c>
      <c r="CG24" s="7">
        <f>IF(A24="","",IF((A24+71)&gt;Model!$B$4,0,MAX(0,Model!$B$6-IF((A24+71)&gt;=Model!$B$11,Model!$B$20,0)-IF(71&lt;Model!$B$15,Model!$B$22,0))/(1-Model!$B$9)/(1+Model!$B$18)^71))</f>
        <v/>
      </c>
      <c r="CH24" s="7">
        <f>IF(A24="","",IF((A24+72)&gt;Model!$B$4,0,MAX(0,Model!$B$6-IF((A24+72)&gt;=Model!$B$11,Model!$B$20,0)-IF(72&lt;Model!$B$15,Model!$B$22,0))/(1-Model!$B$9)/(1+Model!$B$18)^72))</f>
        <v/>
      </c>
      <c r="CI24" s="7">
        <f>IF(A24="","",IF((A24+73)&gt;Model!$B$4,0,MAX(0,Model!$B$6-IF((A24+73)&gt;=Model!$B$11,Model!$B$20,0)-IF(73&lt;Model!$B$15,Model!$B$22,0))/(1-Model!$B$9)/(1+Model!$B$18)^73))</f>
        <v/>
      </c>
      <c r="CJ24" s="7">
        <f>IF(A24="","",IF((A24+74)&gt;Model!$B$4,0,MAX(0,Model!$B$6-IF((A24+74)&gt;=Model!$B$11,Model!$B$20,0)-IF(74&lt;Model!$B$15,Model!$B$22,0))/(1-Model!$B$9)/(1+Model!$B$18)^74))</f>
        <v/>
      </c>
      <c r="CK24" s="7">
        <f>IF(A24="","",IF((A24+75)&gt;Model!$B$4,0,MAX(0,Model!$B$6-IF((A24+75)&gt;=Model!$B$11,Model!$B$20,0)-IF(75&lt;Model!$B$15,Model!$B$22,0))/(1-Model!$B$9)/(1+Model!$B$18)^75))</f>
        <v/>
      </c>
      <c r="CL24" s="7">
        <f>IF(A24="","",IF((A24+76)&gt;Model!$B$4,0,MAX(0,Model!$B$6-IF((A24+76)&gt;=Model!$B$11,Model!$B$20,0)-IF(76&lt;Model!$B$15,Model!$B$22,0))/(1-Model!$B$9)/(1+Model!$B$18)^76))</f>
        <v/>
      </c>
      <c r="CM24" s="7">
        <f>IF(A24="","",IF((A24+77)&gt;Model!$B$4,0,MAX(0,Model!$B$6-IF((A24+77)&gt;=Model!$B$11,Model!$B$20,0)-IF(77&lt;Model!$B$15,Model!$B$22,0))/(1-Model!$B$9)/(1+Model!$B$18)^77))</f>
        <v/>
      </c>
      <c r="CN24" s="7">
        <f>IF(A24="","",IF((A24+78)&gt;Model!$B$4,0,MAX(0,Model!$B$6-IF((A24+78)&gt;=Model!$B$11,Model!$B$20,0)-IF(78&lt;Model!$B$15,Model!$B$22,0))/(1-Model!$B$9)/(1+Model!$B$18)^78))</f>
        <v/>
      </c>
      <c r="CO24" s="7">
        <f>IF(A24="","",IF((A24+79)&gt;Model!$B$4,0,MAX(0,Model!$B$6-IF((A24+79)&gt;=Model!$B$11,Model!$B$20,0)-IF(79&lt;Model!$B$15,Model!$B$22,0))/(1-Model!$B$9)/(1+Model!$B$18)^79))</f>
        <v/>
      </c>
      <c r="CP24" s="7">
        <f>IF(A24="","",IF((A24+80)&gt;Model!$B$4,0,MAX(0,Model!$B$6-IF((A24+80)&gt;=Model!$B$11,Model!$B$20,0)-IF(80&lt;Model!$B$15,Model!$B$22,0))/(1-Model!$B$9)/(1+Model!$B$18)^80))</f>
        <v/>
      </c>
      <c r="CQ24" s="7">
        <f>IF(A24="","",IF((A24+81)&gt;Model!$B$4,0,MAX(0,Model!$B$6-IF((A24+81)&gt;=Model!$B$11,Model!$B$20,0)-IF(81&lt;Model!$B$15,Model!$B$22,0))/(1-Model!$B$9)/(1+Model!$B$18)^81))</f>
        <v/>
      </c>
      <c r="CR24" s="7">
        <f>IF(A24="","",IF((A24+82)&gt;Model!$B$4,0,MAX(0,Model!$B$6-IF((A24+82)&gt;=Model!$B$11,Model!$B$20,0)-IF(82&lt;Model!$B$15,Model!$B$22,0))/(1-Model!$B$9)/(1+Model!$B$18)^82))</f>
        <v/>
      </c>
      <c r="CS24" s="7">
        <f>IF(A24="","",IF((A24+83)&gt;Model!$B$4,0,MAX(0,Model!$B$6-IF((A24+83)&gt;=Model!$B$11,Model!$B$20,0)-IF(83&lt;Model!$B$15,Model!$B$22,0))/(1-Model!$B$9)/(1+Model!$B$18)^83))</f>
        <v/>
      </c>
      <c r="CT24" s="7">
        <f>IF(A24="","",IF((A24+84)&gt;Model!$B$4,0,MAX(0,Model!$B$6-IF((A24+84)&gt;=Model!$B$11,Model!$B$20,0)-IF(84&lt;Model!$B$15,Model!$B$22,0))/(1-Model!$B$9)/(1+Model!$B$18)^84))</f>
        <v/>
      </c>
      <c r="CU24" s="7">
        <f>IF(A24="","",IF((A24+85)&gt;Model!$B$4,0,MAX(0,Model!$B$6-IF((A24+85)&gt;=Model!$B$11,Model!$B$20,0)-IF(85&lt;Model!$B$15,Model!$B$22,0))/(1-Model!$B$9)/(1+Model!$B$18)^85))</f>
        <v/>
      </c>
      <c r="CV24" s="7">
        <f>IF(A24="","",IF((A24+86)&gt;Model!$B$4,0,MAX(0,Model!$B$6-IF((A24+86)&gt;=Model!$B$11,Model!$B$20,0)-IF(86&lt;Model!$B$15,Model!$B$22,0))/(1-Model!$B$9)/(1+Model!$B$18)^86))</f>
        <v/>
      </c>
      <c r="CW24" s="7">
        <f>IF(A24="","",IF((A24+87)&gt;Model!$B$4,0,MAX(0,Model!$B$6-IF((A24+87)&gt;=Model!$B$11,Model!$B$20,0)-IF(87&lt;Model!$B$15,Model!$B$22,0))/(1-Model!$B$9)/(1+Model!$B$18)^87))</f>
        <v/>
      </c>
      <c r="CX24" s="7">
        <f>IF(A24="","",IF((A24+88)&gt;Model!$B$4,0,MAX(0,Model!$B$6-IF((A24+88)&gt;=Model!$B$11,Model!$B$20,0)-IF(88&lt;Model!$B$15,Model!$B$22,0))/(1-Model!$B$9)/(1+Model!$B$18)^88))</f>
        <v/>
      </c>
      <c r="CY24" s="7">
        <f>IF(A24="","",IF((A24+89)&gt;Model!$B$4,0,MAX(0,Model!$B$6-IF((A24+89)&gt;=Model!$B$11,Model!$B$20,0)-IF(89&lt;Model!$B$15,Model!$B$22,0))/(1-Model!$B$9)/(1+Model!$B$18)^89))</f>
        <v/>
      </c>
      <c r="CZ24" s="7">
        <f>IF(A24="","",IF((A24+90)&gt;Model!$B$4,0,MAX(0,Model!$B$6-IF((A24+90)&gt;=Model!$B$11,Model!$B$20,0)-IF(90&lt;Model!$B$15,Model!$B$22,0))/(1-Model!$B$9)/(1+Model!$B$18)^90))</f>
        <v/>
      </c>
      <c r="DA24" s="7">
        <f>IF(A24="","",IF((A24+91)&gt;Model!$B$4,0,MAX(0,Model!$B$6-IF((A24+91)&gt;=Model!$B$11,Model!$B$20,0)-IF(91&lt;Model!$B$15,Model!$B$22,0))/(1-Model!$B$9)/(1+Model!$B$18)^91))</f>
        <v/>
      </c>
      <c r="DB24" s="7">
        <f>IF(A24="","",IF((A24+92)&gt;Model!$B$4,0,MAX(0,Model!$B$6-IF((A24+92)&gt;=Model!$B$11,Model!$B$20,0)-IF(92&lt;Model!$B$15,Model!$B$22,0))/(1-Model!$B$9)/(1+Model!$B$18)^92))</f>
        <v/>
      </c>
      <c r="DC24" s="7">
        <f>IF(A24="","",IF((A24+93)&gt;Model!$B$4,0,MAX(0,Model!$B$6-IF((A24+93)&gt;=Model!$B$11,Model!$B$20,0)-IF(93&lt;Model!$B$15,Model!$B$22,0))/(1-Model!$B$9)/(1+Model!$B$18)^93))</f>
        <v/>
      </c>
      <c r="DD24" s="7">
        <f>IF(A24="","",IF((A24+94)&gt;Model!$B$4,0,MAX(0,Model!$B$6-IF((A24+94)&gt;=Model!$B$11,Model!$B$20,0)-IF(94&lt;Model!$B$15,Model!$B$22,0))/(1-Model!$B$9)/(1+Model!$B$18)^94))</f>
        <v/>
      </c>
      <c r="DE24" s="7">
        <f>IF(A24="","",IF((A24+95)&gt;Model!$B$4,0,MAX(0,Model!$B$6-IF((A24+95)&gt;=Model!$B$11,Model!$B$20,0)-IF(95&lt;Model!$B$15,Model!$B$22,0))/(1-Model!$B$9)/(1+Model!$B$18)^95))</f>
        <v/>
      </c>
      <c r="DF24" s="7">
        <f>IF(A24="","",IF((A24+96)&gt;Model!$B$4,0,MAX(0,Model!$B$6-IF((A24+96)&gt;=Model!$B$11,Model!$B$20,0)-IF(96&lt;Model!$B$15,Model!$B$22,0))/(1-Model!$B$9)/(1+Model!$B$18)^96))</f>
        <v/>
      </c>
      <c r="DG24" s="7">
        <f>IF(A24="","",IF((A24+97)&gt;Model!$B$4,0,MAX(0,Model!$B$6-IF((A24+97)&gt;=Model!$B$11,Model!$B$20,0)-IF(97&lt;Model!$B$15,Model!$B$22,0))/(1-Model!$B$9)/(1+Model!$B$18)^97))</f>
        <v/>
      </c>
      <c r="DH24" s="7">
        <f>IF(A24="","",IF((A24+98)&gt;Model!$B$4,0,MAX(0,Model!$B$6-IF((A24+98)&gt;=Model!$B$11,Model!$B$20,0)-IF(98&lt;Model!$B$15,Model!$B$22,0))/(1-Model!$B$9)/(1+Model!$B$18)^98))</f>
        <v/>
      </c>
      <c r="DI24" s="7">
        <f>IF(A24="","",IF((A24+99)&gt;Model!$B$4,0,MAX(0,Model!$B$6-IF((A24+99)&gt;=Model!$B$11,Model!$B$20,0)-IF(99&lt;Model!$B$15,Model!$B$22,0))/(1-Model!$B$9)/(1+Model!$B$18)^99))</f>
        <v/>
      </c>
      <c r="DJ24" s="7">
        <f>IF(A24="","",IF((A24+100)&gt;Model!$B$4,0,MAX(0,Model!$B$6-IF((A24+100)&gt;=Model!$B$11,Model!$B$20,0)-IF(100&lt;Model!$B$15,Model!$B$22,0))/(1-Model!$B$9)/(1+Model!$B$18)^100))</f>
        <v/>
      </c>
      <c r="DK24" s="7">
        <f>IF(A24="","",IF((A24+101)&gt;Model!$B$4,0,MAX(0,Model!$B$6-IF((A24+101)&gt;=Model!$B$11,Model!$B$20,0)-IF(101&lt;Model!$B$15,Model!$B$22,0))/(1-Model!$B$9)/(1+Model!$B$18)^101))</f>
        <v/>
      </c>
      <c r="DL24" s="7">
        <f>IF(A24="","",IF((A24+102)&gt;Model!$B$4,0,MAX(0,Model!$B$6-IF((A24+102)&gt;=Model!$B$11,Model!$B$20,0)-IF(102&lt;Model!$B$15,Model!$B$22,0))/(1-Model!$B$9)/(1+Model!$B$18)^102))</f>
        <v/>
      </c>
      <c r="DM24" s="7">
        <f>IF(A24="","",IF((A24+103)&gt;Model!$B$4,0,MAX(0,Model!$B$6-IF((A24+103)&gt;=Model!$B$11,Model!$B$20,0)-IF(103&lt;Model!$B$15,Model!$B$22,0))/(1-Model!$B$9)/(1+Model!$B$18)^103))</f>
        <v/>
      </c>
      <c r="DN24" s="7">
        <f>IF(A24="","",IF((A24+104)&gt;Model!$B$4,0,MAX(0,Model!$B$6-IF((A24+104)&gt;=Model!$B$11,Model!$B$20,0)-IF(104&lt;Model!$B$15,Model!$B$22,0))/(1-Model!$B$9)/(1+Model!$B$18)^104))</f>
        <v/>
      </c>
      <c r="DO24" s="7">
        <f>IF(A24="","",IF((A24+105)&gt;Model!$B$4,0,MAX(0,Model!$B$6-IF((A24+105)&gt;=Model!$B$11,Model!$B$20,0)-IF(105&lt;Model!$B$15,Model!$B$22,0))/(1-Model!$B$9)/(1+Model!$B$18)^105))</f>
        <v/>
      </c>
      <c r="DP24" s="7">
        <f>IF(A24="","",IF((A24+106)&gt;Model!$B$4,0,MAX(0,Model!$B$6-IF((A24+106)&gt;=Model!$B$11,Model!$B$20,0)-IF(106&lt;Model!$B$15,Model!$B$22,0))/(1-Model!$B$9)/(1+Model!$B$18)^106))</f>
        <v/>
      </c>
      <c r="DQ24" s="7">
        <f>IF(A24="","",IF((A24+107)&gt;Model!$B$4,0,MAX(0,Model!$B$6-IF((A24+107)&gt;=Model!$B$11,Model!$B$20,0)-IF(107&lt;Model!$B$15,Model!$B$22,0))/(1-Model!$B$9)/(1+Model!$B$18)^107))</f>
        <v/>
      </c>
      <c r="DR24" s="7">
        <f>IF(A24="","",IF((A24+108)&gt;Model!$B$4,0,MAX(0,Model!$B$6-IF((A24+108)&gt;=Model!$B$11,Model!$B$20,0)-IF(108&lt;Model!$B$15,Model!$B$22,0))/(1-Model!$B$9)/(1+Model!$B$18)^108))</f>
        <v/>
      </c>
      <c r="DS24" s="7">
        <f>IF(A24="","",IF((A24+109)&gt;Model!$B$4,0,MAX(0,Model!$B$6-IF((A24+109)&gt;=Model!$B$11,Model!$B$20,0)-IF(109&lt;Model!$B$15,Model!$B$22,0))/(1-Model!$B$9)/(1+Model!$B$18)^109))</f>
        <v/>
      </c>
      <c r="DT24" s="7">
        <f>IF(A24="","",IF((A24+110)&gt;Model!$B$4,0,MAX(0,Model!$B$6-IF((A24+110)&gt;=Model!$B$11,Model!$B$20,0)-IF(110&lt;Model!$B$15,Model!$B$22,0))/(1-Model!$B$9)/(1+Model!$B$18)^110))</f>
        <v/>
      </c>
      <c r="DU24" s="7">
        <f>IF(A24="","",IF((A24+111)&gt;Model!$B$4,0,MAX(0,Model!$B$6-IF((A24+111)&gt;=Model!$B$11,Model!$B$20,0)-IF(111&lt;Model!$B$15,Model!$B$22,0))/(1-Model!$B$9)/(1+Model!$B$18)^111))</f>
        <v/>
      </c>
      <c r="DV24" s="7">
        <f>IF(A24="","",IF((A24+112)&gt;Model!$B$4,0,MAX(0,Model!$B$6-IF((A24+112)&gt;=Model!$B$11,Model!$B$20,0)-IF(112&lt;Model!$B$15,Model!$B$22,0))/(1-Model!$B$9)/(1+Model!$B$18)^112))</f>
        <v/>
      </c>
      <c r="DW24" s="7">
        <f>IF(A24="","",IF((A24+113)&gt;Model!$B$4,0,MAX(0,Model!$B$6-IF((A24+113)&gt;=Model!$B$11,Model!$B$20,0)-IF(113&lt;Model!$B$15,Model!$B$22,0))/(1-Model!$B$9)/(1+Model!$B$18)^113))</f>
        <v/>
      </c>
      <c r="DX24" s="7">
        <f>IF(A24="","",IF((A24+114)&gt;Model!$B$4,0,MAX(0,Model!$B$6-IF((A24+114)&gt;=Model!$B$11,Model!$B$20,0)-IF(114&lt;Model!$B$15,Model!$B$22,0))/(1-Model!$B$9)/(1+Model!$B$18)^114))</f>
        <v/>
      </c>
      <c r="DY24" s="7">
        <f>IF(A24="","",IF((A24+115)&gt;Model!$B$4,0,MAX(0,Model!$B$6-IF((A24+115)&gt;=Model!$B$11,Model!$B$20,0)-IF(115&lt;Model!$B$15,Model!$B$22,0))/(1-Model!$B$9)/(1+Model!$B$18)^115))</f>
        <v/>
      </c>
      <c r="DZ24" s="7">
        <f>IF(A24="","",IF((A24+116)&gt;Model!$B$4,0,MAX(0,Model!$B$6-IF((A24+116)&gt;=Model!$B$11,Model!$B$20,0)-IF(116&lt;Model!$B$15,Model!$B$22,0))/(1-Model!$B$9)/(1+Model!$B$18)^116))</f>
        <v/>
      </c>
      <c r="EA24" s="7">
        <f>IF(A24="","",IF((A24+117)&gt;Model!$B$4,0,MAX(0,Model!$B$6-IF((A24+117)&gt;=Model!$B$11,Model!$B$20,0)-IF(117&lt;Model!$B$15,Model!$B$22,0))/(1-Model!$B$9)/(1+Model!$B$18)^117))</f>
        <v/>
      </c>
      <c r="EB24" s="7">
        <f>IF(A24="","",IF((A24+118)&gt;Model!$B$4,0,MAX(0,Model!$B$6-IF((A24+118)&gt;=Model!$B$11,Model!$B$20,0)-IF(118&lt;Model!$B$15,Model!$B$22,0))/(1-Model!$B$9)/(1+Model!$B$18)^118))</f>
        <v/>
      </c>
      <c r="EC24" s="7">
        <f>IF(A24="","",IF((A24+119)&gt;Model!$B$4,0,MAX(0,Model!$B$6-IF((A24+119)&gt;=Model!$B$11,Model!$B$20,0)-IF(119&lt;Model!$B$15,Model!$B$22,0))/(1-Model!$B$9)/(1+Model!$B$18)^119))</f>
        <v/>
      </c>
      <c r="ED24" s="7">
        <f>IF(A24="","",IF((A24+120)&gt;Model!$B$4,0,MAX(0,Model!$B$6-IF((A24+120)&gt;=Model!$B$11,Model!$B$20,0)-IF(120&lt;Model!$B$15,Model!$B$22,0))/(1-Model!$B$9)/(1+Model!$B$18)^120))</f>
        <v/>
      </c>
    </row>
    <row r="25">
      <c r="A25">
        <f>IF(Model!$B$10+ROW()-2&lt;=Model!$B$4,Model!$B$10+ROW()-2,"")</f>
        <v/>
      </c>
      <c r="B25">
        <f>IF(A25="","",A25-Model!$B$10)</f>
        <v/>
      </c>
      <c r="C25" s="7">
        <f>IF(A25="","",Model!$B$5*(1+Model!$B$18)^B25)</f>
        <v/>
      </c>
      <c r="D25" s="7">
        <f>IF(A25="","",SUM(N25:ED25))</f>
        <v/>
      </c>
      <c r="E25" s="7">
        <f>IF(A25="","",IF(A25&gt;=Model!$B$11,Model!$B$20,0))</f>
        <v/>
      </c>
      <c r="F25" s="7">
        <f>IF(A25="","",IF(Model!$B$15&gt;0,Model!$B$22,0))</f>
        <v/>
      </c>
      <c r="G25" s="7">
        <f>IF(A25="","",E25+F25)</f>
        <v/>
      </c>
      <c r="H25" s="7">
        <f>IF(A25="","",MAX(0,Model!$B$6-G25))</f>
        <v/>
      </c>
      <c r="I25" s="7">
        <f>IF(A25="","",H25/(1-Model!$B$9))</f>
        <v/>
      </c>
      <c r="J25" s="7">
        <f>IF(A25="","",C25-D25)</f>
        <v/>
      </c>
      <c r="K25">
        <f>IF(A25="","",C25&gt;=D25)</f>
        <v/>
      </c>
      <c r="L25" s="7">
        <f>IF(A25="","",IF(A25&gt;=Model!$B$11,Model!$B$19*(1+Model!$B$13)^B25,0))</f>
        <v/>
      </c>
      <c r="M25" s="7">
        <f>IF(A25="","",IF(Model!$B$15&gt;0,Model!$B$21*(1+Model!$B$13)^B25,0))</f>
        <v/>
      </c>
      <c r="N25" s="7">
        <f>IF(A25="","",IF((A25+0)&gt;Model!$B$4,0,MAX(0,Model!$B$6-IF((A25+0)&gt;=Model!$B$11,Model!$B$20,0)-IF(0&lt;Model!$B$15,Model!$B$22,0))/(1-Model!$B$9)/(1+Model!$B$18)^0))</f>
        <v/>
      </c>
      <c r="O25" s="7">
        <f>IF(A25="","",IF((A25+1)&gt;Model!$B$4,0,MAX(0,Model!$B$6-IF((A25+1)&gt;=Model!$B$11,Model!$B$20,0)-IF(1&lt;Model!$B$15,Model!$B$22,0))/(1-Model!$B$9)/(1+Model!$B$18)^1))</f>
        <v/>
      </c>
      <c r="P25" s="7">
        <f>IF(A25="","",IF((A25+2)&gt;Model!$B$4,0,MAX(0,Model!$B$6-IF((A25+2)&gt;=Model!$B$11,Model!$B$20,0)-IF(2&lt;Model!$B$15,Model!$B$22,0))/(1-Model!$B$9)/(1+Model!$B$18)^2))</f>
        <v/>
      </c>
      <c r="Q25" s="7">
        <f>IF(A25="","",IF((A25+3)&gt;Model!$B$4,0,MAX(0,Model!$B$6-IF((A25+3)&gt;=Model!$B$11,Model!$B$20,0)-IF(3&lt;Model!$B$15,Model!$B$22,0))/(1-Model!$B$9)/(1+Model!$B$18)^3))</f>
        <v/>
      </c>
      <c r="R25" s="7">
        <f>IF(A25="","",IF((A25+4)&gt;Model!$B$4,0,MAX(0,Model!$B$6-IF((A25+4)&gt;=Model!$B$11,Model!$B$20,0)-IF(4&lt;Model!$B$15,Model!$B$22,0))/(1-Model!$B$9)/(1+Model!$B$18)^4))</f>
        <v/>
      </c>
      <c r="S25" s="7">
        <f>IF(A25="","",IF((A25+5)&gt;Model!$B$4,0,MAX(0,Model!$B$6-IF((A25+5)&gt;=Model!$B$11,Model!$B$20,0)-IF(5&lt;Model!$B$15,Model!$B$22,0))/(1-Model!$B$9)/(1+Model!$B$18)^5))</f>
        <v/>
      </c>
      <c r="T25" s="7">
        <f>IF(A25="","",IF((A25+6)&gt;Model!$B$4,0,MAX(0,Model!$B$6-IF((A25+6)&gt;=Model!$B$11,Model!$B$20,0)-IF(6&lt;Model!$B$15,Model!$B$22,0))/(1-Model!$B$9)/(1+Model!$B$18)^6))</f>
        <v/>
      </c>
      <c r="U25" s="7">
        <f>IF(A25="","",IF((A25+7)&gt;Model!$B$4,0,MAX(0,Model!$B$6-IF((A25+7)&gt;=Model!$B$11,Model!$B$20,0)-IF(7&lt;Model!$B$15,Model!$B$22,0))/(1-Model!$B$9)/(1+Model!$B$18)^7))</f>
        <v/>
      </c>
      <c r="V25" s="7">
        <f>IF(A25="","",IF((A25+8)&gt;Model!$B$4,0,MAX(0,Model!$B$6-IF((A25+8)&gt;=Model!$B$11,Model!$B$20,0)-IF(8&lt;Model!$B$15,Model!$B$22,0))/(1-Model!$B$9)/(1+Model!$B$18)^8))</f>
        <v/>
      </c>
      <c r="W25" s="7">
        <f>IF(A25="","",IF((A25+9)&gt;Model!$B$4,0,MAX(0,Model!$B$6-IF((A25+9)&gt;=Model!$B$11,Model!$B$20,0)-IF(9&lt;Model!$B$15,Model!$B$22,0))/(1-Model!$B$9)/(1+Model!$B$18)^9))</f>
        <v/>
      </c>
      <c r="X25" s="7">
        <f>IF(A25="","",IF((A25+10)&gt;Model!$B$4,0,MAX(0,Model!$B$6-IF((A25+10)&gt;=Model!$B$11,Model!$B$20,0)-IF(10&lt;Model!$B$15,Model!$B$22,0))/(1-Model!$B$9)/(1+Model!$B$18)^10))</f>
        <v/>
      </c>
      <c r="Y25" s="7">
        <f>IF(A25="","",IF((A25+11)&gt;Model!$B$4,0,MAX(0,Model!$B$6-IF((A25+11)&gt;=Model!$B$11,Model!$B$20,0)-IF(11&lt;Model!$B$15,Model!$B$22,0))/(1-Model!$B$9)/(1+Model!$B$18)^11))</f>
        <v/>
      </c>
      <c r="Z25" s="7">
        <f>IF(A25="","",IF((A25+12)&gt;Model!$B$4,0,MAX(0,Model!$B$6-IF((A25+12)&gt;=Model!$B$11,Model!$B$20,0)-IF(12&lt;Model!$B$15,Model!$B$22,0))/(1-Model!$B$9)/(1+Model!$B$18)^12))</f>
        <v/>
      </c>
      <c r="AA25" s="7">
        <f>IF(A25="","",IF((A25+13)&gt;Model!$B$4,0,MAX(0,Model!$B$6-IF((A25+13)&gt;=Model!$B$11,Model!$B$20,0)-IF(13&lt;Model!$B$15,Model!$B$22,0))/(1-Model!$B$9)/(1+Model!$B$18)^13))</f>
        <v/>
      </c>
      <c r="AB25" s="7">
        <f>IF(A25="","",IF((A25+14)&gt;Model!$B$4,0,MAX(0,Model!$B$6-IF((A25+14)&gt;=Model!$B$11,Model!$B$20,0)-IF(14&lt;Model!$B$15,Model!$B$22,0))/(1-Model!$B$9)/(1+Model!$B$18)^14))</f>
        <v/>
      </c>
      <c r="AC25" s="7">
        <f>IF(A25="","",IF((A25+15)&gt;Model!$B$4,0,MAX(0,Model!$B$6-IF((A25+15)&gt;=Model!$B$11,Model!$B$20,0)-IF(15&lt;Model!$B$15,Model!$B$22,0))/(1-Model!$B$9)/(1+Model!$B$18)^15))</f>
        <v/>
      </c>
      <c r="AD25" s="7">
        <f>IF(A25="","",IF((A25+16)&gt;Model!$B$4,0,MAX(0,Model!$B$6-IF((A25+16)&gt;=Model!$B$11,Model!$B$20,0)-IF(16&lt;Model!$B$15,Model!$B$22,0))/(1-Model!$B$9)/(1+Model!$B$18)^16))</f>
        <v/>
      </c>
      <c r="AE25" s="7">
        <f>IF(A25="","",IF((A25+17)&gt;Model!$B$4,0,MAX(0,Model!$B$6-IF((A25+17)&gt;=Model!$B$11,Model!$B$20,0)-IF(17&lt;Model!$B$15,Model!$B$22,0))/(1-Model!$B$9)/(1+Model!$B$18)^17))</f>
        <v/>
      </c>
      <c r="AF25" s="7">
        <f>IF(A25="","",IF((A25+18)&gt;Model!$B$4,0,MAX(0,Model!$B$6-IF((A25+18)&gt;=Model!$B$11,Model!$B$20,0)-IF(18&lt;Model!$B$15,Model!$B$22,0))/(1-Model!$B$9)/(1+Model!$B$18)^18))</f>
        <v/>
      </c>
      <c r="AG25" s="7">
        <f>IF(A25="","",IF((A25+19)&gt;Model!$B$4,0,MAX(0,Model!$B$6-IF((A25+19)&gt;=Model!$B$11,Model!$B$20,0)-IF(19&lt;Model!$B$15,Model!$B$22,0))/(1-Model!$B$9)/(1+Model!$B$18)^19))</f>
        <v/>
      </c>
      <c r="AH25" s="7">
        <f>IF(A25="","",IF((A25+20)&gt;Model!$B$4,0,MAX(0,Model!$B$6-IF((A25+20)&gt;=Model!$B$11,Model!$B$20,0)-IF(20&lt;Model!$B$15,Model!$B$22,0))/(1-Model!$B$9)/(1+Model!$B$18)^20))</f>
        <v/>
      </c>
      <c r="AI25" s="7">
        <f>IF(A25="","",IF((A25+21)&gt;Model!$B$4,0,MAX(0,Model!$B$6-IF((A25+21)&gt;=Model!$B$11,Model!$B$20,0)-IF(21&lt;Model!$B$15,Model!$B$22,0))/(1-Model!$B$9)/(1+Model!$B$18)^21))</f>
        <v/>
      </c>
      <c r="AJ25" s="7">
        <f>IF(A25="","",IF((A25+22)&gt;Model!$B$4,0,MAX(0,Model!$B$6-IF((A25+22)&gt;=Model!$B$11,Model!$B$20,0)-IF(22&lt;Model!$B$15,Model!$B$22,0))/(1-Model!$B$9)/(1+Model!$B$18)^22))</f>
        <v/>
      </c>
      <c r="AK25" s="7">
        <f>IF(A25="","",IF((A25+23)&gt;Model!$B$4,0,MAX(0,Model!$B$6-IF((A25+23)&gt;=Model!$B$11,Model!$B$20,0)-IF(23&lt;Model!$B$15,Model!$B$22,0))/(1-Model!$B$9)/(1+Model!$B$18)^23))</f>
        <v/>
      </c>
      <c r="AL25" s="7">
        <f>IF(A25="","",IF((A25+24)&gt;Model!$B$4,0,MAX(0,Model!$B$6-IF((A25+24)&gt;=Model!$B$11,Model!$B$20,0)-IF(24&lt;Model!$B$15,Model!$B$22,0))/(1-Model!$B$9)/(1+Model!$B$18)^24))</f>
        <v/>
      </c>
      <c r="AM25" s="7">
        <f>IF(A25="","",IF((A25+25)&gt;Model!$B$4,0,MAX(0,Model!$B$6-IF((A25+25)&gt;=Model!$B$11,Model!$B$20,0)-IF(25&lt;Model!$B$15,Model!$B$22,0))/(1-Model!$B$9)/(1+Model!$B$18)^25))</f>
        <v/>
      </c>
      <c r="AN25" s="7">
        <f>IF(A25="","",IF((A25+26)&gt;Model!$B$4,0,MAX(0,Model!$B$6-IF((A25+26)&gt;=Model!$B$11,Model!$B$20,0)-IF(26&lt;Model!$B$15,Model!$B$22,0))/(1-Model!$B$9)/(1+Model!$B$18)^26))</f>
        <v/>
      </c>
      <c r="AO25" s="7">
        <f>IF(A25="","",IF((A25+27)&gt;Model!$B$4,0,MAX(0,Model!$B$6-IF((A25+27)&gt;=Model!$B$11,Model!$B$20,0)-IF(27&lt;Model!$B$15,Model!$B$22,0))/(1-Model!$B$9)/(1+Model!$B$18)^27))</f>
        <v/>
      </c>
      <c r="AP25" s="7">
        <f>IF(A25="","",IF((A25+28)&gt;Model!$B$4,0,MAX(0,Model!$B$6-IF((A25+28)&gt;=Model!$B$11,Model!$B$20,0)-IF(28&lt;Model!$B$15,Model!$B$22,0))/(1-Model!$B$9)/(1+Model!$B$18)^28))</f>
        <v/>
      </c>
      <c r="AQ25" s="7">
        <f>IF(A25="","",IF((A25+29)&gt;Model!$B$4,0,MAX(0,Model!$B$6-IF((A25+29)&gt;=Model!$B$11,Model!$B$20,0)-IF(29&lt;Model!$B$15,Model!$B$22,0))/(1-Model!$B$9)/(1+Model!$B$18)^29))</f>
        <v/>
      </c>
      <c r="AR25" s="7">
        <f>IF(A25="","",IF((A25+30)&gt;Model!$B$4,0,MAX(0,Model!$B$6-IF((A25+30)&gt;=Model!$B$11,Model!$B$20,0)-IF(30&lt;Model!$B$15,Model!$B$22,0))/(1-Model!$B$9)/(1+Model!$B$18)^30))</f>
        <v/>
      </c>
      <c r="AS25" s="7">
        <f>IF(A25="","",IF((A25+31)&gt;Model!$B$4,0,MAX(0,Model!$B$6-IF((A25+31)&gt;=Model!$B$11,Model!$B$20,0)-IF(31&lt;Model!$B$15,Model!$B$22,0))/(1-Model!$B$9)/(1+Model!$B$18)^31))</f>
        <v/>
      </c>
      <c r="AT25" s="7">
        <f>IF(A25="","",IF((A25+32)&gt;Model!$B$4,0,MAX(0,Model!$B$6-IF((A25+32)&gt;=Model!$B$11,Model!$B$20,0)-IF(32&lt;Model!$B$15,Model!$B$22,0))/(1-Model!$B$9)/(1+Model!$B$18)^32))</f>
        <v/>
      </c>
      <c r="AU25" s="7">
        <f>IF(A25="","",IF((A25+33)&gt;Model!$B$4,0,MAX(0,Model!$B$6-IF((A25+33)&gt;=Model!$B$11,Model!$B$20,0)-IF(33&lt;Model!$B$15,Model!$B$22,0))/(1-Model!$B$9)/(1+Model!$B$18)^33))</f>
        <v/>
      </c>
      <c r="AV25" s="7">
        <f>IF(A25="","",IF((A25+34)&gt;Model!$B$4,0,MAX(0,Model!$B$6-IF((A25+34)&gt;=Model!$B$11,Model!$B$20,0)-IF(34&lt;Model!$B$15,Model!$B$22,0))/(1-Model!$B$9)/(1+Model!$B$18)^34))</f>
        <v/>
      </c>
      <c r="AW25" s="7">
        <f>IF(A25="","",IF((A25+35)&gt;Model!$B$4,0,MAX(0,Model!$B$6-IF((A25+35)&gt;=Model!$B$11,Model!$B$20,0)-IF(35&lt;Model!$B$15,Model!$B$22,0))/(1-Model!$B$9)/(1+Model!$B$18)^35))</f>
        <v/>
      </c>
      <c r="AX25" s="7">
        <f>IF(A25="","",IF((A25+36)&gt;Model!$B$4,0,MAX(0,Model!$B$6-IF((A25+36)&gt;=Model!$B$11,Model!$B$20,0)-IF(36&lt;Model!$B$15,Model!$B$22,0))/(1-Model!$B$9)/(1+Model!$B$18)^36))</f>
        <v/>
      </c>
      <c r="AY25" s="7">
        <f>IF(A25="","",IF((A25+37)&gt;Model!$B$4,0,MAX(0,Model!$B$6-IF((A25+37)&gt;=Model!$B$11,Model!$B$20,0)-IF(37&lt;Model!$B$15,Model!$B$22,0))/(1-Model!$B$9)/(1+Model!$B$18)^37))</f>
        <v/>
      </c>
      <c r="AZ25" s="7">
        <f>IF(A25="","",IF((A25+38)&gt;Model!$B$4,0,MAX(0,Model!$B$6-IF((A25+38)&gt;=Model!$B$11,Model!$B$20,0)-IF(38&lt;Model!$B$15,Model!$B$22,0))/(1-Model!$B$9)/(1+Model!$B$18)^38))</f>
        <v/>
      </c>
      <c r="BA25" s="7">
        <f>IF(A25="","",IF((A25+39)&gt;Model!$B$4,0,MAX(0,Model!$B$6-IF((A25+39)&gt;=Model!$B$11,Model!$B$20,0)-IF(39&lt;Model!$B$15,Model!$B$22,0))/(1-Model!$B$9)/(1+Model!$B$18)^39))</f>
        <v/>
      </c>
      <c r="BB25" s="7">
        <f>IF(A25="","",IF((A25+40)&gt;Model!$B$4,0,MAX(0,Model!$B$6-IF((A25+40)&gt;=Model!$B$11,Model!$B$20,0)-IF(40&lt;Model!$B$15,Model!$B$22,0))/(1-Model!$B$9)/(1+Model!$B$18)^40))</f>
        <v/>
      </c>
      <c r="BC25" s="7">
        <f>IF(A25="","",IF((A25+41)&gt;Model!$B$4,0,MAX(0,Model!$B$6-IF((A25+41)&gt;=Model!$B$11,Model!$B$20,0)-IF(41&lt;Model!$B$15,Model!$B$22,0))/(1-Model!$B$9)/(1+Model!$B$18)^41))</f>
        <v/>
      </c>
      <c r="BD25" s="7">
        <f>IF(A25="","",IF((A25+42)&gt;Model!$B$4,0,MAX(0,Model!$B$6-IF((A25+42)&gt;=Model!$B$11,Model!$B$20,0)-IF(42&lt;Model!$B$15,Model!$B$22,0))/(1-Model!$B$9)/(1+Model!$B$18)^42))</f>
        <v/>
      </c>
      <c r="BE25" s="7">
        <f>IF(A25="","",IF((A25+43)&gt;Model!$B$4,0,MAX(0,Model!$B$6-IF((A25+43)&gt;=Model!$B$11,Model!$B$20,0)-IF(43&lt;Model!$B$15,Model!$B$22,0))/(1-Model!$B$9)/(1+Model!$B$18)^43))</f>
        <v/>
      </c>
      <c r="BF25" s="7">
        <f>IF(A25="","",IF((A25+44)&gt;Model!$B$4,0,MAX(0,Model!$B$6-IF((A25+44)&gt;=Model!$B$11,Model!$B$20,0)-IF(44&lt;Model!$B$15,Model!$B$22,0))/(1-Model!$B$9)/(1+Model!$B$18)^44))</f>
        <v/>
      </c>
      <c r="BG25" s="7">
        <f>IF(A25="","",IF((A25+45)&gt;Model!$B$4,0,MAX(0,Model!$B$6-IF((A25+45)&gt;=Model!$B$11,Model!$B$20,0)-IF(45&lt;Model!$B$15,Model!$B$22,0))/(1-Model!$B$9)/(1+Model!$B$18)^45))</f>
        <v/>
      </c>
      <c r="BH25" s="7">
        <f>IF(A25="","",IF((A25+46)&gt;Model!$B$4,0,MAX(0,Model!$B$6-IF((A25+46)&gt;=Model!$B$11,Model!$B$20,0)-IF(46&lt;Model!$B$15,Model!$B$22,0))/(1-Model!$B$9)/(1+Model!$B$18)^46))</f>
        <v/>
      </c>
      <c r="BI25" s="7">
        <f>IF(A25="","",IF((A25+47)&gt;Model!$B$4,0,MAX(0,Model!$B$6-IF((A25+47)&gt;=Model!$B$11,Model!$B$20,0)-IF(47&lt;Model!$B$15,Model!$B$22,0))/(1-Model!$B$9)/(1+Model!$B$18)^47))</f>
        <v/>
      </c>
      <c r="BJ25" s="7">
        <f>IF(A25="","",IF((A25+48)&gt;Model!$B$4,0,MAX(0,Model!$B$6-IF((A25+48)&gt;=Model!$B$11,Model!$B$20,0)-IF(48&lt;Model!$B$15,Model!$B$22,0))/(1-Model!$B$9)/(1+Model!$B$18)^48))</f>
        <v/>
      </c>
      <c r="BK25" s="7">
        <f>IF(A25="","",IF((A25+49)&gt;Model!$B$4,0,MAX(0,Model!$B$6-IF((A25+49)&gt;=Model!$B$11,Model!$B$20,0)-IF(49&lt;Model!$B$15,Model!$B$22,0))/(1-Model!$B$9)/(1+Model!$B$18)^49))</f>
        <v/>
      </c>
      <c r="BL25" s="7">
        <f>IF(A25="","",IF((A25+50)&gt;Model!$B$4,0,MAX(0,Model!$B$6-IF((A25+50)&gt;=Model!$B$11,Model!$B$20,0)-IF(50&lt;Model!$B$15,Model!$B$22,0))/(1-Model!$B$9)/(1+Model!$B$18)^50))</f>
        <v/>
      </c>
      <c r="BM25" s="7">
        <f>IF(A25="","",IF((A25+51)&gt;Model!$B$4,0,MAX(0,Model!$B$6-IF((A25+51)&gt;=Model!$B$11,Model!$B$20,0)-IF(51&lt;Model!$B$15,Model!$B$22,0))/(1-Model!$B$9)/(1+Model!$B$18)^51))</f>
        <v/>
      </c>
      <c r="BN25" s="7">
        <f>IF(A25="","",IF((A25+52)&gt;Model!$B$4,0,MAX(0,Model!$B$6-IF((A25+52)&gt;=Model!$B$11,Model!$B$20,0)-IF(52&lt;Model!$B$15,Model!$B$22,0))/(1-Model!$B$9)/(1+Model!$B$18)^52))</f>
        <v/>
      </c>
      <c r="BO25" s="7">
        <f>IF(A25="","",IF((A25+53)&gt;Model!$B$4,0,MAX(0,Model!$B$6-IF((A25+53)&gt;=Model!$B$11,Model!$B$20,0)-IF(53&lt;Model!$B$15,Model!$B$22,0))/(1-Model!$B$9)/(1+Model!$B$18)^53))</f>
        <v/>
      </c>
      <c r="BP25" s="7">
        <f>IF(A25="","",IF((A25+54)&gt;Model!$B$4,0,MAX(0,Model!$B$6-IF((A25+54)&gt;=Model!$B$11,Model!$B$20,0)-IF(54&lt;Model!$B$15,Model!$B$22,0))/(1-Model!$B$9)/(1+Model!$B$18)^54))</f>
        <v/>
      </c>
      <c r="BQ25" s="7">
        <f>IF(A25="","",IF((A25+55)&gt;Model!$B$4,0,MAX(0,Model!$B$6-IF((A25+55)&gt;=Model!$B$11,Model!$B$20,0)-IF(55&lt;Model!$B$15,Model!$B$22,0))/(1-Model!$B$9)/(1+Model!$B$18)^55))</f>
        <v/>
      </c>
      <c r="BR25" s="7">
        <f>IF(A25="","",IF((A25+56)&gt;Model!$B$4,0,MAX(0,Model!$B$6-IF((A25+56)&gt;=Model!$B$11,Model!$B$20,0)-IF(56&lt;Model!$B$15,Model!$B$22,0))/(1-Model!$B$9)/(1+Model!$B$18)^56))</f>
        <v/>
      </c>
      <c r="BS25" s="7">
        <f>IF(A25="","",IF((A25+57)&gt;Model!$B$4,0,MAX(0,Model!$B$6-IF((A25+57)&gt;=Model!$B$11,Model!$B$20,0)-IF(57&lt;Model!$B$15,Model!$B$22,0))/(1-Model!$B$9)/(1+Model!$B$18)^57))</f>
        <v/>
      </c>
      <c r="BT25" s="7">
        <f>IF(A25="","",IF((A25+58)&gt;Model!$B$4,0,MAX(0,Model!$B$6-IF((A25+58)&gt;=Model!$B$11,Model!$B$20,0)-IF(58&lt;Model!$B$15,Model!$B$22,0))/(1-Model!$B$9)/(1+Model!$B$18)^58))</f>
        <v/>
      </c>
      <c r="BU25" s="7">
        <f>IF(A25="","",IF((A25+59)&gt;Model!$B$4,0,MAX(0,Model!$B$6-IF((A25+59)&gt;=Model!$B$11,Model!$B$20,0)-IF(59&lt;Model!$B$15,Model!$B$22,0))/(1-Model!$B$9)/(1+Model!$B$18)^59))</f>
        <v/>
      </c>
      <c r="BV25" s="7">
        <f>IF(A25="","",IF((A25+60)&gt;Model!$B$4,0,MAX(0,Model!$B$6-IF((A25+60)&gt;=Model!$B$11,Model!$B$20,0)-IF(60&lt;Model!$B$15,Model!$B$22,0))/(1-Model!$B$9)/(1+Model!$B$18)^60))</f>
        <v/>
      </c>
      <c r="BW25" s="7">
        <f>IF(A25="","",IF((A25+61)&gt;Model!$B$4,0,MAX(0,Model!$B$6-IF((A25+61)&gt;=Model!$B$11,Model!$B$20,0)-IF(61&lt;Model!$B$15,Model!$B$22,0))/(1-Model!$B$9)/(1+Model!$B$18)^61))</f>
        <v/>
      </c>
      <c r="BX25" s="7">
        <f>IF(A25="","",IF((A25+62)&gt;Model!$B$4,0,MAX(0,Model!$B$6-IF((A25+62)&gt;=Model!$B$11,Model!$B$20,0)-IF(62&lt;Model!$B$15,Model!$B$22,0))/(1-Model!$B$9)/(1+Model!$B$18)^62))</f>
        <v/>
      </c>
      <c r="BY25" s="7">
        <f>IF(A25="","",IF((A25+63)&gt;Model!$B$4,0,MAX(0,Model!$B$6-IF((A25+63)&gt;=Model!$B$11,Model!$B$20,0)-IF(63&lt;Model!$B$15,Model!$B$22,0))/(1-Model!$B$9)/(1+Model!$B$18)^63))</f>
        <v/>
      </c>
      <c r="BZ25" s="7">
        <f>IF(A25="","",IF((A25+64)&gt;Model!$B$4,0,MAX(0,Model!$B$6-IF((A25+64)&gt;=Model!$B$11,Model!$B$20,0)-IF(64&lt;Model!$B$15,Model!$B$22,0))/(1-Model!$B$9)/(1+Model!$B$18)^64))</f>
        <v/>
      </c>
      <c r="CA25" s="7">
        <f>IF(A25="","",IF((A25+65)&gt;Model!$B$4,0,MAX(0,Model!$B$6-IF((A25+65)&gt;=Model!$B$11,Model!$B$20,0)-IF(65&lt;Model!$B$15,Model!$B$22,0))/(1-Model!$B$9)/(1+Model!$B$18)^65))</f>
        <v/>
      </c>
      <c r="CB25" s="7">
        <f>IF(A25="","",IF((A25+66)&gt;Model!$B$4,0,MAX(0,Model!$B$6-IF((A25+66)&gt;=Model!$B$11,Model!$B$20,0)-IF(66&lt;Model!$B$15,Model!$B$22,0))/(1-Model!$B$9)/(1+Model!$B$18)^66))</f>
        <v/>
      </c>
      <c r="CC25" s="7">
        <f>IF(A25="","",IF((A25+67)&gt;Model!$B$4,0,MAX(0,Model!$B$6-IF((A25+67)&gt;=Model!$B$11,Model!$B$20,0)-IF(67&lt;Model!$B$15,Model!$B$22,0))/(1-Model!$B$9)/(1+Model!$B$18)^67))</f>
        <v/>
      </c>
      <c r="CD25" s="7">
        <f>IF(A25="","",IF((A25+68)&gt;Model!$B$4,0,MAX(0,Model!$B$6-IF((A25+68)&gt;=Model!$B$11,Model!$B$20,0)-IF(68&lt;Model!$B$15,Model!$B$22,0))/(1-Model!$B$9)/(1+Model!$B$18)^68))</f>
        <v/>
      </c>
      <c r="CE25" s="7">
        <f>IF(A25="","",IF((A25+69)&gt;Model!$B$4,0,MAX(0,Model!$B$6-IF((A25+69)&gt;=Model!$B$11,Model!$B$20,0)-IF(69&lt;Model!$B$15,Model!$B$22,0))/(1-Model!$B$9)/(1+Model!$B$18)^69))</f>
        <v/>
      </c>
      <c r="CF25" s="7">
        <f>IF(A25="","",IF((A25+70)&gt;Model!$B$4,0,MAX(0,Model!$B$6-IF((A25+70)&gt;=Model!$B$11,Model!$B$20,0)-IF(70&lt;Model!$B$15,Model!$B$22,0))/(1-Model!$B$9)/(1+Model!$B$18)^70))</f>
        <v/>
      </c>
      <c r="CG25" s="7">
        <f>IF(A25="","",IF((A25+71)&gt;Model!$B$4,0,MAX(0,Model!$B$6-IF((A25+71)&gt;=Model!$B$11,Model!$B$20,0)-IF(71&lt;Model!$B$15,Model!$B$22,0))/(1-Model!$B$9)/(1+Model!$B$18)^71))</f>
        <v/>
      </c>
      <c r="CH25" s="7">
        <f>IF(A25="","",IF((A25+72)&gt;Model!$B$4,0,MAX(0,Model!$B$6-IF((A25+72)&gt;=Model!$B$11,Model!$B$20,0)-IF(72&lt;Model!$B$15,Model!$B$22,0))/(1-Model!$B$9)/(1+Model!$B$18)^72))</f>
        <v/>
      </c>
      <c r="CI25" s="7">
        <f>IF(A25="","",IF((A25+73)&gt;Model!$B$4,0,MAX(0,Model!$B$6-IF((A25+73)&gt;=Model!$B$11,Model!$B$20,0)-IF(73&lt;Model!$B$15,Model!$B$22,0))/(1-Model!$B$9)/(1+Model!$B$18)^73))</f>
        <v/>
      </c>
      <c r="CJ25" s="7">
        <f>IF(A25="","",IF((A25+74)&gt;Model!$B$4,0,MAX(0,Model!$B$6-IF((A25+74)&gt;=Model!$B$11,Model!$B$20,0)-IF(74&lt;Model!$B$15,Model!$B$22,0))/(1-Model!$B$9)/(1+Model!$B$18)^74))</f>
        <v/>
      </c>
      <c r="CK25" s="7">
        <f>IF(A25="","",IF((A25+75)&gt;Model!$B$4,0,MAX(0,Model!$B$6-IF((A25+75)&gt;=Model!$B$11,Model!$B$20,0)-IF(75&lt;Model!$B$15,Model!$B$22,0))/(1-Model!$B$9)/(1+Model!$B$18)^75))</f>
        <v/>
      </c>
      <c r="CL25" s="7">
        <f>IF(A25="","",IF((A25+76)&gt;Model!$B$4,0,MAX(0,Model!$B$6-IF((A25+76)&gt;=Model!$B$11,Model!$B$20,0)-IF(76&lt;Model!$B$15,Model!$B$22,0))/(1-Model!$B$9)/(1+Model!$B$18)^76))</f>
        <v/>
      </c>
      <c r="CM25" s="7">
        <f>IF(A25="","",IF((A25+77)&gt;Model!$B$4,0,MAX(0,Model!$B$6-IF((A25+77)&gt;=Model!$B$11,Model!$B$20,0)-IF(77&lt;Model!$B$15,Model!$B$22,0))/(1-Model!$B$9)/(1+Model!$B$18)^77))</f>
        <v/>
      </c>
      <c r="CN25" s="7">
        <f>IF(A25="","",IF((A25+78)&gt;Model!$B$4,0,MAX(0,Model!$B$6-IF((A25+78)&gt;=Model!$B$11,Model!$B$20,0)-IF(78&lt;Model!$B$15,Model!$B$22,0))/(1-Model!$B$9)/(1+Model!$B$18)^78))</f>
        <v/>
      </c>
      <c r="CO25" s="7">
        <f>IF(A25="","",IF((A25+79)&gt;Model!$B$4,0,MAX(0,Model!$B$6-IF((A25+79)&gt;=Model!$B$11,Model!$B$20,0)-IF(79&lt;Model!$B$15,Model!$B$22,0))/(1-Model!$B$9)/(1+Model!$B$18)^79))</f>
        <v/>
      </c>
      <c r="CP25" s="7">
        <f>IF(A25="","",IF((A25+80)&gt;Model!$B$4,0,MAX(0,Model!$B$6-IF((A25+80)&gt;=Model!$B$11,Model!$B$20,0)-IF(80&lt;Model!$B$15,Model!$B$22,0))/(1-Model!$B$9)/(1+Model!$B$18)^80))</f>
        <v/>
      </c>
      <c r="CQ25" s="7">
        <f>IF(A25="","",IF((A25+81)&gt;Model!$B$4,0,MAX(0,Model!$B$6-IF((A25+81)&gt;=Model!$B$11,Model!$B$20,0)-IF(81&lt;Model!$B$15,Model!$B$22,0))/(1-Model!$B$9)/(1+Model!$B$18)^81))</f>
        <v/>
      </c>
      <c r="CR25" s="7">
        <f>IF(A25="","",IF((A25+82)&gt;Model!$B$4,0,MAX(0,Model!$B$6-IF((A25+82)&gt;=Model!$B$11,Model!$B$20,0)-IF(82&lt;Model!$B$15,Model!$B$22,0))/(1-Model!$B$9)/(1+Model!$B$18)^82))</f>
        <v/>
      </c>
      <c r="CS25" s="7">
        <f>IF(A25="","",IF((A25+83)&gt;Model!$B$4,0,MAX(0,Model!$B$6-IF((A25+83)&gt;=Model!$B$11,Model!$B$20,0)-IF(83&lt;Model!$B$15,Model!$B$22,0))/(1-Model!$B$9)/(1+Model!$B$18)^83))</f>
        <v/>
      </c>
      <c r="CT25" s="7">
        <f>IF(A25="","",IF((A25+84)&gt;Model!$B$4,0,MAX(0,Model!$B$6-IF((A25+84)&gt;=Model!$B$11,Model!$B$20,0)-IF(84&lt;Model!$B$15,Model!$B$22,0))/(1-Model!$B$9)/(1+Model!$B$18)^84))</f>
        <v/>
      </c>
      <c r="CU25" s="7">
        <f>IF(A25="","",IF((A25+85)&gt;Model!$B$4,0,MAX(0,Model!$B$6-IF((A25+85)&gt;=Model!$B$11,Model!$B$20,0)-IF(85&lt;Model!$B$15,Model!$B$22,0))/(1-Model!$B$9)/(1+Model!$B$18)^85))</f>
        <v/>
      </c>
      <c r="CV25" s="7">
        <f>IF(A25="","",IF((A25+86)&gt;Model!$B$4,0,MAX(0,Model!$B$6-IF((A25+86)&gt;=Model!$B$11,Model!$B$20,0)-IF(86&lt;Model!$B$15,Model!$B$22,0))/(1-Model!$B$9)/(1+Model!$B$18)^86))</f>
        <v/>
      </c>
      <c r="CW25" s="7">
        <f>IF(A25="","",IF((A25+87)&gt;Model!$B$4,0,MAX(0,Model!$B$6-IF((A25+87)&gt;=Model!$B$11,Model!$B$20,0)-IF(87&lt;Model!$B$15,Model!$B$22,0))/(1-Model!$B$9)/(1+Model!$B$18)^87))</f>
        <v/>
      </c>
      <c r="CX25" s="7">
        <f>IF(A25="","",IF((A25+88)&gt;Model!$B$4,0,MAX(0,Model!$B$6-IF((A25+88)&gt;=Model!$B$11,Model!$B$20,0)-IF(88&lt;Model!$B$15,Model!$B$22,0))/(1-Model!$B$9)/(1+Model!$B$18)^88))</f>
        <v/>
      </c>
      <c r="CY25" s="7">
        <f>IF(A25="","",IF((A25+89)&gt;Model!$B$4,0,MAX(0,Model!$B$6-IF((A25+89)&gt;=Model!$B$11,Model!$B$20,0)-IF(89&lt;Model!$B$15,Model!$B$22,0))/(1-Model!$B$9)/(1+Model!$B$18)^89))</f>
        <v/>
      </c>
      <c r="CZ25" s="7">
        <f>IF(A25="","",IF((A25+90)&gt;Model!$B$4,0,MAX(0,Model!$B$6-IF((A25+90)&gt;=Model!$B$11,Model!$B$20,0)-IF(90&lt;Model!$B$15,Model!$B$22,0))/(1-Model!$B$9)/(1+Model!$B$18)^90))</f>
        <v/>
      </c>
      <c r="DA25" s="7">
        <f>IF(A25="","",IF((A25+91)&gt;Model!$B$4,0,MAX(0,Model!$B$6-IF((A25+91)&gt;=Model!$B$11,Model!$B$20,0)-IF(91&lt;Model!$B$15,Model!$B$22,0))/(1-Model!$B$9)/(1+Model!$B$18)^91))</f>
        <v/>
      </c>
      <c r="DB25" s="7">
        <f>IF(A25="","",IF((A25+92)&gt;Model!$B$4,0,MAX(0,Model!$B$6-IF((A25+92)&gt;=Model!$B$11,Model!$B$20,0)-IF(92&lt;Model!$B$15,Model!$B$22,0))/(1-Model!$B$9)/(1+Model!$B$18)^92))</f>
        <v/>
      </c>
      <c r="DC25" s="7">
        <f>IF(A25="","",IF((A25+93)&gt;Model!$B$4,0,MAX(0,Model!$B$6-IF((A25+93)&gt;=Model!$B$11,Model!$B$20,0)-IF(93&lt;Model!$B$15,Model!$B$22,0))/(1-Model!$B$9)/(1+Model!$B$18)^93))</f>
        <v/>
      </c>
      <c r="DD25" s="7">
        <f>IF(A25="","",IF((A25+94)&gt;Model!$B$4,0,MAX(0,Model!$B$6-IF((A25+94)&gt;=Model!$B$11,Model!$B$20,0)-IF(94&lt;Model!$B$15,Model!$B$22,0))/(1-Model!$B$9)/(1+Model!$B$18)^94))</f>
        <v/>
      </c>
      <c r="DE25" s="7">
        <f>IF(A25="","",IF((A25+95)&gt;Model!$B$4,0,MAX(0,Model!$B$6-IF((A25+95)&gt;=Model!$B$11,Model!$B$20,0)-IF(95&lt;Model!$B$15,Model!$B$22,0))/(1-Model!$B$9)/(1+Model!$B$18)^95))</f>
        <v/>
      </c>
      <c r="DF25" s="7">
        <f>IF(A25="","",IF((A25+96)&gt;Model!$B$4,0,MAX(0,Model!$B$6-IF((A25+96)&gt;=Model!$B$11,Model!$B$20,0)-IF(96&lt;Model!$B$15,Model!$B$22,0))/(1-Model!$B$9)/(1+Model!$B$18)^96))</f>
        <v/>
      </c>
      <c r="DG25" s="7">
        <f>IF(A25="","",IF((A25+97)&gt;Model!$B$4,0,MAX(0,Model!$B$6-IF((A25+97)&gt;=Model!$B$11,Model!$B$20,0)-IF(97&lt;Model!$B$15,Model!$B$22,0))/(1-Model!$B$9)/(1+Model!$B$18)^97))</f>
        <v/>
      </c>
      <c r="DH25" s="7">
        <f>IF(A25="","",IF((A25+98)&gt;Model!$B$4,0,MAX(0,Model!$B$6-IF((A25+98)&gt;=Model!$B$11,Model!$B$20,0)-IF(98&lt;Model!$B$15,Model!$B$22,0))/(1-Model!$B$9)/(1+Model!$B$18)^98))</f>
        <v/>
      </c>
      <c r="DI25" s="7">
        <f>IF(A25="","",IF((A25+99)&gt;Model!$B$4,0,MAX(0,Model!$B$6-IF((A25+99)&gt;=Model!$B$11,Model!$B$20,0)-IF(99&lt;Model!$B$15,Model!$B$22,0))/(1-Model!$B$9)/(1+Model!$B$18)^99))</f>
        <v/>
      </c>
      <c r="DJ25" s="7">
        <f>IF(A25="","",IF((A25+100)&gt;Model!$B$4,0,MAX(0,Model!$B$6-IF((A25+100)&gt;=Model!$B$11,Model!$B$20,0)-IF(100&lt;Model!$B$15,Model!$B$22,0))/(1-Model!$B$9)/(1+Model!$B$18)^100))</f>
        <v/>
      </c>
      <c r="DK25" s="7">
        <f>IF(A25="","",IF((A25+101)&gt;Model!$B$4,0,MAX(0,Model!$B$6-IF((A25+101)&gt;=Model!$B$11,Model!$B$20,0)-IF(101&lt;Model!$B$15,Model!$B$22,0))/(1-Model!$B$9)/(1+Model!$B$18)^101))</f>
        <v/>
      </c>
      <c r="DL25" s="7">
        <f>IF(A25="","",IF((A25+102)&gt;Model!$B$4,0,MAX(0,Model!$B$6-IF((A25+102)&gt;=Model!$B$11,Model!$B$20,0)-IF(102&lt;Model!$B$15,Model!$B$22,0))/(1-Model!$B$9)/(1+Model!$B$18)^102))</f>
        <v/>
      </c>
      <c r="DM25" s="7">
        <f>IF(A25="","",IF((A25+103)&gt;Model!$B$4,0,MAX(0,Model!$B$6-IF((A25+103)&gt;=Model!$B$11,Model!$B$20,0)-IF(103&lt;Model!$B$15,Model!$B$22,0))/(1-Model!$B$9)/(1+Model!$B$18)^103))</f>
        <v/>
      </c>
      <c r="DN25" s="7">
        <f>IF(A25="","",IF((A25+104)&gt;Model!$B$4,0,MAX(0,Model!$B$6-IF((A25+104)&gt;=Model!$B$11,Model!$B$20,0)-IF(104&lt;Model!$B$15,Model!$B$22,0))/(1-Model!$B$9)/(1+Model!$B$18)^104))</f>
        <v/>
      </c>
      <c r="DO25" s="7">
        <f>IF(A25="","",IF((A25+105)&gt;Model!$B$4,0,MAX(0,Model!$B$6-IF((A25+105)&gt;=Model!$B$11,Model!$B$20,0)-IF(105&lt;Model!$B$15,Model!$B$22,0))/(1-Model!$B$9)/(1+Model!$B$18)^105))</f>
        <v/>
      </c>
      <c r="DP25" s="7">
        <f>IF(A25="","",IF((A25+106)&gt;Model!$B$4,0,MAX(0,Model!$B$6-IF((A25+106)&gt;=Model!$B$11,Model!$B$20,0)-IF(106&lt;Model!$B$15,Model!$B$22,0))/(1-Model!$B$9)/(1+Model!$B$18)^106))</f>
        <v/>
      </c>
      <c r="DQ25" s="7">
        <f>IF(A25="","",IF((A25+107)&gt;Model!$B$4,0,MAX(0,Model!$B$6-IF((A25+107)&gt;=Model!$B$11,Model!$B$20,0)-IF(107&lt;Model!$B$15,Model!$B$22,0))/(1-Model!$B$9)/(1+Model!$B$18)^107))</f>
        <v/>
      </c>
      <c r="DR25" s="7">
        <f>IF(A25="","",IF((A25+108)&gt;Model!$B$4,0,MAX(0,Model!$B$6-IF((A25+108)&gt;=Model!$B$11,Model!$B$20,0)-IF(108&lt;Model!$B$15,Model!$B$22,0))/(1-Model!$B$9)/(1+Model!$B$18)^108))</f>
        <v/>
      </c>
      <c r="DS25" s="7">
        <f>IF(A25="","",IF((A25+109)&gt;Model!$B$4,0,MAX(0,Model!$B$6-IF((A25+109)&gt;=Model!$B$11,Model!$B$20,0)-IF(109&lt;Model!$B$15,Model!$B$22,0))/(1-Model!$B$9)/(1+Model!$B$18)^109))</f>
        <v/>
      </c>
      <c r="DT25" s="7">
        <f>IF(A25="","",IF((A25+110)&gt;Model!$B$4,0,MAX(0,Model!$B$6-IF((A25+110)&gt;=Model!$B$11,Model!$B$20,0)-IF(110&lt;Model!$B$15,Model!$B$22,0))/(1-Model!$B$9)/(1+Model!$B$18)^110))</f>
        <v/>
      </c>
      <c r="DU25" s="7">
        <f>IF(A25="","",IF((A25+111)&gt;Model!$B$4,0,MAX(0,Model!$B$6-IF((A25+111)&gt;=Model!$B$11,Model!$B$20,0)-IF(111&lt;Model!$B$15,Model!$B$22,0))/(1-Model!$B$9)/(1+Model!$B$18)^111))</f>
        <v/>
      </c>
      <c r="DV25" s="7">
        <f>IF(A25="","",IF((A25+112)&gt;Model!$B$4,0,MAX(0,Model!$B$6-IF((A25+112)&gt;=Model!$B$11,Model!$B$20,0)-IF(112&lt;Model!$B$15,Model!$B$22,0))/(1-Model!$B$9)/(1+Model!$B$18)^112))</f>
        <v/>
      </c>
      <c r="DW25" s="7">
        <f>IF(A25="","",IF((A25+113)&gt;Model!$B$4,0,MAX(0,Model!$B$6-IF((A25+113)&gt;=Model!$B$11,Model!$B$20,0)-IF(113&lt;Model!$B$15,Model!$B$22,0))/(1-Model!$B$9)/(1+Model!$B$18)^113))</f>
        <v/>
      </c>
      <c r="DX25" s="7">
        <f>IF(A25="","",IF((A25+114)&gt;Model!$B$4,0,MAX(0,Model!$B$6-IF((A25+114)&gt;=Model!$B$11,Model!$B$20,0)-IF(114&lt;Model!$B$15,Model!$B$22,0))/(1-Model!$B$9)/(1+Model!$B$18)^114))</f>
        <v/>
      </c>
      <c r="DY25" s="7">
        <f>IF(A25="","",IF((A25+115)&gt;Model!$B$4,0,MAX(0,Model!$B$6-IF((A25+115)&gt;=Model!$B$11,Model!$B$20,0)-IF(115&lt;Model!$B$15,Model!$B$22,0))/(1-Model!$B$9)/(1+Model!$B$18)^115))</f>
        <v/>
      </c>
      <c r="DZ25" s="7">
        <f>IF(A25="","",IF((A25+116)&gt;Model!$B$4,0,MAX(0,Model!$B$6-IF((A25+116)&gt;=Model!$B$11,Model!$B$20,0)-IF(116&lt;Model!$B$15,Model!$B$22,0))/(1-Model!$B$9)/(1+Model!$B$18)^116))</f>
        <v/>
      </c>
      <c r="EA25" s="7">
        <f>IF(A25="","",IF((A25+117)&gt;Model!$B$4,0,MAX(0,Model!$B$6-IF((A25+117)&gt;=Model!$B$11,Model!$B$20,0)-IF(117&lt;Model!$B$15,Model!$B$22,0))/(1-Model!$B$9)/(1+Model!$B$18)^117))</f>
        <v/>
      </c>
      <c r="EB25" s="7">
        <f>IF(A25="","",IF((A25+118)&gt;Model!$B$4,0,MAX(0,Model!$B$6-IF((A25+118)&gt;=Model!$B$11,Model!$B$20,0)-IF(118&lt;Model!$B$15,Model!$B$22,0))/(1-Model!$B$9)/(1+Model!$B$18)^118))</f>
        <v/>
      </c>
      <c r="EC25" s="7">
        <f>IF(A25="","",IF((A25+119)&gt;Model!$B$4,0,MAX(0,Model!$B$6-IF((A25+119)&gt;=Model!$B$11,Model!$B$20,0)-IF(119&lt;Model!$B$15,Model!$B$22,0))/(1-Model!$B$9)/(1+Model!$B$18)^119))</f>
        <v/>
      </c>
      <c r="ED25" s="7">
        <f>IF(A25="","",IF((A25+120)&gt;Model!$B$4,0,MAX(0,Model!$B$6-IF((A25+120)&gt;=Model!$B$11,Model!$B$20,0)-IF(120&lt;Model!$B$15,Model!$B$22,0))/(1-Model!$B$9)/(1+Model!$B$18)^120))</f>
        <v/>
      </c>
    </row>
    <row r="26">
      <c r="A26">
        <f>IF(Model!$B$10+ROW()-2&lt;=Model!$B$4,Model!$B$10+ROW()-2,"")</f>
        <v/>
      </c>
      <c r="B26">
        <f>IF(A26="","",A26-Model!$B$10)</f>
        <v/>
      </c>
      <c r="C26" s="7">
        <f>IF(A26="","",Model!$B$5*(1+Model!$B$18)^B26)</f>
        <v/>
      </c>
      <c r="D26" s="7">
        <f>IF(A26="","",SUM(N26:ED26))</f>
        <v/>
      </c>
      <c r="E26" s="7">
        <f>IF(A26="","",IF(A26&gt;=Model!$B$11,Model!$B$20,0))</f>
        <v/>
      </c>
      <c r="F26" s="7">
        <f>IF(A26="","",IF(Model!$B$15&gt;0,Model!$B$22,0))</f>
        <v/>
      </c>
      <c r="G26" s="7">
        <f>IF(A26="","",E26+F26)</f>
        <v/>
      </c>
      <c r="H26" s="7">
        <f>IF(A26="","",MAX(0,Model!$B$6-G26))</f>
        <v/>
      </c>
      <c r="I26" s="7">
        <f>IF(A26="","",H26/(1-Model!$B$9))</f>
        <v/>
      </c>
      <c r="J26" s="7">
        <f>IF(A26="","",C26-D26)</f>
        <v/>
      </c>
      <c r="K26">
        <f>IF(A26="","",C26&gt;=D26)</f>
        <v/>
      </c>
      <c r="L26" s="7">
        <f>IF(A26="","",IF(A26&gt;=Model!$B$11,Model!$B$19*(1+Model!$B$13)^B26,0))</f>
        <v/>
      </c>
      <c r="M26" s="7">
        <f>IF(A26="","",IF(Model!$B$15&gt;0,Model!$B$21*(1+Model!$B$13)^B26,0))</f>
        <v/>
      </c>
      <c r="N26" s="7">
        <f>IF(A26="","",IF((A26+0)&gt;Model!$B$4,0,MAX(0,Model!$B$6-IF((A26+0)&gt;=Model!$B$11,Model!$B$20,0)-IF(0&lt;Model!$B$15,Model!$B$22,0))/(1-Model!$B$9)/(1+Model!$B$18)^0))</f>
        <v/>
      </c>
      <c r="O26" s="7">
        <f>IF(A26="","",IF((A26+1)&gt;Model!$B$4,0,MAX(0,Model!$B$6-IF((A26+1)&gt;=Model!$B$11,Model!$B$20,0)-IF(1&lt;Model!$B$15,Model!$B$22,0))/(1-Model!$B$9)/(1+Model!$B$18)^1))</f>
        <v/>
      </c>
      <c r="P26" s="7">
        <f>IF(A26="","",IF((A26+2)&gt;Model!$B$4,0,MAX(0,Model!$B$6-IF((A26+2)&gt;=Model!$B$11,Model!$B$20,0)-IF(2&lt;Model!$B$15,Model!$B$22,0))/(1-Model!$B$9)/(1+Model!$B$18)^2))</f>
        <v/>
      </c>
      <c r="Q26" s="7">
        <f>IF(A26="","",IF((A26+3)&gt;Model!$B$4,0,MAX(0,Model!$B$6-IF((A26+3)&gt;=Model!$B$11,Model!$B$20,0)-IF(3&lt;Model!$B$15,Model!$B$22,0))/(1-Model!$B$9)/(1+Model!$B$18)^3))</f>
        <v/>
      </c>
      <c r="R26" s="7">
        <f>IF(A26="","",IF((A26+4)&gt;Model!$B$4,0,MAX(0,Model!$B$6-IF((A26+4)&gt;=Model!$B$11,Model!$B$20,0)-IF(4&lt;Model!$B$15,Model!$B$22,0))/(1-Model!$B$9)/(1+Model!$B$18)^4))</f>
        <v/>
      </c>
      <c r="S26" s="7">
        <f>IF(A26="","",IF((A26+5)&gt;Model!$B$4,0,MAX(0,Model!$B$6-IF((A26+5)&gt;=Model!$B$11,Model!$B$20,0)-IF(5&lt;Model!$B$15,Model!$B$22,0))/(1-Model!$B$9)/(1+Model!$B$18)^5))</f>
        <v/>
      </c>
      <c r="T26" s="7">
        <f>IF(A26="","",IF((A26+6)&gt;Model!$B$4,0,MAX(0,Model!$B$6-IF((A26+6)&gt;=Model!$B$11,Model!$B$20,0)-IF(6&lt;Model!$B$15,Model!$B$22,0))/(1-Model!$B$9)/(1+Model!$B$18)^6))</f>
        <v/>
      </c>
      <c r="U26" s="7">
        <f>IF(A26="","",IF((A26+7)&gt;Model!$B$4,0,MAX(0,Model!$B$6-IF((A26+7)&gt;=Model!$B$11,Model!$B$20,0)-IF(7&lt;Model!$B$15,Model!$B$22,0))/(1-Model!$B$9)/(1+Model!$B$18)^7))</f>
        <v/>
      </c>
      <c r="V26" s="7">
        <f>IF(A26="","",IF((A26+8)&gt;Model!$B$4,0,MAX(0,Model!$B$6-IF((A26+8)&gt;=Model!$B$11,Model!$B$20,0)-IF(8&lt;Model!$B$15,Model!$B$22,0))/(1-Model!$B$9)/(1+Model!$B$18)^8))</f>
        <v/>
      </c>
      <c r="W26" s="7">
        <f>IF(A26="","",IF((A26+9)&gt;Model!$B$4,0,MAX(0,Model!$B$6-IF((A26+9)&gt;=Model!$B$11,Model!$B$20,0)-IF(9&lt;Model!$B$15,Model!$B$22,0))/(1-Model!$B$9)/(1+Model!$B$18)^9))</f>
        <v/>
      </c>
      <c r="X26" s="7">
        <f>IF(A26="","",IF((A26+10)&gt;Model!$B$4,0,MAX(0,Model!$B$6-IF((A26+10)&gt;=Model!$B$11,Model!$B$20,0)-IF(10&lt;Model!$B$15,Model!$B$22,0))/(1-Model!$B$9)/(1+Model!$B$18)^10))</f>
        <v/>
      </c>
      <c r="Y26" s="7">
        <f>IF(A26="","",IF((A26+11)&gt;Model!$B$4,0,MAX(0,Model!$B$6-IF((A26+11)&gt;=Model!$B$11,Model!$B$20,0)-IF(11&lt;Model!$B$15,Model!$B$22,0))/(1-Model!$B$9)/(1+Model!$B$18)^11))</f>
        <v/>
      </c>
      <c r="Z26" s="7">
        <f>IF(A26="","",IF((A26+12)&gt;Model!$B$4,0,MAX(0,Model!$B$6-IF((A26+12)&gt;=Model!$B$11,Model!$B$20,0)-IF(12&lt;Model!$B$15,Model!$B$22,0))/(1-Model!$B$9)/(1+Model!$B$18)^12))</f>
        <v/>
      </c>
      <c r="AA26" s="7">
        <f>IF(A26="","",IF((A26+13)&gt;Model!$B$4,0,MAX(0,Model!$B$6-IF((A26+13)&gt;=Model!$B$11,Model!$B$20,0)-IF(13&lt;Model!$B$15,Model!$B$22,0))/(1-Model!$B$9)/(1+Model!$B$18)^13))</f>
        <v/>
      </c>
      <c r="AB26" s="7">
        <f>IF(A26="","",IF((A26+14)&gt;Model!$B$4,0,MAX(0,Model!$B$6-IF((A26+14)&gt;=Model!$B$11,Model!$B$20,0)-IF(14&lt;Model!$B$15,Model!$B$22,0))/(1-Model!$B$9)/(1+Model!$B$18)^14))</f>
        <v/>
      </c>
      <c r="AC26" s="7">
        <f>IF(A26="","",IF((A26+15)&gt;Model!$B$4,0,MAX(0,Model!$B$6-IF((A26+15)&gt;=Model!$B$11,Model!$B$20,0)-IF(15&lt;Model!$B$15,Model!$B$22,0))/(1-Model!$B$9)/(1+Model!$B$18)^15))</f>
        <v/>
      </c>
      <c r="AD26" s="7">
        <f>IF(A26="","",IF((A26+16)&gt;Model!$B$4,0,MAX(0,Model!$B$6-IF((A26+16)&gt;=Model!$B$11,Model!$B$20,0)-IF(16&lt;Model!$B$15,Model!$B$22,0))/(1-Model!$B$9)/(1+Model!$B$18)^16))</f>
        <v/>
      </c>
      <c r="AE26" s="7">
        <f>IF(A26="","",IF((A26+17)&gt;Model!$B$4,0,MAX(0,Model!$B$6-IF((A26+17)&gt;=Model!$B$11,Model!$B$20,0)-IF(17&lt;Model!$B$15,Model!$B$22,0))/(1-Model!$B$9)/(1+Model!$B$18)^17))</f>
        <v/>
      </c>
      <c r="AF26" s="7">
        <f>IF(A26="","",IF((A26+18)&gt;Model!$B$4,0,MAX(0,Model!$B$6-IF((A26+18)&gt;=Model!$B$11,Model!$B$20,0)-IF(18&lt;Model!$B$15,Model!$B$22,0))/(1-Model!$B$9)/(1+Model!$B$18)^18))</f>
        <v/>
      </c>
      <c r="AG26" s="7">
        <f>IF(A26="","",IF((A26+19)&gt;Model!$B$4,0,MAX(0,Model!$B$6-IF((A26+19)&gt;=Model!$B$11,Model!$B$20,0)-IF(19&lt;Model!$B$15,Model!$B$22,0))/(1-Model!$B$9)/(1+Model!$B$18)^19))</f>
        <v/>
      </c>
      <c r="AH26" s="7">
        <f>IF(A26="","",IF((A26+20)&gt;Model!$B$4,0,MAX(0,Model!$B$6-IF((A26+20)&gt;=Model!$B$11,Model!$B$20,0)-IF(20&lt;Model!$B$15,Model!$B$22,0))/(1-Model!$B$9)/(1+Model!$B$18)^20))</f>
        <v/>
      </c>
      <c r="AI26" s="7">
        <f>IF(A26="","",IF((A26+21)&gt;Model!$B$4,0,MAX(0,Model!$B$6-IF((A26+21)&gt;=Model!$B$11,Model!$B$20,0)-IF(21&lt;Model!$B$15,Model!$B$22,0))/(1-Model!$B$9)/(1+Model!$B$18)^21))</f>
        <v/>
      </c>
      <c r="AJ26" s="7">
        <f>IF(A26="","",IF((A26+22)&gt;Model!$B$4,0,MAX(0,Model!$B$6-IF((A26+22)&gt;=Model!$B$11,Model!$B$20,0)-IF(22&lt;Model!$B$15,Model!$B$22,0))/(1-Model!$B$9)/(1+Model!$B$18)^22))</f>
        <v/>
      </c>
      <c r="AK26" s="7">
        <f>IF(A26="","",IF((A26+23)&gt;Model!$B$4,0,MAX(0,Model!$B$6-IF((A26+23)&gt;=Model!$B$11,Model!$B$20,0)-IF(23&lt;Model!$B$15,Model!$B$22,0))/(1-Model!$B$9)/(1+Model!$B$18)^23))</f>
        <v/>
      </c>
      <c r="AL26" s="7">
        <f>IF(A26="","",IF((A26+24)&gt;Model!$B$4,0,MAX(0,Model!$B$6-IF((A26+24)&gt;=Model!$B$11,Model!$B$20,0)-IF(24&lt;Model!$B$15,Model!$B$22,0))/(1-Model!$B$9)/(1+Model!$B$18)^24))</f>
        <v/>
      </c>
      <c r="AM26" s="7">
        <f>IF(A26="","",IF((A26+25)&gt;Model!$B$4,0,MAX(0,Model!$B$6-IF((A26+25)&gt;=Model!$B$11,Model!$B$20,0)-IF(25&lt;Model!$B$15,Model!$B$22,0))/(1-Model!$B$9)/(1+Model!$B$18)^25))</f>
        <v/>
      </c>
      <c r="AN26" s="7">
        <f>IF(A26="","",IF((A26+26)&gt;Model!$B$4,0,MAX(0,Model!$B$6-IF((A26+26)&gt;=Model!$B$11,Model!$B$20,0)-IF(26&lt;Model!$B$15,Model!$B$22,0))/(1-Model!$B$9)/(1+Model!$B$18)^26))</f>
        <v/>
      </c>
      <c r="AO26" s="7">
        <f>IF(A26="","",IF((A26+27)&gt;Model!$B$4,0,MAX(0,Model!$B$6-IF((A26+27)&gt;=Model!$B$11,Model!$B$20,0)-IF(27&lt;Model!$B$15,Model!$B$22,0))/(1-Model!$B$9)/(1+Model!$B$18)^27))</f>
        <v/>
      </c>
      <c r="AP26" s="7">
        <f>IF(A26="","",IF((A26+28)&gt;Model!$B$4,0,MAX(0,Model!$B$6-IF((A26+28)&gt;=Model!$B$11,Model!$B$20,0)-IF(28&lt;Model!$B$15,Model!$B$22,0))/(1-Model!$B$9)/(1+Model!$B$18)^28))</f>
        <v/>
      </c>
      <c r="AQ26" s="7">
        <f>IF(A26="","",IF((A26+29)&gt;Model!$B$4,0,MAX(0,Model!$B$6-IF((A26+29)&gt;=Model!$B$11,Model!$B$20,0)-IF(29&lt;Model!$B$15,Model!$B$22,0))/(1-Model!$B$9)/(1+Model!$B$18)^29))</f>
        <v/>
      </c>
      <c r="AR26" s="7">
        <f>IF(A26="","",IF((A26+30)&gt;Model!$B$4,0,MAX(0,Model!$B$6-IF((A26+30)&gt;=Model!$B$11,Model!$B$20,0)-IF(30&lt;Model!$B$15,Model!$B$22,0))/(1-Model!$B$9)/(1+Model!$B$18)^30))</f>
        <v/>
      </c>
      <c r="AS26" s="7">
        <f>IF(A26="","",IF((A26+31)&gt;Model!$B$4,0,MAX(0,Model!$B$6-IF((A26+31)&gt;=Model!$B$11,Model!$B$20,0)-IF(31&lt;Model!$B$15,Model!$B$22,0))/(1-Model!$B$9)/(1+Model!$B$18)^31))</f>
        <v/>
      </c>
      <c r="AT26" s="7">
        <f>IF(A26="","",IF((A26+32)&gt;Model!$B$4,0,MAX(0,Model!$B$6-IF((A26+32)&gt;=Model!$B$11,Model!$B$20,0)-IF(32&lt;Model!$B$15,Model!$B$22,0))/(1-Model!$B$9)/(1+Model!$B$18)^32))</f>
        <v/>
      </c>
      <c r="AU26" s="7">
        <f>IF(A26="","",IF((A26+33)&gt;Model!$B$4,0,MAX(0,Model!$B$6-IF((A26+33)&gt;=Model!$B$11,Model!$B$20,0)-IF(33&lt;Model!$B$15,Model!$B$22,0))/(1-Model!$B$9)/(1+Model!$B$18)^33))</f>
        <v/>
      </c>
      <c r="AV26" s="7">
        <f>IF(A26="","",IF((A26+34)&gt;Model!$B$4,0,MAX(0,Model!$B$6-IF((A26+34)&gt;=Model!$B$11,Model!$B$20,0)-IF(34&lt;Model!$B$15,Model!$B$22,0))/(1-Model!$B$9)/(1+Model!$B$18)^34))</f>
        <v/>
      </c>
      <c r="AW26" s="7">
        <f>IF(A26="","",IF((A26+35)&gt;Model!$B$4,0,MAX(0,Model!$B$6-IF((A26+35)&gt;=Model!$B$11,Model!$B$20,0)-IF(35&lt;Model!$B$15,Model!$B$22,0))/(1-Model!$B$9)/(1+Model!$B$18)^35))</f>
        <v/>
      </c>
      <c r="AX26" s="7">
        <f>IF(A26="","",IF((A26+36)&gt;Model!$B$4,0,MAX(0,Model!$B$6-IF((A26+36)&gt;=Model!$B$11,Model!$B$20,0)-IF(36&lt;Model!$B$15,Model!$B$22,0))/(1-Model!$B$9)/(1+Model!$B$18)^36))</f>
        <v/>
      </c>
      <c r="AY26" s="7">
        <f>IF(A26="","",IF((A26+37)&gt;Model!$B$4,0,MAX(0,Model!$B$6-IF((A26+37)&gt;=Model!$B$11,Model!$B$20,0)-IF(37&lt;Model!$B$15,Model!$B$22,0))/(1-Model!$B$9)/(1+Model!$B$18)^37))</f>
        <v/>
      </c>
      <c r="AZ26" s="7">
        <f>IF(A26="","",IF((A26+38)&gt;Model!$B$4,0,MAX(0,Model!$B$6-IF((A26+38)&gt;=Model!$B$11,Model!$B$20,0)-IF(38&lt;Model!$B$15,Model!$B$22,0))/(1-Model!$B$9)/(1+Model!$B$18)^38))</f>
        <v/>
      </c>
      <c r="BA26" s="7">
        <f>IF(A26="","",IF((A26+39)&gt;Model!$B$4,0,MAX(0,Model!$B$6-IF((A26+39)&gt;=Model!$B$11,Model!$B$20,0)-IF(39&lt;Model!$B$15,Model!$B$22,0))/(1-Model!$B$9)/(1+Model!$B$18)^39))</f>
        <v/>
      </c>
      <c r="BB26" s="7">
        <f>IF(A26="","",IF((A26+40)&gt;Model!$B$4,0,MAX(0,Model!$B$6-IF((A26+40)&gt;=Model!$B$11,Model!$B$20,0)-IF(40&lt;Model!$B$15,Model!$B$22,0))/(1-Model!$B$9)/(1+Model!$B$18)^40))</f>
        <v/>
      </c>
      <c r="BC26" s="7">
        <f>IF(A26="","",IF((A26+41)&gt;Model!$B$4,0,MAX(0,Model!$B$6-IF((A26+41)&gt;=Model!$B$11,Model!$B$20,0)-IF(41&lt;Model!$B$15,Model!$B$22,0))/(1-Model!$B$9)/(1+Model!$B$18)^41))</f>
        <v/>
      </c>
      <c r="BD26" s="7">
        <f>IF(A26="","",IF((A26+42)&gt;Model!$B$4,0,MAX(0,Model!$B$6-IF((A26+42)&gt;=Model!$B$11,Model!$B$20,0)-IF(42&lt;Model!$B$15,Model!$B$22,0))/(1-Model!$B$9)/(1+Model!$B$18)^42))</f>
        <v/>
      </c>
      <c r="BE26" s="7">
        <f>IF(A26="","",IF((A26+43)&gt;Model!$B$4,0,MAX(0,Model!$B$6-IF((A26+43)&gt;=Model!$B$11,Model!$B$20,0)-IF(43&lt;Model!$B$15,Model!$B$22,0))/(1-Model!$B$9)/(1+Model!$B$18)^43))</f>
        <v/>
      </c>
      <c r="BF26" s="7">
        <f>IF(A26="","",IF((A26+44)&gt;Model!$B$4,0,MAX(0,Model!$B$6-IF((A26+44)&gt;=Model!$B$11,Model!$B$20,0)-IF(44&lt;Model!$B$15,Model!$B$22,0))/(1-Model!$B$9)/(1+Model!$B$18)^44))</f>
        <v/>
      </c>
      <c r="BG26" s="7">
        <f>IF(A26="","",IF((A26+45)&gt;Model!$B$4,0,MAX(0,Model!$B$6-IF((A26+45)&gt;=Model!$B$11,Model!$B$20,0)-IF(45&lt;Model!$B$15,Model!$B$22,0))/(1-Model!$B$9)/(1+Model!$B$18)^45))</f>
        <v/>
      </c>
      <c r="BH26" s="7">
        <f>IF(A26="","",IF((A26+46)&gt;Model!$B$4,0,MAX(0,Model!$B$6-IF((A26+46)&gt;=Model!$B$11,Model!$B$20,0)-IF(46&lt;Model!$B$15,Model!$B$22,0))/(1-Model!$B$9)/(1+Model!$B$18)^46))</f>
        <v/>
      </c>
      <c r="BI26" s="7">
        <f>IF(A26="","",IF((A26+47)&gt;Model!$B$4,0,MAX(0,Model!$B$6-IF((A26+47)&gt;=Model!$B$11,Model!$B$20,0)-IF(47&lt;Model!$B$15,Model!$B$22,0))/(1-Model!$B$9)/(1+Model!$B$18)^47))</f>
        <v/>
      </c>
      <c r="BJ26" s="7">
        <f>IF(A26="","",IF((A26+48)&gt;Model!$B$4,0,MAX(0,Model!$B$6-IF((A26+48)&gt;=Model!$B$11,Model!$B$20,0)-IF(48&lt;Model!$B$15,Model!$B$22,0))/(1-Model!$B$9)/(1+Model!$B$18)^48))</f>
        <v/>
      </c>
      <c r="BK26" s="7">
        <f>IF(A26="","",IF((A26+49)&gt;Model!$B$4,0,MAX(0,Model!$B$6-IF((A26+49)&gt;=Model!$B$11,Model!$B$20,0)-IF(49&lt;Model!$B$15,Model!$B$22,0))/(1-Model!$B$9)/(1+Model!$B$18)^49))</f>
        <v/>
      </c>
      <c r="BL26" s="7">
        <f>IF(A26="","",IF((A26+50)&gt;Model!$B$4,0,MAX(0,Model!$B$6-IF((A26+50)&gt;=Model!$B$11,Model!$B$20,0)-IF(50&lt;Model!$B$15,Model!$B$22,0))/(1-Model!$B$9)/(1+Model!$B$18)^50))</f>
        <v/>
      </c>
      <c r="BM26" s="7">
        <f>IF(A26="","",IF((A26+51)&gt;Model!$B$4,0,MAX(0,Model!$B$6-IF((A26+51)&gt;=Model!$B$11,Model!$B$20,0)-IF(51&lt;Model!$B$15,Model!$B$22,0))/(1-Model!$B$9)/(1+Model!$B$18)^51))</f>
        <v/>
      </c>
      <c r="BN26" s="7">
        <f>IF(A26="","",IF((A26+52)&gt;Model!$B$4,0,MAX(0,Model!$B$6-IF((A26+52)&gt;=Model!$B$11,Model!$B$20,0)-IF(52&lt;Model!$B$15,Model!$B$22,0))/(1-Model!$B$9)/(1+Model!$B$18)^52))</f>
        <v/>
      </c>
      <c r="BO26" s="7">
        <f>IF(A26="","",IF((A26+53)&gt;Model!$B$4,0,MAX(0,Model!$B$6-IF((A26+53)&gt;=Model!$B$11,Model!$B$20,0)-IF(53&lt;Model!$B$15,Model!$B$22,0))/(1-Model!$B$9)/(1+Model!$B$18)^53))</f>
        <v/>
      </c>
      <c r="BP26" s="7">
        <f>IF(A26="","",IF((A26+54)&gt;Model!$B$4,0,MAX(0,Model!$B$6-IF((A26+54)&gt;=Model!$B$11,Model!$B$20,0)-IF(54&lt;Model!$B$15,Model!$B$22,0))/(1-Model!$B$9)/(1+Model!$B$18)^54))</f>
        <v/>
      </c>
      <c r="BQ26" s="7">
        <f>IF(A26="","",IF((A26+55)&gt;Model!$B$4,0,MAX(0,Model!$B$6-IF((A26+55)&gt;=Model!$B$11,Model!$B$20,0)-IF(55&lt;Model!$B$15,Model!$B$22,0))/(1-Model!$B$9)/(1+Model!$B$18)^55))</f>
        <v/>
      </c>
      <c r="BR26" s="7">
        <f>IF(A26="","",IF((A26+56)&gt;Model!$B$4,0,MAX(0,Model!$B$6-IF((A26+56)&gt;=Model!$B$11,Model!$B$20,0)-IF(56&lt;Model!$B$15,Model!$B$22,0))/(1-Model!$B$9)/(1+Model!$B$18)^56))</f>
        <v/>
      </c>
      <c r="BS26" s="7">
        <f>IF(A26="","",IF((A26+57)&gt;Model!$B$4,0,MAX(0,Model!$B$6-IF((A26+57)&gt;=Model!$B$11,Model!$B$20,0)-IF(57&lt;Model!$B$15,Model!$B$22,0))/(1-Model!$B$9)/(1+Model!$B$18)^57))</f>
        <v/>
      </c>
      <c r="BT26" s="7">
        <f>IF(A26="","",IF((A26+58)&gt;Model!$B$4,0,MAX(0,Model!$B$6-IF((A26+58)&gt;=Model!$B$11,Model!$B$20,0)-IF(58&lt;Model!$B$15,Model!$B$22,0))/(1-Model!$B$9)/(1+Model!$B$18)^58))</f>
        <v/>
      </c>
      <c r="BU26" s="7">
        <f>IF(A26="","",IF((A26+59)&gt;Model!$B$4,0,MAX(0,Model!$B$6-IF((A26+59)&gt;=Model!$B$11,Model!$B$20,0)-IF(59&lt;Model!$B$15,Model!$B$22,0))/(1-Model!$B$9)/(1+Model!$B$18)^59))</f>
        <v/>
      </c>
      <c r="BV26" s="7">
        <f>IF(A26="","",IF((A26+60)&gt;Model!$B$4,0,MAX(0,Model!$B$6-IF((A26+60)&gt;=Model!$B$11,Model!$B$20,0)-IF(60&lt;Model!$B$15,Model!$B$22,0))/(1-Model!$B$9)/(1+Model!$B$18)^60))</f>
        <v/>
      </c>
      <c r="BW26" s="7">
        <f>IF(A26="","",IF((A26+61)&gt;Model!$B$4,0,MAX(0,Model!$B$6-IF((A26+61)&gt;=Model!$B$11,Model!$B$20,0)-IF(61&lt;Model!$B$15,Model!$B$22,0))/(1-Model!$B$9)/(1+Model!$B$18)^61))</f>
        <v/>
      </c>
      <c r="BX26" s="7">
        <f>IF(A26="","",IF((A26+62)&gt;Model!$B$4,0,MAX(0,Model!$B$6-IF((A26+62)&gt;=Model!$B$11,Model!$B$20,0)-IF(62&lt;Model!$B$15,Model!$B$22,0))/(1-Model!$B$9)/(1+Model!$B$18)^62))</f>
        <v/>
      </c>
      <c r="BY26" s="7">
        <f>IF(A26="","",IF((A26+63)&gt;Model!$B$4,0,MAX(0,Model!$B$6-IF((A26+63)&gt;=Model!$B$11,Model!$B$20,0)-IF(63&lt;Model!$B$15,Model!$B$22,0))/(1-Model!$B$9)/(1+Model!$B$18)^63))</f>
        <v/>
      </c>
      <c r="BZ26" s="7">
        <f>IF(A26="","",IF((A26+64)&gt;Model!$B$4,0,MAX(0,Model!$B$6-IF((A26+64)&gt;=Model!$B$11,Model!$B$20,0)-IF(64&lt;Model!$B$15,Model!$B$22,0))/(1-Model!$B$9)/(1+Model!$B$18)^64))</f>
        <v/>
      </c>
      <c r="CA26" s="7">
        <f>IF(A26="","",IF((A26+65)&gt;Model!$B$4,0,MAX(0,Model!$B$6-IF((A26+65)&gt;=Model!$B$11,Model!$B$20,0)-IF(65&lt;Model!$B$15,Model!$B$22,0))/(1-Model!$B$9)/(1+Model!$B$18)^65))</f>
        <v/>
      </c>
      <c r="CB26" s="7">
        <f>IF(A26="","",IF((A26+66)&gt;Model!$B$4,0,MAX(0,Model!$B$6-IF((A26+66)&gt;=Model!$B$11,Model!$B$20,0)-IF(66&lt;Model!$B$15,Model!$B$22,0))/(1-Model!$B$9)/(1+Model!$B$18)^66))</f>
        <v/>
      </c>
      <c r="CC26" s="7">
        <f>IF(A26="","",IF((A26+67)&gt;Model!$B$4,0,MAX(0,Model!$B$6-IF((A26+67)&gt;=Model!$B$11,Model!$B$20,0)-IF(67&lt;Model!$B$15,Model!$B$22,0))/(1-Model!$B$9)/(1+Model!$B$18)^67))</f>
        <v/>
      </c>
      <c r="CD26" s="7">
        <f>IF(A26="","",IF((A26+68)&gt;Model!$B$4,0,MAX(0,Model!$B$6-IF((A26+68)&gt;=Model!$B$11,Model!$B$20,0)-IF(68&lt;Model!$B$15,Model!$B$22,0))/(1-Model!$B$9)/(1+Model!$B$18)^68))</f>
        <v/>
      </c>
      <c r="CE26" s="7">
        <f>IF(A26="","",IF((A26+69)&gt;Model!$B$4,0,MAX(0,Model!$B$6-IF((A26+69)&gt;=Model!$B$11,Model!$B$20,0)-IF(69&lt;Model!$B$15,Model!$B$22,0))/(1-Model!$B$9)/(1+Model!$B$18)^69))</f>
        <v/>
      </c>
      <c r="CF26" s="7">
        <f>IF(A26="","",IF((A26+70)&gt;Model!$B$4,0,MAX(0,Model!$B$6-IF((A26+70)&gt;=Model!$B$11,Model!$B$20,0)-IF(70&lt;Model!$B$15,Model!$B$22,0))/(1-Model!$B$9)/(1+Model!$B$18)^70))</f>
        <v/>
      </c>
      <c r="CG26" s="7">
        <f>IF(A26="","",IF((A26+71)&gt;Model!$B$4,0,MAX(0,Model!$B$6-IF((A26+71)&gt;=Model!$B$11,Model!$B$20,0)-IF(71&lt;Model!$B$15,Model!$B$22,0))/(1-Model!$B$9)/(1+Model!$B$18)^71))</f>
        <v/>
      </c>
      <c r="CH26" s="7">
        <f>IF(A26="","",IF((A26+72)&gt;Model!$B$4,0,MAX(0,Model!$B$6-IF((A26+72)&gt;=Model!$B$11,Model!$B$20,0)-IF(72&lt;Model!$B$15,Model!$B$22,0))/(1-Model!$B$9)/(1+Model!$B$18)^72))</f>
        <v/>
      </c>
      <c r="CI26" s="7">
        <f>IF(A26="","",IF((A26+73)&gt;Model!$B$4,0,MAX(0,Model!$B$6-IF((A26+73)&gt;=Model!$B$11,Model!$B$20,0)-IF(73&lt;Model!$B$15,Model!$B$22,0))/(1-Model!$B$9)/(1+Model!$B$18)^73))</f>
        <v/>
      </c>
      <c r="CJ26" s="7">
        <f>IF(A26="","",IF((A26+74)&gt;Model!$B$4,0,MAX(0,Model!$B$6-IF((A26+74)&gt;=Model!$B$11,Model!$B$20,0)-IF(74&lt;Model!$B$15,Model!$B$22,0))/(1-Model!$B$9)/(1+Model!$B$18)^74))</f>
        <v/>
      </c>
      <c r="CK26" s="7">
        <f>IF(A26="","",IF((A26+75)&gt;Model!$B$4,0,MAX(0,Model!$B$6-IF((A26+75)&gt;=Model!$B$11,Model!$B$20,0)-IF(75&lt;Model!$B$15,Model!$B$22,0))/(1-Model!$B$9)/(1+Model!$B$18)^75))</f>
        <v/>
      </c>
      <c r="CL26" s="7">
        <f>IF(A26="","",IF((A26+76)&gt;Model!$B$4,0,MAX(0,Model!$B$6-IF((A26+76)&gt;=Model!$B$11,Model!$B$20,0)-IF(76&lt;Model!$B$15,Model!$B$22,0))/(1-Model!$B$9)/(1+Model!$B$18)^76))</f>
        <v/>
      </c>
      <c r="CM26" s="7">
        <f>IF(A26="","",IF((A26+77)&gt;Model!$B$4,0,MAX(0,Model!$B$6-IF((A26+77)&gt;=Model!$B$11,Model!$B$20,0)-IF(77&lt;Model!$B$15,Model!$B$22,0))/(1-Model!$B$9)/(1+Model!$B$18)^77))</f>
        <v/>
      </c>
      <c r="CN26" s="7">
        <f>IF(A26="","",IF((A26+78)&gt;Model!$B$4,0,MAX(0,Model!$B$6-IF((A26+78)&gt;=Model!$B$11,Model!$B$20,0)-IF(78&lt;Model!$B$15,Model!$B$22,0))/(1-Model!$B$9)/(1+Model!$B$18)^78))</f>
        <v/>
      </c>
      <c r="CO26" s="7">
        <f>IF(A26="","",IF((A26+79)&gt;Model!$B$4,0,MAX(0,Model!$B$6-IF((A26+79)&gt;=Model!$B$11,Model!$B$20,0)-IF(79&lt;Model!$B$15,Model!$B$22,0))/(1-Model!$B$9)/(1+Model!$B$18)^79))</f>
        <v/>
      </c>
      <c r="CP26" s="7">
        <f>IF(A26="","",IF((A26+80)&gt;Model!$B$4,0,MAX(0,Model!$B$6-IF((A26+80)&gt;=Model!$B$11,Model!$B$20,0)-IF(80&lt;Model!$B$15,Model!$B$22,0))/(1-Model!$B$9)/(1+Model!$B$18)^80))</f>
        <v/>
      </c>
      <c r="CQ26" s="7">
        <f>IF(A26="","",IF((A26+81)&gt;Model!$B$4,0,MAX(0,Model!$B$6-IF((A26+81)&gt;=Model!$B$11,Model!$B$20,0)-IF(81&lt;Model!$B$15,Model!$B$22,0))/(1-Model!$B$9)/(1+Model!$B$18)^81))</f>
        <v/>
      </c>
      <c r="CR26" s="7">
        <f>IF(A26="","",IF((A26+82)&gt;Model!$B$4,0,MAX(0,Model!$B$6-IF((A26+82)&gt;=Model!$B$11,Model!$B$20,0)-IF(82&lt;Model!$B$15,Model!$B$22,0))/(1-Model!$B$9)/(1+Model!$B$18)^82))</f>
        <v/>
      </c>
      <c r="CS26" s="7">
        <f>IF(A26="","",IF((A26+83)&gt;Model!$B$4,0,MAX(0,Model!$B$6-IF((A26+83)&gt;=Model!$B$11,Model!$B$20,0)-IF(83&lt;Model!$B$15,Model!$B$22,0))/(1-Model!$B$9)/(1+Model!$B$18)^83))</f>
        <v/>
      </c>
      <c r="CT26" s="7">
        <f>IF(A26="","",IF((A26+84)&gt;Model!$B$4,0,MAX(0,Model!$B$6-IF((A26+84)&gt;=Model!$B$11,Model!$B$20,0)-IF(84&lt;Model!$B$15,Model!$B$22,0))/(1-Model!$B$9)/(1+Model!$B$18)^84))</f>
        <v/>
      </c>
      <c r="CU26" s="7">
        <f>IF(A26="","",IF((A26+85)&gt;Model!$B$4,0,MAX(0,Model!$B$6-IF((A26+85)&gt;=Model!$B$11,Model!$B$20,0)-IF(85&lt;Model!$B$15,Model!$B$22,0))/(1-Model!$B$9)/(1+Model!$B$18)^85))</f>
        <v/>
      </c>
      <c r="CV26" s="7">
        <f>IF(A26="","",IF((A26+86)&gt;Model!$B$4,0,MAX(0,Model!$B$6-IF((A26+86)&gt;=Model!$B$11,Model!$B$20,0)-IF(86&lt;Model!$B$15,Model!$B$22,0))/(1-Model!$B$9)/(1+Model!$B$18)^86))</f>
        <v/>
      </c>
      <c r="CW26" s="7">
        <f>IF(A26="","",IF((A26+87)&gt;Model!$B$4,0,MAX(0,Model!$B$6-IF((A26+87)&gt;=Model!$B$11,Model!$B$20,0)-IF(87&lt;Model!$B$15,Model!$B$22,0))/(1-Model!$B$9)/(1+Model!$B$18)^87))</f>
        <v/>
      </c>
      <c r="CX26" s="7">
        <f>IF(A26="","",IF((A26+88)&gt;Model!$B$4,0,MAX(0,Model!$B$6-IF((A26+88)&gt;=Model!$B$11,Model!$B$20,0)-IF(88&lt;Model!$B$15,Model!$B$22,0))/(1-Model!$B$9)/(1+Model!$B$18)^88))</f>
        <v/>
      </c>
      <c r="CY26" s="7">
        <f>IF(A26="","",IF((A26+89)&gt;Model!$B$4,0,MAX(0,Model!$B$6-IF((A26+89)&gt;=Model!$B$11,Model!$B$20,0)-IF(89&lt;Model!$B$15,Model!$B$22,0))/(1-Model!$B$9)/(1+Model!$B$18)^89))</f>
        <v/>
      </c>
      <c r="CZ26" s="7">
        <f>IF(A26="","",IF((A26+90)&gt;Model!$B$4,0,MAX(0,Model!$B$6-IF((A26+90)&gt;=Model!$B$11,Model!$B$20,0)-IF(90&lt;Model!$B$15,Model!$B$22,0))/(1-Model!$B$9)/(1+Model!$B$18)^90))</f>
        <v/>
      </c>
      <c r="DA26" s="7">
        <f>IF(A26="","",IF((A26+91)&gt;Model!$B$4,0,MAX(0,Model!$B$6-IF((A26+91)&gt;=Model!$B$11,Model!$B$20,0)-IF(91&lt;Model!$B$15,Model!$B$22,0))/(1-Model!$B$9)/(1+Model!$B$18)^91))</f>
        <v/>
      </c>
      <c r="DB26" s="7">
        <f>IF(A26="","",IF((A26+92)&gt;Model!$B$4,0,MAX(0,Model!$B$6-IF((A26+92)&gt;=Model!$B$11,Model!$B$20,0)-IF(92&lt;Model!$B$15,Model!$B$22,0))/(1-Model!$B$9)/(1+Model!$B$18)^92))</f>
        <v/>
      </c>
      <c r="DC26" s="7">
        <f>IF(A26="","",IF((A26+93)&gt;Model!$B$4,0,MAX(0,Model!$B$6-IF((A26+93)&gt;=Model!$B$11,Model!$B$20,0)-IF(93&lt;Model!$B$15,Model!$B$22,0))/(1-Model!$B$9)/(1+Model!$B$18)^93))</f>
        <v/>
      </c>
      <c r="DD26" s="7">
        <f>IF(A26="","",IF((A26+94)&gt;Model!$B$4,0,MAX(0,Model!$B$6-IF((A26+94)&gt;=Model!$B$11,Model!$B$20,0)-IF(94&lt;Model!$B$15,Model!$B$22,0))/(1-Model!$B$9)/(1+Model!$B$18)^94))</f>
        <v/>
      </c>
      <c r="DE26" s="7">
        <f>IF(A26="","",IF((A26+95)&gt;Model!$B$4,0,MAX(0,Model!$B$6-IF((A26+95)&gt;=Model!$B$11,Model!$B$20,0)-IF(95&lt;Model!$B$15,Model!$B$22,0))/(1-Model!$B$9)/(1+Model!$B$18)^95))</f>
        <v/>
      </c>
      <c r="DF26" s="7">
        <f>IF(A26="","",IF((A26+96)&gt;Model!$B$4,0,MAX(0,Model!$B$6-IF((A26+96)&gt;=Model!$B$11,Model!$B$20,0)-IF(96&lt;Model!$B$15,Model!$B$22,0))/(1-Model!$B$9)/(1+Model!$B$18)^96))</f>
        <v/>
      </c>
      <c r="DG26" s="7">
        <f>IF(A26="","",IF((A26+97)&gt;Model!$B$4,0,MAX(0,Model!$B$6-IF((A26+97)&gt;=Model!$B$11,Model!$B$20,0)-IF(97&lt;Model!$B$15,Model!$B$22,0))/(1-Model!$B$9)/(1+Model!$B$18)^97))</f>
        <v/>
      </c>
      <c r="DH26" s="7">
        <f>IF(A26="","",IF((A26+98)&gt;Model!$B$4,0,MAX(0,Model!$B$6-IF((A26+98)&gt;=Model!$B$11,Model!$B$20,0)-IF(98&lt;Model!$B$15,Model!$B$22,0))/(1-Model!$B$9)/(1+Model!$B$18)^98))</f>
        <v/>
      </c>
      <c r="DI26" s="7">
        <f>IF(A26="","",IF((A26+99)&gt;Model!$B$4,0,MAX(0,Model!$B$6-IF((A26+99)&gt;=Model!$B$11,Model!$B$20,0)-IF(99&lt;Model!$B$15,Model!$B$22,0))/(1-Model!$B$9)/(1+Model!$B$18)^99))</f>
        <v/>
      </c>
      <c r="DJ26" s="7">
        <f>IF(A26="","",IF((A26+100)&gt;Model!$B$4,0,MAX(0,Model!$B$6-IF((A26+100)&gt;=Model!$B$11,Model!$B$20,0)-IF(100&lt;Model!$B$15,Model!$B$22,0))/(1-Model!$B$9)/(1+Model!$B$18)^100))</f>
        <v/>
      </c>
      <c r="DK26" s="7">
        <f>IF(A26="","",IF((A26+101)&gt;Model!$B$4,0,MAX(0,Model!$B$6-IF((A26+101)&gt;=Model!$B$11,Model!$B$20,0)-IF(101&lt;Model!$B$15,Model!$B$22,0))/(1-Model!$B$9)/(1+Model!$B$18)^101))</f>
        <v/>
      </c>
      <c r="DL26" s="7">
        <f>IF(A26="","",IF((A26+102)&gt;Model!$B$4,0,MAX(0,Model!$B$6-IF((A26+102)&gt;=Model!$B$11,Model!$B$20,0)-IF(102&lt;Model!$B$15,Model!$B$22,0))/(1-Model!$B$9)/(1+Model!$B$18)^102))</f>
        <v/>
      </c>
      <c r="DM26" s="7">
        <f>IF(A26="","",IF((A26+103)&gt;Model!$B$4,0,MAX(0,Model!$B$6-IF((A26+103)&gt;=Model!$B$11,Model!$B$20,0)-IF(103&lt;Model!$B$15,Model!$B$22,0))/(1-Model!$B$9)/(1+Model!$B$18)^103))</f>
        <v/>
      </c>
      <c r="DN26" s="7">
        <f>IF(A26="","",IF((A26+104)&gt;Model!$B$4,0,MAX(0,Model!$B$6-IF((A26+104)&gt;=Model!$B$11,Model!$B$20,0)-IF(104&lt;Model!$B$15,Model!$B$22,0))/(1-Model!$B$9)/(1+Model!$B$18)^104))</f>
        <v/>
      </c>
      <c r="DO26" s="7">
        <f>IF(A26="","",IF((A26+105)&gt;Model!$B$4,0,MAX(0,Model!$B$6-IF((A26+105)&gt;=Model!$B$11,Model!$B$20,0)-IF(105&lt;Model!$B$15,Model!$B$22,0))/(1-Model!$B$9)/(1+Model!$B$18)^105))</f>
        <v/>
      </c>
      <c r="DP26" s="7">
        <f>IF(A26="","",IF((A26+106)&gt;Model!$B$4,0,MAX(0,Model!$B$6-IF((A26+106)&gt;=Model!$B$11,Model!$B$20,0)-IF(106&lt;Model!$B$15,Model!$B$22,0))/(1-Model!$B$9)/(1+Model!$B$18)^106))</f>
        <v/>
      </c>
      <c r="DQ26" s="7">
        <f>IF(A26="","",IF((A26+107)&gt;Model!$B$4,0,MAX(0,Model!$B$6-IF((A26+107)&gt;=Model!$B$11,Model!$B$20,0)-IF(107&lt;Model!$B$15,Model!$B$22,0))/(1-Model!$B$9)/(1+Model!$B$18)^107))</f>
        <v/>
      </c>
      <c r="DR26" s="7">
        <f>IF(A26="","",IF((A26+108)&gt;Model!$B$4,0,MAX(0,Model!$B$6-IF((A26+108)&gt;=Model!$B$11,Model!$B$20,0)-IF(108&lt;Model!$B$15,Model!$B$22,0))/(1-Model!$B$9)/(1+Model!$B$18)^108))</f>
        <v/>
      </c>
      <c r="DS26" s="7">
        <f>IF(A26="","",IF((A26+109)&gt;Model!$B$4,0,MAX(0,Model!$B$6-IF((A26+109)&gt;=Model!$B$11,Model!$B$20,0)-IF(109&lt;Model!$B$15,Model!$B$22,0))/(1-Model!$B$9)/(1+Model!$B$18)^109))</f>
        <v/>
      </c>
      <c r="DT26" s="7">
        <f>IF(A26="","",IF((A26+110)&gt;Model!$B$4,0,MAX(0,Model!$B$6-IF((A26+110)&gt;=Model!$B$11,Model!$B$20,0)-IF(110&lt;Model!$B$15,Model!$B$22,0))/(1-Model!$B$9)/(1+Model!$B$18)^110))</f>
        <v/>
      </c>
      <c r="DU26" s="7">
        <f>IF(A26="","",IF((A26+111)&gt;Model!$B$4,0,MAX(0,Model!$B$6-IF((A26+111)&gt;=Model!$B$11,Model!$B$20,0)-IF(111&lt;Model!$B$15,Model!$B$22,0))/(1-Model!$B$9)/(1+Model!$B$18)^111))</f>
        <v/>
      </c>
      <c r="DV26" s="7">
        <f>IF(A26="","",IF((A26+112)&gt;Model!$B$4,0,MAX(0,Model!$B$6-IF((A26+112)&gt;=Model!$B$11,Model!$B$20,0)-IF(112&lt;Model!$B$15,Model!$B$22,0))/(1-Model!$B$9)/(1+Model!$B$18)^112))</f>
        <v/>
      </c>
      <c r="DW26" s="7">
        <f>IF(A26="","",IF((A26+113)&gt;Model!$B$4,0,MAX(0,Model!$B$6-IF((A26+113)&gt;=Model!$B$11,Model!$B$20,0)-IF(113&lt;Model!$B$15,Model!$B$22,0))/(1-Model!$B$9)/(1+Model!$B$18)^113))</f>
        <v/>
      </c>
      <c r="DX26" s="7">
        <f>IF(A26="","",IF((A26+114)&gt;Model!$B$4,0,MAX(0,Model!$B$6-IF((A26+114)&gt;=Model!$B$11,Model!$B$20,0)-IF(114&lt;Model!$B$15,Model!$B$22,0))/(1-Model!$B$9)/(1+Model!$B$18)^114))</f>
        <v/>
      </c>
      <c r="DY26" s="7">
        <f>IF(A26="","",IF((A26+115)&gt;Model!$B$4,0,MAX(0,Model!$B$6-IF((A26+115)&gt;=Model!$B$11,Model!$B$20,0)-IF(115&lt;Model!$B$15,Model!$B$22,0))/(1-Model!$B$9)/(1+Model!$B$18)^115))</f>
        <v/>
      </c>
      <c r="DZ26" s="7">
        <f>IF(A26="","",IF((A26+116)&gt;Model!$B$4,0,MAX(0,Model!$B$6-IF((A26+116)&gt;=Model!$B$11,Model!$B$20,0)-IF(116&lt;Model!$B$15,Model!$B$22,0))/(1-Model!$B$9)/(1+Model!$B$18)^116))</f>
        <v/>
      </c>
      <c r="EA26" s="7">
        <f>IF(A26="","",IF((A26+117)&gt;Model!$B$4,0,MAX(0,Model!$B$6-IF((A26+117)&gt;=Model!$B$11,Model!$B$20,0)-IF(117&lt;Model!$B$15,Model!$B$22,0))/(1-Model!$B$9)/(1+Model!$B$18)^117))</f>
        <v/>
      </c>
      <c r="EB26" s="7">
        <f>IF(A26="","",IF((A26+118)&gt;Model!$B$4,0,MAX(0,Model!$B$6-IF((A26+118)&gt;=Model!$B$11,Model!$B$20,0)-IF(118&lt;Model!$B$15,Model!$B$22,0))/(1-Model!$B$9)/(1+Model!$B$18)^118))</f>
        <v/>
      </c>
      <c r="EC26" s="7">
        <f>IF(A26="","",IF((A26+119)&gt;Model!$B$4,0,MAX(0,Model!$B$6-IF((A26+119)&gt;=Model!$B$11,Model!$B$20,0)-IF(119&lt;Model!$B$15,Model!$B$22,0))/(1-Model!$B$9)/(1+Model!$B$18)^119))</f>
        <v/>
      </c>
      <c r="ED26" s="7">
        <f>IF(A26="","",IF((A26+120)&gt;Model!$B$4,0,MAX(0,Model!$B$6-IF((A26+120)&gt;=Model!$B$11,Model!$B$20,0)-IF(120&lt;Model!$B$15,Model!$B$22,0))/(1-Model!$B$9)/(1+Model!$B$18)^120))</f>
        <v/>
      </c>
    </row>
    <row r="27">
      <c r="A27">
        <f>IF(Model!$B$10+ROW()-2&lt;=Model!$B$4,Model!$B$10+ROW()-2,"")</f>
        <v/>
      </c>
      <c r="B27">
        <f>IF(A27="","",A27-Model!$B$10)</f>
        <v/>
      </c>
      <c r="C27" s="7">
        <f>IF(A27="","",Model!$B$5*(1+Model!$B$18)^B27)</f>
        <v/>
      </c>
      <c r="D27" s="7">
        <f>IF(A27="","",SUM(N27:ED27))</f>
        <v/>
      </c>
      <c r="E27" s="7">
        <f>IF(A27="","",IF(A27&gt;=Model!$B$11,Model!$B$20,0))</f>
        <v/>
      </c>
      <c r="F27" s="7">
        <f>IF(A27="","",IF(Model!$B$15&gt;0,Model!$B$22,0))</f>
        <v/>
      </c>
      <c r="G27" s="7">
        <f>IF(A27="","",E27+F27)</f>
        <v/>
      </c>
      <c r="H27" s="7">
        <f>IF(A27="","",MAX(0,Model!$B$6-G27))</f>
        <v/>
      </c>
      <c r="I27" s="7">
        <f>IF(A27="","",H27/(1-Model!$B$9))</f>
        <v/>
      </c>
      <c r="J27" s="7">
        <f>IF(A27="","",C27-D27)</f>
        <v/>
      </c>
      <c r="K27">
        <f>IF(A27="","",C27&gt;=D27)</f>
        <v/>
      </c>
      <c r="L27" s="7">
        <f>IF(A27="","",IF(A27&gt;=Model!$B$11,Model!$B$19*(1+Model!$B$13)^B27,0))</f>
        <v/>
      </c>
      <c r="M27" s="7">
        <f>IF(A27="","",IF(Model!$B$15&gt;0,Model!$B$21*(1+Model!$B$13)^B27,0))</f>
        <v/>
      </c>
      <c r="N27" s="7">
        <f>IF(A27="","",IF((A27+0)&gt;Model!$B$4,0,MAX(0,Model!$B$6-IF((A27+0)&gt;=Model!$B$11,Model!$B$20,0)-IF(0&lt;Model!$B$15,Model!$B$22,0))/(1-Model!$B$9)/(1+Model!$B$18)^0))</f>
        <v/>
      </c>
      <c r="O27" s="7">
        <f>IF(A27="","",IF((A27+1)&gt;Model!$B$4,0,MAX(0,Model!$B$6-IF((A27+1)&gt;=Model!$B$11,Model!$B$20,0)-IF(1&lt;Model!$B$15,Model!$B$22,0))/(1-Model!$B$9)/(1+Model!$B$18)^1))</f>
        <v/>
      </c>
      <c r="P27" s="7">
        <f>IF(A27="","",IF((A27+2)&gt;Model!$B$4,0,MAX(0,Model!$B$6-IF((A27+2)&gt;=Model!$B$11,Model!$B$20,0)-IF(2&lt;Model!$B$15,Model!$B$22,0))/(1-Model!$B$9)/(1+Model!$B$18)^2))</f>
        <v/>
      </c>
      <c r="Q27" s="7">
        <f>IF(A27="","",IF((A27+3)&gt;Model!$B$4,0,MAX(0,Model!$B$6-IF((A27+3)&gt;=Model!$B$11,Model!$B$20,0)-IF(3&lt;Model!$B$15,Model!$B$22,0))/(1-Model!$B$9)/(1+Model!$B$18)^3))</f>
        <v/>
      </c>
      <c r="R27" s="7">
        <f>IF(A27="","",IF((A27+4)&gt;Model!$B$4,0,MAX(0,Model!$B$6-IF((A27+4)&gt;=Model!$B$11,Model!$B$20,0)-IF(4&lt;Model!$B$15,Model!$B$22,0))/(1-Model!$B$9)/(1+Model!$B$18)^4))</f>
        <v/>
      </c>
      <c r="S27" s="7">
        <f>IF(A27="","",IF((A27+5)&gt;Model!$B$4,0,MAX(0,Model!$B$6-IF((A27+5)&gt;=Model!$B$11,Model!$B$20,0)-IF(5&lt;Model!$B$15,Model!$B$22,0))/(1-Model!$B$9)/(1+Model!$B$18)^5))</f>
        <v/>
      </c>
      <c r="T27" s="7">
        <f>IF(A27="","",IF((A27+6)&gt;Model!$B$4,0,MAX(0,Model!$B$6-IF((A27+6)&gt;=Model!$B$11,Model!$B$20,0)-IF(6&lt;Model!$B$15,Model!$B$22,0))/(1-Model!$B$9)/(1+Model!$B$18)^6))</f>
        <v/>
      </c>
      <c r="U27" s="7">
        <f>IF(A27="","",IF((A27+7)&gt;Model!$B$4,0,MAX(0,Model!$B$6-IF((A27+7)&gt;=Model!$B$11,Model!$B$20,0)-IF(7&lt;Model!$B$15,Model!$B$22,0))/(1-Model!$B$9)/(1+Model!$B$18)^7))</f>
        <v/>
      </c>
      <c r="V27" s="7">
        <f>IF(A27="","",IF((A27+8)&gt;Model!$B$4,0,MAX(0,Model!$B$6-IF((A27+8)&gt;=Model!$B$11,Model!$B$20,0)-IF(8&lt;Model!$B$15,Model!$B$22,0))/(1-Model!$B$9)/(1+Model!$B$18)^8))</f>
        <v/>
      </c>
      <c r="W27" s="7">
        <f>IF(A27="","",IF((A27+9)&gt;Model!$B$4,0,MAX(0,Model!$B$6-IF((A27+9)&gt;=Model!$B$11,Model!$B$20,0)-IF(9&lt;Model!$B$15,Model!$B$22,0))/(1-Model!$B$9)/(1+Model!$B$18)^9))</f>
        <v/>
      </c>
      <c r="X27" s="7">
        <f>IF(A27="","",IF((A27+10)&gt;Model!$B$4,0,MAX(0,Model!$B$6-IF((A27+10)&gt;=Model!$B$11,Model!$B$20,0)-IF(10&lt;Model!$B$15,Model!$B$22,0))/(1-Model!$B$9)/(1+Model!$B$18)^10))</f>
        <v/>
      </c>
      <c r="Y27" s="7">
        <f>IF(A27="","",IF((A27+11)&gt;Model!$B$4,0,MAX(0,Model!$B$6-IF((A27+11)&gt;=Model!$B$11,Model!$B$20,0)-IF(11&lt;Model!$B$15,Model!$B$22,0))/(1-Model!$B$9)/(1+Model!$B$18)^11))</f>
        <v/>
      </c>
      <c r="Z27" s="7">
        <f>IF(A27="","",IF((A27+12)&gt;Model!$B$4,0,MAX(0,Model!$B$6-IF((A27+12)&gt;=Model!$B$11,Model!$B$20,0)-IF(12&lt;Model!$B$15,Model!$B$22,0))/(1-Model!$B$9)/(1+Model!$B$18)^12))</f>
        <v/>
      </c>
      <c r="AA27" s="7">
        <f>IF(A27="","",IF((A27+13)&gt;Model!$B$4,0,MAX(0,Model!$B$6-IF((A27+13)&gt;=Model!$B$11,Model!$B$20,0)-IF(13&lt;Model!$B$15,Model!$B$22,0))/(1-Model!$B$9)/(1+Model!$B$18)^13))</f>
        <v/>
      </c>
      <c r="AB27" s="7">
        <f>IF(A27="","",IF((A27+14)&gt;Model!$B$4,0,MAX(0,Model!$B$6-IF((A27+14)&gt;=Model!$B$11,Model!$B$20,0)-IF(14&lt;Model!$B$15,Model!$B$22,0))/(1-Model!$B$9)/(1+Model!$B$18)^14))</f>
        <v/>
      </c>
      <c r="AC27" s="7">
        <f>IF(A27="","",IF((A27+15)&gt;Model!$B$4,0,MAX(0,Model!$B$6-IF((A27+15)&gt;=Model!$B$11,Model!$B$20,0)-IF(15&lt;Model!$B$15,Model!$B$22,0))/(1-Model!$B$9)/(1+Model!$B$18)^15))</f>
        <v/>
      </c>
      <c r="AD27" s="7">
        <f>IF(A27="","",IF((A27+16)&gt;Model!$B$4,0,MAX(0,Model!$B$6-IF((A27+16)&gt;=Model!$B$11,Model!$B$20,0)-IF(16&lt;Model!$B$15,Model!$B$22,0))/(1-Model!$B$9)/(1+Model!$B$18)^16))</f>
        <v/>
      </c>
      <c r="AE27" s="7">
        <f>IF(A27="","",IF((A27+17)&gt;Model!$B$4,0,MAX(0,Model!$B$6-IF((A27+17)&gt;=Model!$B$11,Model!$B$20,0)-IF(17&lt;Model!$B$15,Model!$B$22,0))/(1-Model!$B$9)/(1+Model!$B$18)^17))</f>
        <v/>
      </c>
      <c r="AF27" s="7">
        <f>IF(A27="","",IF((A27+18)&gt;Model!$B$4,0,MAX(0,Model!$B$6-IF((A27+18)&gt;=Model!$B$11,Model!$B$20,0)-IF(18&lt;Model!$B$15,Model!$B$22,0))/(1-Model!$B$9)/(1+Model!$B$18)^18))</f>
        <v/>
      </c>
      <c r="AG27" s="7">
        <f>IF(A27="","",IF((A27+19)&gt;Model!$B$4,0,MAX(0,Model!$B$6-IF((A27+19)&gt;=Model!$B$11,Model!$B$20,0)-IF(19&lt;Model!$B$15,Model!$B$22,0))/(1-Model!$B$9)/(1+Model!$B$18)^19))</f>
        <v/>
      </c>
      <c r="AH27" s="7">
        <f>IF(A27="","",IF((A27+20)&gt;Model!$B$4,0,MAX(0,Model!$B$6-IF((A27+20)&gt;=Model!$B$11,Model!$B$20,0)-IF(20&lt;Model!$B$15,Model!$B$22,0))/(1-Model!$B$9)/(1+Model!$B$18)^20))</f>
        <v/>
      </c>
      <c r="AI27" s="7">
        <f>IF(A27="","",IF((A27+21)&gt;Model!$B$4,0,MAX(0,Model!$B$6-IF((A27+21)&gt;=Model!$B$11,Model!$B$20,0)-IF(21&lt;Model!$B$15,Model!$B$22,0))/(1-Model!$B$9)/(1+Model!$B$18)^21))</f>
        <v/>
      </c>
      <c r="AJ27" s="7">
        <f>IF(A27="","",IF((A27+22)&gt;Model!$B$4,0,MAX(0,Model!$B$6-IF((A27+22)&gt;=Model!$B$11,Model!$B$20,0)-IF(22&lt;Model!$B$15,Model!$B$22,0))/(1-Model!$B$9)/(1+Model!$B$18)^22))</f>
        <v/>
      </c>
      <c r="AK27" s="7">
        <f>IF(A27="","",IF((A27+23)&gt;Model!$B$4,0,MAX(0,Model!$B$6-IF((A27+23)&gt;=Model!$B$11,Model!$B$20,0)-IF(23&lt;Model!$B$15,Model!$B$22,0))/(1-Model!$B$9)/(1+Model!$B$18)^23))</f>
        <v/>
      </c>
      <c r="AL27" s="7">
        <f>IF(A27="","",IF((A27+24)&gt;Model!$B$4,0,MAX(0,Model!$B$6-IF((A27+24)&gt;=Model!$B$11,Model!$B$20,0)-IF(24&lt;Model!$B$15,Model!$B$22,0))/(1-Model!$B$9)/(1+Model!$B$18)^24))</f>
        <v/>
      </c>
      <c r="AM27" s="7">
        <f>IF(A27="","",IF((A27+25)&gt;Model!$B$4,0,MAX(0,Model!$B$6-IF((A27+25)&gt;=Model!$B$11,Model!$B$20,0)-IF(25&lt;Model!$B$15,Model!$B$22,0))/(1-Model!$B$9)/(1+Model!$B$18)^25))</f>
        <v/>
      </c>
      <c r="AN27" s="7">
        <f>IF(A27="","",IF((A27+26)&gt;Model!$B$4,0,MAX(0,Model!$B$6-IF((A27+26)&gt;=Model!$B$11,Model!$B$20,0)-IF(26&lt;Model!$B$15,Model!$B$22,0))/(1-Model!$B$9)/(1+Model!$B$18)^26))</f>
        <v/>
      </c>
      <c r="AO27" s="7">
        <f>IF(A27="","",IF((A27+27)&gt;Model!$B$4,0,MAX(0,Model!$B$6-IF((A27+27)&gt;=Model!$B$11,Model!$B$20,0)-IF(27&lt;Model!$B$15,Model!$B$22,0))/(1-Model!$B$9)/(1+Model!$B$18)^27))</f>
        <v/>
      </c>
      <c r="AP27" s="7">
        <f>IF(A27="","",IF((A27+28)&gt;Model!$B$4,0,MAX(0,Model!$B$6-IF((A27+28)&gt;=Model!$B$11,Model!$B$20,0)-IF(28&lt;Model!$B$15,Model!$B$22,0))/(1-Model!$B$9)/(1+Model!$B$18)^28))</f>
        <v/>
      </c>
      <c r="AQ27" s="7">
        <f>IF(A27="","",IF((A27+29)&gt;Model!$B$4,0,MAX(0,Model!$B$6-IF((A27+29)&gt;=Model!$B$11,Model!$B$20,0)-IF(29&lt;Model!$B$15,Model!$B$22,0))/(1-Model!$B$9)/(1+Model!$B$18)^29))</f>
        <v/>
      </c>
      <c r="AR27" s="7">
        <f>IF(A27="","",IF((A27+30)&gt;Model!$B$4,0,MAX(0,Model!$B$6-IF((A27+30)&gt;=Model!$B$11,Model!$B$20,0)-IF(30&lt;Model!$B$15,Model!$B$22,0))/(1-Model!$B$9)/(1+Model!$B$18)^30))</f>
        <v/>
      </c>
      <c r="AS27" s="7">
        <f>IF(A27="","",IF((A27+31)&gt;Model!$B$4,0,MAX(0,Model!$B$6-IF((A27+31)&gt;=Model!$B$11,Model!$B$20,0)-IF(31&lt;Model!$B$15,Model!$B$22,0))/(1-Model!$B$9)/(1+Model!$B$18)^31))</f>
        <v/>
      </c>
      <c r="AT27" s="7">
        <f>IF(A27="","",IF((A27+32)&gt;Model!$B$4,0,MAX(0,Model!$B$6-IF((A27+32)&gt;=Model!$B$11,Model!$B$20,0)-IF(32&lt;Model!$B$15,Model!$B$22,0))/(1-Model!$B$9)/(1+Model!$B$18)^32))</f>
        <v/>
      </c>
      <c r="AU27" s="7">
        <f>IF(A27="","",IF((A27+33)&gt;Model!$B$4,0,MAX(0,Model!$B$6-IF((A27+33)&gt;=Model!$B$11,Model!$B$20,0)-IF(33&lt;Model!$B$15,Model!$B$22,0))/(1-Model!$B$9)/(1+Model!$B$18)^33))</f>
        <v/>
      </c>
      <c r="AV27" s="7">
        <f>IF(A27="","",IF((A27+34)&gt;Model!$B$4,0,MAX(0,Model!$B$6-IF((A27+34)&gt;=Model!$B$11,Model!$B$20,0)-IF(34&lt;Model!$B$15,Model!$B$22,0))/(1-Model!$B$9)/(1+Model!$B$18)^34))</f>
        <v/>
      </c>
      <c r="AW27" s="7">
        <f>IF(A27="","",IF((A27+35)&gt;Model!$B$4,0,MAX(0,Model!$B$6-IF((A27+35)&gt;=Model!$B$11,Model!$B$20,0)-IF(35&lt;Model!$B$15,Model!$B$22,0))/(1-Model!$B$9)/(1+Model!$B$18)^35))</f>
        <v/>
      </c>
      <c r="AX27" s="7">
        <f>IF(A27="","",IF((A27+36)&gt;Model!$B$4,0,MAX(0,Model!$B$6-IF((A27+36)&gt;=Model!$B$11,Model!$B$20,0)-IF(36&lt;Model!$B$15,Model!$B$22,0))/(1-Model!$B$9)/(1+Model!$B$18)^36))</f>
        <v/>
      </c>
      <c r="AY27" s="7">
        <f>IF(A27="","",IF((A27+37)&gt;Model!$B$4,0,MAX(0,Model!$B$6-IF((A27+37)&gt;=Model!$B$11,Model!$B$20,0)-IF(37&lt;Model!$B$15,Model!$B$22,0))/(1-Model!$B$9)/(1+Model!$B$18)^37))</f>
        <v/>
      </c>
      <c r="AZ27" s="7">
        <f>IF(A27="","",IF((A27+38)&gt;Model!$B$4,0,MAX(0,Model!$B$6-IF((A27+38)&gt;=Model!$B$11,Model!$B$20,0)-IF(38&lt;Model!$B$15,Model!$B$22,0))/(1-Model!$B$9)/(1+Model!$B$18)^38))</f>
        <v/>
      </c>
      <c r="BA27" s="7">
        <f>IF(A27="","",IF((A27+39)&gt;Model!$B$4,0,MAX(0,Model!$B$6-IF((A27+39)&gt;=Model!$B$11,Model!$B$20,0)-IF(39&lt;Model!$B$15,Model!$B$22,0))/(1-Model!$B$9)/(1+Model!$B$18)^39))</f>
        <v/>
      </c>
      <c r="BB27" s="7">
        <f>IF(A27="","",IF((A27+40)&gt;Model!$B$4,0,MAX(0,Model!$B$6-IF((A27+40)&gt;=Model!$B$11,Model!$B$20,0)-IF(40&lt;Model!$B$15,Model!$B$22,0))/(1-Model!$B$9)/(1+Model!$B$18)^40))</f>
        <v/>
      </c>
      <c r="BC27" s="7">
        <f>IF(A27="","",IF((A27+41)&gt;Model!$B$4,0,MAX(0,Model!$B$6-IF((A27+41)&gt;=Model!$B$11,Model!$B$20,0)-IF(41&lt;Model!$B$15,Model!$B$22,0))/(1-Model!$B$9)/(1+Model!$B$18)^41))</f>
        <v/>
      </c>
      <c r="BD27" s="7">
        <f>IF(A27="","",IF((A27+42)&gt;Model!$B$4,0,MAX(0,Model!$B$6-IF((A27+42)&gt;=Model!$B$11,Model!$B$20,0)-IF(42&lt;Model!$B$15,Model!$B$22,0))/(1-Model!$B$9)/(1+Model!$B$18)^42))</f>
        <v/>
      </c>
      <c r="BE27" s="7">
        <f>IF(A27="","",IF((A27+43)&gt;Model!$B$4,0,MAX(0,Model!$B$6-IF((A27+43)&gt;=Model!$B$11,Model!$B$20,0)-IF(43&lt;Model!$B$15,Model!$B$22,0))/(1-Model!$B$9)/(1+Model!$B$18)^43))</f>
        <v/>
      </c>
      <c r="BF27" s="7">
        <f>IF(A27="","",IF((A27+44)&gt;Model!$B$4,0,MAX(0,Model!$B$6-IF((A27+44)&gt;=Model!$B$11,Model!$B$20,0)-IF(44&lt;Model!$B$15,Model!$B$22,0))/(1-Model!$B$9)/(1+Model!$B$18)^44))</f>
        <v/>
      </c>
      <c r="BG27" s="7">
        <f>IF(A27="","",IF((A27+45)&gt;Model!$B$4,0,MAX(0,Model!$B$6-IF((A27+45)&gt;=Model!$B$11,Model!$B$20,0)-IF(45&lt;Model!$B$15,Model!$B$22,0))/(1-Model!$B$9)/(1+Model!$B$18)^45))</f>
        <v/>
      </c>
      <c r="BH27" s="7">
        <f>IF(A27="","",IF((A27+46)&gt;Model!$B$4,0,MAX(0,Model!$B$6-IF((A27+46)&gt;=Model!$B$11,Model!$B$20,0)-IF(46&lt;Model!$B$15,Model!$B$22,0))/(1-Model!$B$9)/(1+Model!$B$18)^46))</f>
        <v/>
      </c>
      <c r="BI27" s="7">
        <f>IF(A27="","",IF((A27+47)&gt;Model!$B$4,0,MAX(0,Model!$B$6-IF((A27+47)&gt;=Model!$B$11,Model!$B$20,0)-IF(47&lt;Model!$B$15,Model!$B$22,0))/(1-Model!$B$9)/(1+Model!$B$18)^47))</f>
        <v/>
      </c>
      <c r="BJ27" s="7">
        <f>IF(A27="","",IF((A27+48)&gt;Model!$B$4,0,MAX(0,Model!$B$6-IF((A27+48)&gt;=Model!$B$11,Model!$B$20,0)-IF(48&lt;Model!$B$15,Model!$B$22,0))/(1-Model!$B$9)/(1+Model!$B$18)^48))</f>
        <v/>
      </c>
      <c r="BK27" s="7">
        <f>IF(A27="","",IF((A27+49)&gt;Model!$B$4,0,MAX(0,Model!$B$6-IF((A27+49)&gt;=Model!$B$11,Model!$B$20,0)-IF(49&lt;Model!$B$15,Model!$B$22,0))/(1-Model!$B$9)/(1+Model!$B$18)^49))</f>
        <v/>
      </c>
      <c r="BL27" s="7">
        <f>IF(A27="","",IF((A27+50)&gt;Model!$B$4,0,MAX(0,Model!$B$6-IF((A27+50)&gt;=Model!$B$11,Model!$B$20,0)-IF(50&lt;Model!$B$15,Model!$B$22,0))/(1-Model!$B$9)/(1+Model!$B$18)^50))</f>
        <v/>
      </c>
      <c r="BM27" s="7">
        <f>IF(A27="","",IF((A27+51)&gt;Model!$B$4,0,MAX(0,Model!$B$6-IF((A27+51)&gt;=Model!$B$11,Model!$B$20,0)-IF(51&lt;Model!$B$15,Model!$B$22,0))/(1-Model!$B$9)/(1+Model!$B$18)^51))</f>
        <v/>
      </c>
      <c r="BN27" s="7">
        <f>IF(A27="","",IF((A27+52)&gt;Model!$B$4,0,MAX(0,Model!$B$6-IF((A27+52)&gt;=Model!$B$11,Model!$B$20,0)-IF(52&lt;Model!$B$15,Model!$B$22,0))/(1-Model!$B$9)/(1+Model!$B$18)^52))</f>
        <v/>
      </c>
      <c r="BO27" s="7">
        <f>IF(A27="","",IF((A27+53)&gt;Model!$B$4,0,MAX(0,Model!$B$6-IF((A27+53)&gt;=Model!$B$11,Model!$B$20,0)-IF(53&lt;Model!$B$15,Model!$B$22,0))/(1-Model!$B$9)/(1+Model!$B$18)^53))</f>
        <v/>
      </c>
      <c r="BP27" s="7">
        <f>IF(A27="","",IF((A27+54)&gt;Model!$B$4,0,MAX(0,Model!$B$6-IF((A27+54)&gt;=Model!$B$11,Model!$B$20,0)-IF(54&lt;Model!$B$15,Model!$B$22,0))/(1-Model!$B$9)/(1+Model!$B$18)^54))</f>
        <v/>
      </c>
      <c r="BQ27" s="7">
        <f>IF(A27="","",IF((A27+55)&gt;Model!$B$4,0,MAX(0,Model!$B$6-IF((A27+55)&gt;=Model!$B$11,Model!$B$20,0)-IF(55&lt;Model!$B$15,Model!$B$22,0))/(1-Model!$B$9)/(1+Model!$B$18)^55))</f>
        <v/>
      </c>
      <c r="BR27" s="7">
        <f>IF(A27="","",IF((A27+56)&gt;Model!$B$4,0,MAX(0,Model!$B$6-IF((A27+56)&gt;=Model!$B$11,Model!$B$20,0)-IF(56&lt;Model!$B$15,Model!$B$22,0))/(1-Model!$B$9)/(1+Model!$B$18)^56))</f>
        <v/>
      </c>
      <c r="BS27" s="7">
        <f>IF(A27="","",IF((A27+57)&gt;Model!$B$4,0,MAX(0,Model!$B$6-IF((A27+57)&gt;=Model!$B$11,Model!$B$20,0)-IF(57&lt;Model!$B$15,Model!$B$22,0))/(1-Model!$B$9)/(1+Model!$B$18)^57))</f>
        <v/>
      </c>
      <c r="BT27" s="7">
        <f>IF(A27="","",IF((A27+58)&gt;Model!$B$4,0,MAX(0,Model!$B$6-IF((A27+58)&gt;=Model!$B$11,Model!$B$20,0)-IF(58&lt;Model!$B$15,Model!$B$22,0))/(1-Model!$B$9)/(1+Model!$B$18)^58))</f>
        <v/>
      </c>
      <c r="BU27" s="7">
        <f>IF(A27="","",IF((A27+59)&gt;Model!$B$4,0,MAX(0,Model!$B$6-IF((A27+59)&gt;=Model!$B$11,Model!$B$20,0)-IF(59&lt;Model!$B$15,Model!$B$22,0))/(1-Model!$B$9)/(1+Model!$B$18)^59))</f>
        <v/>
      </c>
      <c r="BV27" s="7">
        <f>IF(A27="","",IF((A27+60)&gt;Model!$B$4,0,MAX(0,Model!$B$6-IF((A27+60)&gt;=Model!$B$11,Model!$B$20,0)-IF(60&lt;Model!$B$15,Model!$B$22,0))/(1-Model!$B$9)/(1+Model!$B$18)^60))</f>
        <v/>
      </c>
      <c r="BW27" s="7">
        <f>IF(A27="","",IF((A27+61)&gt;Model!$B$4,0,MAX(0,Model!$B$6-IF((A27+61)&gt;=Model!$B$11,Model!$B$20,0)-IF(61&lt;Model!$B$15,Model!$B$22,0))/(1-Model!$B$9)/(1+Model!$B$18)^61))</f>
        <v/>
      </c>
      <c r="BX27" s="7">
        <f>IF(A27="","",IF((A27+62)&gt;Model!$B$4,0,MAX(0,Model!$B$6-IF((A27+62)&gt;=Model!$B$11,Model!$B$20,0)-IF(62&lt;Model!$B$15,Model!$B$22,0))/(1-Model!$B$9)/(1+Model!$B$18)^62))</f>
        <v/>
      </c>
      <c r="BY27" s="7">
        <f>IF(A27="","",IF((A27+63)&gt;Model!$B$4,0,MAX(0,Model!$B$6-IF((A27+63)&gt;=Model!$B$11,Model!$B$20,0)-IF(63&lt;Model!$B$15,Model!$B$22,0))/(1-Model!$B$9)/(1+Model!$B$18)^63))</f>
        <v/>
      </c>
      <c r="BZ27" s="7">
        <f>IF(A27="","",IF((A27+64)&gt;Model!$B$4,0,MAX(0,Model!$B$6-IF((A27+64)&gt;=Model!$B$11,Model!$B$20,0)-IF(64&lt;Model!$B$15,Model!$B$22,0))/(1-Model!$B$9)/(1+Model!$B$18)^64))</f>
        <v/>
      </c>
      <c r="CA27" s="7">
        <f>IF(A27="","",IF((A27+65)&gt;Model!$B$4,0,MAX(0,Model!$B$6-IF((A27+65)&gt;=Model!$B$11,Model!$B$20,0)-IF(65&lt;Model!$B$15,Model!$B$22,0))/(1-Model!$B$9)/(1+Model!$B$18)^65))</f>
        <v/>
      </c>
      <c r="CB27" s="7">
        <f>IF(A27="","",IF((A27+66)&gt;Model!$B$4,0,MAX(0,Model!$B$6-IF((A27+66)&gt;=Model!$B$11,Model!$B$20,0)-IF(66&lt;Model!$B$15,Model!$B$22,0))/(1-Model!$B$9)/(1+Model!$B$18)^66))</f>
        <v/>
      </c>
      <c r="CC27" s="7">
        <f>IF(A27="","",IF((A27+67)&gt;Model!$B$4,0,MAX(0,Model!$B$6-IF((A27+67)&gt;=Model!$B$11,Model!$B$20,0)-IF(67&lt;Model!$B$15,Model!$B$22,0))/(1-Model!$B$9)/(1+Model!$B$18)^67))</f>
        <v/>
      </c>
      <c r="CD27" s="7">
        <f>IF(A27="","",IF((A27+68)&gt;Model!$B$4,0,MAX(0,Model!$B$6-IF((A27+68)&gt;=Model!$B$11,Model!$B$20,0)-IF(68&lt;Model!$B$15,Model!$B$22,0))/(1-Model!$B$9)/(1+Model!$B$18)^68))</f>
        <v/>
      </c>
      <c r="CE27" s="7">
        <f>IF(A27="","",IF((A27+69)&gt;Model!$B$4,0,MAX(0,Model!$B$6-IF((A27+69)&gt;=Model!$B$11,Model!$B$20,0)-IF(69&lt;Model!$B$15,Model!$B$22,0))/(1-Model!$B$9)/(1+Model!$B$18)^69))</f>
        <v/>
      </c>
      <c r="CF27" s="7">
        <f>IF(A27="","",IF((A27+70)&gt;Model!$B$4,0,MAX(0,Model!$B$6-IF((A27+70)&gt;=Model!$B$11,Model!$B$20,0)-IF(70&lt;Model!$B$15,Model!$B$22,0))/(1-Model!$B$9)/(1+Model!$B$18)^70))</f>
        <v/>
      </c>
      <c r="CG27" s="7">
        <f>IF(A27="","",IF((A27+71)&gt;Model!$B$4,0,MAX(0,Model!$B$6-IF((A27+71)&gt;=Model!$B$11,Model!$B$20,0)-IF(71&lt;Model!$B$15,Model!$B$22,0))/(1-Model!$B$9)/(1+Model!$B$18)^71))</f>
        <v/>
      </c>
      <c r="CH27" s="7">
        <f>IF(A27="","",IF((A27+72)&gt;Model!$B$4,0,MAX(0,Model!$B$6-IF((A27+72)&gt;=Model!$B$11,Model!$B$20,0)-IF(72&lt;Model!$B$15,Model!$B$22,0))/(1-Model!$B$9)/(1+Model!$B$18)^72))</f>
        <v/>
      </c>
      <c r="CI27" s="7">
        <f>IF(A27="","",IF((A27+73)&gt;Model!$B$4,0,MAX(0,Model!$B$6-IF((A27+73)&gt;=Model!$B$11,Model!$B$20,0)-IF(73&lt;Model!$B$15,Model!$B$22,0))/(1-Model!$B$9)/(1+Model!$B$18)^73))</f>
        <v/>
      </c>
      <c r="CJ27" s="7">
        <f>IF(A27="","",IF((A27+74)&gt;Model!$B$4,0,MAX(0,Model!$B$6-IF((A27+74)&gt;=Model!$B$11,Model!$B$20,0)-IF(74&lt;Model!$B$15,Model!$B$22,0))/(1-Model!$B$9)/(1+Model!$B$18)^74))</f>
        <v/>
      </c>
      <c r="CK27" s="7">
        <f>IF(A27="","",IF((A27+75)&gt;Model!$B$4,0,MAX(0,Model!$B$6-IF((A27+75)&gt;=Model!$B$11,Model!$B$20,0)-IF(75&lt;Model!$B$15,Model!$B$22,0))/(1-Model!$B$9)/(1+Model!$B$18)^75))</f>
        <v/>
      </c>
      <c r="CL27" s="7">
        <f>IF(A27="","",IF((A27+76)&gt;Model!$B$4,0,MAX(0,Model!$B$6-IF((A27+76)&gt;=Model!$B$11,Model!$B$20,0)-IF(76&lt;Model!$B$15,Model!$B$22,0))/(1-Model!$B$9)/(1+Model!$B$18)^76))</f>
        <v/>
      </c>
      <c r="CM27" s="7">
        <f>IF(A27="","",IF((A27+77)&gt;Model!$B$4,0,MAX(0,Model!$B$6-IF((A27+77)&gt;=Model!$B$11,Model!$B$20,0)-IF(77&lt;Model!$B$15,Model!$B$22,0))/(1-Model!$B$9)/(1+Model!$B$18)^77))</f>
        <v/>
      </c>
      <c r="CN27" s="7">
        <f>IF(A27="","",IF((A27+78)&gt;Model!$B$4,0,MAX(0,Model!$B$6-IF((A27+78)&gt;=Model!$B$11,Model!$B$20,0)-IF(78&lt;Model!$B$15,Model!$B$22,0))/(1-Model!$B$9)/(1+Model!$B$18)^78))</f>
        <v/>
      </c>
      <c r="CO27" s="7">
        <f>IF(A27="","",IF((A27+79)&gt;Model!$B$4,0,MAX(0,Model!$B$6-IF((A27+79)&gt;=Model!$B$11,Model!$B$20,0)-IF(79&lt;Model!$B$15,Model!$B$22,0))/(1-Model!$B$9)/(1+Model!$B$18)^79))</f>
        <v/>
      </c>
      <c r="CP27" s="7">
        <f>IF(A27="","",IF((A27+80)&gt;Model!$B$4,0,MAX(0,Model!$B$6-IF((A27+80)&gt;=Model!$B$11,Model!$B$20,0)-IF(80&lt;Model!$B$15,Model!$B$22,0))/(1-Model!$B$9)/(1+Model!$B$18)^80))</f>
        <v/>
      </c>
      <c r="CQ27" s="7">
        <f>IF(A27="","",IF((A27+81)&gt;Model!$B$4,0,MAX(0,Model!$B$6-IF((A27+81)&gt;=Model!$B$11,Model!$B$20,0)-IF(81&lt;Model!$B$15,Model!$B$22,0))/(1-Model!$B$9)/(1+Model!$B$18)^81))</f>
        <v/>
      </c>
      <c r="CR27" s="7">
        <f>IF(A27="","",IF((A27+82)&gt;Model!$B$4,0,MAX(0,Model!$B$6-IF((A27+82)&gt;=Model!$B$11,Model!$B$20,0)-IF(82&lt;Model!$B$15,Model!$B$22,0))/(1-Model!$B$9)/(1+Model!$B$18)^82))</f>
        <v/>
      </c>
      <c r="CS27" s="7">
        <f>IF(A27="","",IF((A27+83)&gt;Model!$B$4,0,MAX(0,Model!$B$6-IF((A27+83)&gt;=Model!$B$11,Model!$B$20,0)-IF(83&lt;Model!$B$15,Model!$B$22,0))/(1-Model!$B$9)/(1+Model!$B$18)^83))</f>
        <v/>
      </c>
      <c r="CT27" s="7">
        <f>IF(A27="","",IF((A27+84)&gt;Model!$B$4,0,MAX(0,Model!$B$6-IF((A27+84)&gt;=Model!$B$11,Model!$B$20,0)-IF(84&lt;Model!$B$15,Model!$B$22,0))/(1-Model!$B$9)/(1+Model!$B$18)^84))</f>
        <v/>
      </c>
      <c r="CU27" s="7">
        <f>IF(A27="","",IF((A27+85)&gt;Model!$B$4,0,MAX(0,Model!$B$6-IF((A27+85)&gt;=Model!$B$11,Model!$B$20,0)-IF(85&lt;Model!$B$15,Model!$B$22,0))/(1-Model!$B$9)/(1+Model!$B$18)^85))</f>
        <v/>
      </c>
      <c r="CV27" s="7">
        <f>IF(A27="","",IF((A27+86)&gt;Model!$B$4,0,MAX(0,Model!$B$6-IF((A27+86)&gt;=Model!$B$11,Model!$B$20,0)-IF(86&lt;Model!$B$15,Model!$B$22,0))/(1-Model!$B$9)/(1+Model!$B$18)^86))</f>
        <v/>
      </c>
      <c r="CW27" s="7">
        <f>IF(A27="","",IF((A27+87)&gt;Model!$B$4,0,MAX(0,Model!$B$6-IF((A27+87)&gt;=Model!$B$11,Model!$B$20,0)-IF(87&lt;Model!$B$15,Model!$B$22,0))/(1-Model!$B$9)/(1+Model!$B$18)^87))</f>
        <v/>
      </c>
      <c r="CX27" s="7">
        <f>IF(A27="","",IF((A27+88)&gt;Model!$B$4,0,MAX(0,Model!$B$6-IF((A27+88)&gt;=Model!$B$11,Model!$B$20,0)-IF(88&lt;Model!$B$15,Model!$B$22,0))/(1-Model!$B$9)/(1+Model!$B$18)^88))</f>
        <v/>
      </c>
      <c r="CY27" s="7">
        <f>IF(A27="","",IF((A27+89)&gt;Model!$B$4,0,MAX(0,Model!$B$6-IF((A27+89)&gt;=Model!$B$11,Model!$B$20,0)-IF(89&lt;Model!$B$15,Model!$B$22,0))/(1-Model!$B$9)/(1+Model!$B$18)^89))</f>
        <v/>
      </c>
      <c r="CZ27" s="7">
        <f>IF(A27="","",IF((A27+90)&gt;Model!$B$4,0,MAX(0,Model!$B$6-IF((A27+90)&gt;=Model!$B$11,Model!$B$20,0)-IF(90&lt;Model!$B$15,Model!$B$22,0))/(1-Model!$B$9)/(1+Model!$B$18)^90))</f>
        <v/>
      </c>
      <c r="DA27" s="7">
        <f>IF(A27="","",IF((A27+91)&gt;Model!$B$4,0,MAX(0,Model!$B$6-IF((A27+91)&gt;=Model!$B$11,Model!$B$20,0)-IF(91&lt;Model!$B$15,Model!$B$22,0))/(1-Model!$B$9)/(1+Model!$B$18)^91))</f>
        <v/>
      </c>
      <c r="DB27" s="7">
        <f>IF(A27="","",IF((A27+92)&gt;Model!$B$4,0,MAX(0,Model!$B$6-IF((A27+92)&gt;=Model!$B$11,Model!$B$20,0)-IF(92&lt;Model!$B$15,Model!$B$22,0))/(1-Model!$B$9)/(1+Model!$B$18)^92))</f>
        <v/>
      </c>
      <c r="DC27" s="7">
        <f>IF(A27="","",IF((A27+93)&gt;Model!$B$4,0,MAX(0,Model!$B$6-IF((A27+93)&gt;=Model!$B$11,Model!$B$20,0)-IF(93&lt;Model!$B$15,Model!$B$22,0))/(1-Model!$B$9)/(1+Model!$B$18)^93))</f>
        <v/>
      </c>
      <c r="DD27" s="7">
        <f>IF(A27="","",IF((A27+94)&gt;Model!$B$4,0,MAX(0,Model!$B$6-IF((A27+94)&gt;=Model!$B$11,Model!$B$20,0)-IF(94&lt;Model!$B$15,Model!$B$22,0))/(1-Model!$B$9)/(1+Model!$B$18)^94))</f>
        <v/>
      </c>
      <c r="DE27" s="7">
        <f>IF(A27="","",IF((A27+95)&gt;Model!$B$4,0,MAX(0,Model!$B$6-IF((A27+95)&gt;=Model!$B$11,Model!$B$20,0)-IF(95&lt;Model!$B$15,Model!$B$22,0))/(1-Model!$B$9)/(1+Model!$B$18)^95))</f>
        <v/>
      </c>
      <c r="DF27" s="7">
        <f>IF(A27="","",IF((A27+96)&gt;Model!$B$4,0,MAX(0,Model!$B$6-IF((A27+96)&gt;=Model!$B$11,Model!$B$20,0)-IF(96&lt;Model!$B$15,Model!$B$22,0))/(1-Model!$B$9)/(1+Model!$B$18)^96))</f>
        <v/>
      </c>
      <c r="DG27" s="7">
        <f>IF(A27="","",IF((A27+97)&gt;Model!$B$4,0,MAX(0,Model!$B$6-IF((A27+97)&gt;=Model!$B$11,Model!$B$20,0)-IF(97&lt;Model!$B$15,Model!$B$22,0))/(1-Model!$B$9)/(1+Model!$B$18)^97))</f>
        <v/>
      </c>
      <c r="DH27" s="7">
        <f>IF(A27="","",IF((A27+98)&gt;Model!$B$4,0,MAX(0,Model!$B$6-IF((A27+98)&gt;=Model!$B$11,Model!$B$20,0)-IF(98&lt;Model!$B$15,Model!$B$22,0))/(1-Model!$B$9)/(1+Model!$B$18)^98))</f>
        <v/>
      </c>
      <c r="DI27" s="7">
        <f>IF(A27="","",IF((A27+99)&gt;Model!$B$4,0,MAX(0,Model!$B$6-IF((A27+99)&gt;=Model!$B$11,Model!$B$20,0)-IF(99&lt;Model!$B$15,Model!$B$22,0))/(1-Model!$B$9)/(1+Model!$B$18)^99))</f>
        <v/>
      </c>
      <c r="DJ27" s="7">
        <f>IF(A27="","",IF((A27+100)&gt;Model!$B$4,0,MAX(0,Model!$B$6-IF((A27+100)&gt;=Model!$B$11,Model!$B$20,0)-IF(100&lt;Model!$B$15,Model!$B$22,0))/(1-Model!$B$9)/(1+Model!$B$18)^100))</f>
        <v/>
      </c>
      <c r="DK27" s="7">
        <f>IF(A27="","",IF((A27+101)&gt;Model!$B$4,0,MAX(0,Model!$B$6-IF((A27+101)&gt;=Model!$B$11,Model!$B$20,0)-IF(101&lt;Model!$B$15,Model!$B$22,0))/(1-Model!$B$9)/(1+Model!$B$18)^101))</f>
        <v/>
      </c>
      <c r="DL27" s="7">
        <f>IF(A27="","",IF((A27+102)&gt;Model!$B$4,0,MAX(0,Model!$B$6-IF((A27+102)&gt;=Model!$B$11,Model!$B$20,0)-IF(102&lt;Model!$B$15,Model!$B$22,0))/(1-Model!$B$9)/(1+Model!$B$18)^102))</f>
        <v/>
      </c>
      <c r="DM27" s="7">
        <f>IF(A27="","",IF((A27+103)&gt;Model!$B$4,0,MAX(0,Model!$B$6-IF((A27+103)&gt;=Model!$B$11,Model!$B$20,0)-IF(103&lt;Model!$B$15,Model!$B$22,0))/(1-Model!$B$9)/(1+Model!$B$18)^103))</f>
        <v/>
      </c>
      <c r="DN27" s="7">
        <f>IF(A27="","",IF((A27+104)&gt;Model!$B$4,0,MAX(0,Model!$B$6-IF((A27+104)&gt;=Model!$B$11,Model!$B$20,0)-IF(104&lt;Model!$B$15,Model!$B$22,0))/(1-Model!$B$9)/(1+Model!$B$18)^104))</f>
        <v/>
      </c>
      <c r="DO27" s="7">
        <f>IF(A27="","",IF((A27+105)&gt;Model!$B$4,0,MAX(0,Model!$B$6-IF((A27+105)&gt;=Model!$B$11,Model!$B$20,0)-IF(105&lt;Model!$B$15,Model!$B$22,0))/(1-Model!$B$9)/(1+Model!$B$18)^105))</f>
        <v/>
      </c>
      <c r="DP27" s="7">
        <f>IF(A27="","",IF((A27+106)&gt;Model!$B$4,0,MAX(0,Model!$B$6-IF((A27+106)&gt;=Model!$B$11,Model!$B$20,0)-IF(106&lt;Model!$B$15,Model!$B$22,0))/(1-Model!$B$9)/(1+Model!$B$18)^106))</f>
        <v/>
      </c>
      <c r="DQ27" s="7">
        <f>IF(A27="","",IF((A27+107)&gt;Model!$B$4,0,MAX(0,Model!$B$6-IF((A27+107)&gt;=Model!$B$11,Model!$B$20,0)-IF(107&lt;Model!$B$15,Model!$B$22,0))/(1-Model!$B$9)/(1+Model!$B$18)^107))</f>
        <v/>
      </c>
      <c r="DR27" s="7">
        <f>IF(A27="","",IF((A27+108)&gt;Model!$B$4,0,MAX(0,Model!$B$6-IF((A27+108)&gt;=Model!$B$11,Model!$B$20,0)-IF(108&lt;Model!$B$15,Model!$B$22,0))/(1-Model!$B$9)/(1+Model!$B$18)^108))</f>
        <v/>
      </c>
      <c r="DS27" s="7">
        <f>IF(A27="","",IF((A27+109)&gt;Model!$B$4,0,MAX(0,Model!$B$6-IF((A27+109)&gt;=Model!$B$11,Model!$B$20,0)-IF(109&lt;Model!$B$15,Model!$B$22,0))/(1-Model!$B$9)/(1+Model!$B$18)^109))</f>
        <v/>
      </c>
      <c r="DT27" s="7">
        <f>IF(A27="","",IF((A27+110)&gt;Model!$B$4,0,MAX(0,Model!$B$6-IF((A27+110)&gt;=Model!$B$11,Model!$B$20,0)-IF(110&lt;Model!$B$15,Model!$B$22,0))/(1-Model!$B$9)/(1+Model!$B$18)^110))</f>
        <v/>
      </c>
      <c r="DU27" s="7">
        <f>IF(A27="","",IF((A27+111)&gt;Model!$B$4,0,MAX(0,Model!$B$6-IF((A27+111)&gt;=Model!$B$11,Model!$B$20,0)-IF(111&lt;Model!$B$15,Model!$B$22,0))/(1-Model!$B$9)/(1+Model!$B$18)^111))</f>
        <v/>
      </c>
      <c r="DV27" s="7">
        <f>IF(A27="","",IF((A27+112)&gt;Model!$B$4,0,MAX(0,Model!$B$6-IF((A27+112)&gt;=Model!$B$11,Model!$B$20,0)-IF(112&lt;Model!$B$15,Model!$B$22,0))/(1-Model!$B$9)/(1+Model!$B$18)^112))</f>
        <v/>
      </c>
      <c r="DW27" s="7">
        <f>IF(A27="","",IF((A27+113)&gt;Model!$B$4,0,MAX(0,Model!$B$6-IF((A27+113)&gt;=Model!$B$11,Model!$B$20,0)-IF(113&lt;Model!$B$15,Model!$B$22,0))/(1-Model!$B$9)/(1+Model!$B$18)^113))</f>
        <v/>
      </c>
      <c r="DX27" s="7">
        <f>IF(A27="","",IF((A27+114)&gt;Model!$B$4,0,MAX(0,Model!$B$6-IF((A27+114)&gt;=Model!$B$11,Model!$B$20,0)-IF(114&lt;Model!$B$15,Model!$B$22,0))/(1-Model!$B$9)/(1+Model!$B$18)^114))</f>
        <v/>
      </c>
      <c r="DY27" s="7">
        <f>IF(A27="","",IF((A27+115)&gt;Model!$B$4,0,MAX(0,Model!$B$6-IF((A27+115)&gt;=Model!$B$11,Model!$B$20,0)-IF(115&lt;Model!$B$15,Model!$B$22,0))/(1-Model!$B$9)/(1+Model!$B$18)^115))</f>
        <v/>
      </c>
      <c r="DZ27" s="7">
        <f>IF(A27="","",IF((A27+116)&gt;Model!$B$4,0,MAX(0,Model!$B$6-IF((A27+116)&gt;=Model!$B$11,Model!$B$20,0)-IF(116&lt;Model!$B$15,Model!$B$22,0))/(1-Model!$B$9)/(1+Model!$B$18)^116))</f>
        <v/>
      </c>
      <c r="EA27" s="7">
        <f>IF(A27="","",IF((A27+117)&gt;Model!$B$4,0,MAX(0,Model!$B$6-IF((A27+117)&gt;=Model!$B$11,Model!$B$20,0)-IF(117&lt;Model!$B$15,Model!$B$22,0))/(1-Model!$B$9)/(1+Model!$B$18)^117))</f>
        <v/>
      </c>
      <c r="EB27" s="7">
        <f>IF(A27="","",IF((A27+118)&gt;Model!$B$4,0,MAX(0,Model!$B$6-IF((A27+118)&gt;=Model!$B$11,Model!$B$20,0)-IF(118&lt;Model!$B$15,Model!$B$22,0))/(1-Model!$B$9)/(1+Model!$B$18)^118))</f>
        <v/>
      </c>
      <c r="EC27" s="7">
        <f>IF(A27="","",IF((A27+119)&gt;Model!$B$4,0,MAX(0,Model!$B$6-IF((A27+119)&gt;=Model!$B$11,Model!$B$20,0)-IF(119&lt;Model!$B$15,Model!$B$22,0))/(1-Model!$B$9)/(1+Model!$B$18)^119))</f>
        <v/>
      </c>
      <c r="ED27" s="7">
        <f>IF(A27="","",IF((A27+120)&gt;Model!$B$4,0,MAX(0,Model!$B$6-IF((A27+120)&gt;=Model!$B$11,Model!$B$20,0)-IF(120&lt;Model!$B$15,Model!$B$22,0))/(1-Model!$B$9)/(1+Model!$B$18)^120))</f>
        <v/>
      </c>
    </row>
    <row r="28">
      <c r="A28">
        <f>IF(Model!$B$10+ROW()-2&lt;=Model!$B$4,Model!$B$10+ROW()-2,"")</f>
        <v/>
      </c>
      <c r="B28">
        <f>IF(A28="","",A28-Model!$B$10)</f>
        <v/>
      </c>
      <c r="C28" s="7">
        <f>IF(A28="","",Model!$B$5*(1+Model!$B$18)^B28)</f>
        <v/>
      </c>
      <c r="D28" s="7">
        <f>IF(A28="","",SUM(N28:ED28))</f>
        <v/>
      </c>
      <c r="E28" s="7">
        <f>IF(A28="","",IF(A28&gt;=Model!$B$11,Model!$B$20,0))</f>
        <v/>
      </c>
      <c r="F28" s="7">
        <f>IF(A28="","",IF(Model!$B$15&gt;0,Model!$B$22,0))</f>
        <v/>
      </c>
      <c r="G28" s="7">
        <f>IF(A28="","",E28+F28)</f>
        <v/>
      </c>
      <c r="H28" s="7">
        <f>IF(A28="","",MAX(0,Model!$B$6-G28))</f>
        <v/>
      </c>
      <c r="I28" s="7">
        <f>IF(A28="","",H28/(1-Model!$B$9))</f>
        <v/>
      </c>
      <c r="J28" s="7">
        <f>IF(A28="","",C28-D28)</f>
        <v/>
      </c>
      <c r="K28">
        <f>IF(A28="","",C28&gt;=D28)</f>
        <v/>
      </c>
      <c r="L28" s="7">
        <f>IF(A28="","",IF(A28&gt;=Model!$B$11,Model!$B$19*(1+Model!$B$13)^B28,0))</f>
        <v/>
      </c>
      <c r="M28" s="7">
        <f>IF(A28="","",IF(Model!$B$15&gt;0,Model!$B$21*(1+Model!$B$13)^B28,0))</f>
        <v/>
      </c>
      <c r="N28" s="7">
        <f>IF(A28="","",IF((A28+0)&gt;Model!$B$4,0,MAX(0,Model!$B$6-IF((A28+0)&gt;=Model!$B$11,Model!$B$20,0)-IF(0&lt;Model!$B$15,Model!$B$22,0))/(1-Model!$B$9)/(1+Model!$B$18)^0))</f>
        <v/>
      </c>
      <c r="O28" s="7">
        <f>IF(A28="","",IF((A28+1)&gt;Model!$B$4,0,MAX(0,Model!$B$6-IF((A28+1)&gt;=Model!$B$11,Model!$B$20,0)-IF(1&lt;Model!$B$15,Model!$B$22,0))/(1-Model!$B$9)/(1+Model!$B$18)^1))</f>
        <v/>
      </c>
      <c r="P28" s="7">
        <f>IF(A28="","",IF((A28+2)&gt;Model!$B$4,0,MAX(0,Model!$B$6-IF((A28+2)&gt;=Model!$B$11,Model!$B$20,0)-IF(2&lt;Model!$B$15,Model!$B$22,0))/(1-Model!$B$9)/(1+Model!$B$18)^2))</f>
        <v/>
      </c>
      <c r="Q28" s="7">
        <f>IF(A28="","",IF((A28+3)&gt;Model!$B$4,0,MAX(0,Model!$B$6-IF((A28+3)&gt;=Model!$B$11,Model!$B$20,0)-IF(3&lt;Model!$B$15,Model!$B$22,0))/(1-Model!$B$9)/(1+Model!$B$18)^3))</f>
        <v/>
      </c>
      <c r="R28" s="7">
        <f>IF(A28="","",IF((A28+4)&gt;Model!$B$4,0,MAX(0,Model!$B$6-IF((A28+4)&gt;=Model!$B$11,Model!$B$20,0)-IF(4&lt;Model!$B$15,Model!$B$22,0))/(1-Model!$B$9)/(1+Model!$B$18)^4))</f>
        <v/>
      </c>
      <c r="S28" s="7">
        <f>IF(A28="","",IF((A28+5)&gt;Model!$B$4,0,MAX(0,Model!$B$6-IF((A28+5)&gt;=Model!$B$11,Model!$B$20,0)-IF(5&lt;Model!$B$15,Model!$B$22,0))/(1-Model!$B$9)/(1+Model!$B$18)^5))</f>
        <v/>
      </c>
      <c r="T28" s="7">
        <f>IF(A28="","",IF((A28+6)&gt;Model!$B$4,0,MAX(0,Model!$B$6-IF((A28+6)&gt;=Model!$B$11,Model!$B$20,0)-IF(6&lt;Model!$B$15,Model!$B$22,0))/(1-Model!$B$9)/(1+Model!$B$18)^6))</f>
        <v/>
      </c>
      <c r="U28" s="7">
        <f>IF(A28="","",IF((A28+7)&gt;Model!$B$4,0,MAX(0,Model!$B$6-IF((A28+7)&gt;=Model!$B$11,Model!$B$20,0)-IF(7&lt;Model!$B$15,Model!$B$22,0))/(1-Model!$B$9)/(1+Model!$B$18)^7))</f>
        <v/>
      </c>
      <c r="V28" s="7">
        <f>IF(A28="","",IF((A28+8)&gt;Model!$B$4,0,MAX(0,Model!$B$6-IF((A28+8)&gt;=Model!$B$11,Model!$B$20,0)-IF(8&lt;Model!$B$15,Model!$B$22,0))/(1-Model!$B$9)/(1+Model!$B$18)^8))</f>
        <v/>
      </c>
      <c r="W28" s="7">
        <f>IF(A28="","",IF((A28+9)&gt;Model!$B$4,0,MAX(0,Model!$B$6-IF((A28+9)&gt;=Model!$B$11,Model!$B$20,0)-IF(9&lt;Model!$B$15,Model!$B$22,0))/(1-Model!$B$9)/(1+Model!$B$18)^9))</f>
        <v/>
      </c>
      <c r="X28" s="7">
        <f>IF(A28="","",IF((A28+10)&gt;Model!$B$4,0,MAX(0,Model!$B$6-IF((A28+10)&gt;=Model!$B$11,Model!$B$20,0)-IF(10&lt;Model!$B$15,Model!$B$22,0))/(1-Model!$B$9)/(1+Model!$B$18)^10))</f>
        <v/>
      </c>
      <c r="Y28" s="7">
        <f>IF(A28="","",IF((A28+11)&gt;Model!$B$4,0,MAX(0,Model!$B$6-IF((A28+11)&gt;=Model!$B$11,Model!$B$20,0)-IF(11&lt;Model!$B$15,Model!$B$22,0))/(1-Model!$B$9)/(1+Model!$B$18)^11))</f>
        <v/>
      </c>
      <c r="Z28" s="7">
        <f>IF(A28="","",IF((A28+12)&gt;Model!$B$4,0,MAX(0,Model!$B$6-IF((A28+12)&gt;=Model!$B$11,Model!$B$20,0)-IF(12&lt;Model!$B$15,Model!$B$22,0))/(1-Model!$B$9)/(1+Model!$B$18)^12))</f>
        <v/>
      </c>
      <c r="AA28" s="7">
        <f>IF(A28="","",IF((A28+13)&gt;Model!$B$4,0,MAX(0,Model!$B$6-IF((A28+13)&gt;=Model!$B$11,Model!$B$20,0)-IF(13&lt;Model!$B$15,Model!$B$22,0))/(1-Model!$B$9)/(1+Model!$B$18)^13))</f>
        <v/>
      </c>
      <c r="AB28" s="7">
        <f>IF(A28="","",IF((A28+14)&gt;Model!$B$4,0,MAX(0,Model!$B$6-IF((A28+14)&gt;=Model!$B$11,Model!$B$20,0)-IF(14&lt;Model!$B$15,Model!$B$22,0))/(1-Model!$B$9)/(1+Model!$B$18)^14))</f>
        <v/>
      </c>
      <c r="AC28" s="7">
        <f>IF(A28="","",IF((A28+15)&gt;Model!$B$4,0,MAX(0,Model!$B$6-IF((A28+15)&gt;=Model!$B$11,Model!$B$20,0)-IF(15&lt;Model!$B$15,Model!$B$22,0))/(1-Model!$B$9)/(1+Model!$B$18)^15))</f>
        <v/>
      </c>
      <c r="AD28" s="7">
        <f>IF(A28="","",IF((A28+16)&gt;Model!$B$4,0,MAX(0,Model!$B$6-IF((A28+16)&gt;=Model!$B$11,Model!$B$20,0)-IF(16&lt;Model!$B$15,Model!$B$22,0))/(1-Model!$B$9)/(1+Model!$B$18)^16))</f>
        <v/>
      </c>
      <c r="AE28" s="7">
        <f>IF(A28="","",IF((A28+17)&gt;Model!$B$4,0,MAX(0,Model!$B$6-IF((A28+17)&gt;=Model!$B$11,Model!$B$20,0)-IF(17&lt;Model!$B$15,Model!$B$22,0))/(1-Model!$B$9)/(1+Model!$B$18)^17))</f>
        <v/>
      </c>
      <c r="AF28" s="7">
        <f>IF(A28="","",IF((A28+18)&gt;Model!$B$4,0,MAX(0,Model!$B$6-IF((A28+18)&gt;=Model!$B$11,Model!$B$20,0)-IF(18&lt;Model!$B$15,Model!$B$22,0))/(1-Model!$B$9)/(1+Model!$B$18)^18))</f>
        <v/>
      </c>
      <c r="AG28" s="7">
        <f>IF(A28="","",IF((A28+19)&gt;Model!$B$4,0,MAX(0,Model!$B$6-IF((A28+19)&gt;=Model!$B$11,Model!$B$20,0)-IF(19&lt;Model!$B$15,Model!$B$22,0))/(1-Model!$B$9)/(1+Model!$B$18)^19))</f>
        <v/>
      </c>
      <c r="AH28" s="7">
        <f>IF(A28="","",IF((A28+20)&gt;Model!$B$4,0,MAX(0,Model!$B$6-IF((A28+20)&gt;=Model!$B$11,Model!$B$20,0)-IF(20&lt;Model!$B$15,Model!$B$22,0))/(1-Model!$B$9)/(1+Model!$B$18)^20))</f>
        <v/>
      </c>
      <c r="AI28" s="7">
        <f>IF(A28="","",IF((A28+21)&gt;Model!$B$4,0,MAX(0,Model!$B$6-IF((A28+21)&gt;=Model!$B$11,Model!$B$20,0)-IF(21&lt;Model!$B$15,Model!$B$22,0))/(1-Model!$B$9)/(1+Model!$B$18)^21))</f>
        <v/>
      </c>
      <c r="AJ28" s="7">
        <f>IF(A28="","",IF((A28+22)&gt;Model!$B$4,0,MAX(0,Model!$B$6-IF((A28+22)&gt;=Model!$B$11,Model!$B$20,0)-IF(22&lt;Model!$B$15,Model!$B$22,0))/(1-Model!$B$9)/(1+Model!$B$18)^22))</f>
        <v/>
      </c>
      <c r="AK28" s="7">
        <f>IF(A28="","",IF((A28+23)&gt;Model!$B$4,0,MAX(0,Model!$B$6-IF((A28+23)&gt;=Model!$B$11,Model!$B$20,0)-IF(23&lt;Model!$B$15,Model!$B$22,0))/(1-Model!$B$9)/(1+Model!$B$18)^23))</f>
        <v/>
      </c>
      <c r="AL28" s="7">
        <f>IF(A28="","",IF((A28+24)&gt;Model!$B$4,0,MAX(0,Model!$B$6-IF((A28+24)&gt;=Model!$B$11,Model!$B$20,0)-IF(24&lt;Model!$B$15,Model!$B$22,0))/(1-Model!$B$9)/(1+Model!$B$18)^24))</f>
        <v/>
      </c>
      <c r="AM28" s="7">
        <f>IF(A28="","",IF((A28+25)&gt;Model!$B$4,0,MAX(0,Model!$B$6-IF((A28+25)&gt;=Model!$B$11,Model!$B$20,0)-IF(25&lt;Model!$B$15,Model!$B$22,0))/(1-Model!$B$9)/(1+Model!$B$18)^25))</f>
        <v/>
      </c>
      <c r="AN28" s="7">
        <f>IF(A28="","",IF((A28+26)&gt;Model!$B$4,0,MAX(0,Model!$B$6-IF((A28+26)&gt;=Model!$B$11,Model!$B$20,0)-IF(26&lt;Model!$B$15,Model!$B$22,0))/(1-Model!$B$9)/(1+Model!$B$18)^26))</f>
        <v/>
      </c>
      <c r="AO28" s="7">
        <f>IF(A28="","",IF((A28+27)&gt;Model!$B$4,0,MAX(0,Model!$B$6-IF((A28+27)&gt;=Model!$B$11,Model!$B$20,0)-IF(27&lt;Model!$B$15,Model!$B$22,0))/(1-Model!$B$9)/(1+Model!$B$18)^27))</f>
        <v/>
      </c>
      <c r="AP28" s="7">
        <f>IF(A28="","",IF((A28+28)&gt;Model!$B$4,0,MAX(0,Model!$B$6-IF((A28+28)&gt;=Model!$B$11,Model!$B$20,0)-IF(28&lt;Model!$B$15,Model!$B$22,0))/(1-Model!$B$9)/(1+Model!$B$18)^28))</f>
        <v/>
      </c>
      <c r="AQ28" s="7">
        <f>IF(A28="","",IF((A28+29)&gt;Model!$B$4,0,MAX(0,Model!$B$6-IF((A28+29)&gt;=Model!$B$11,Model!$B$20,0)-IF(29&lt;Model!$B$15,Model!$B$22,0))/(1-Model!$B$9)/(1+Model!$B$18)^29))</f>
        <v/>
      </c>
      <c r="AR28" s="7">
        <f>IF(A28="","",IF((A28+30)&gt;Model!$B$4,0,MAX(0,Model!$B$6-IF((A28+30)&gt;=Model!$B$11,Model!$B$20,0)-IF(30&lt;Model!$B$15,Model!$B$22,0))/(1-Model!$B$9)/(1+Model!$B$18)^30))</f>
        <v/>
      </c>
      <c r="AS28" s="7">
        <f>IF(A28="","",IF((A28+31)&gt;Model!$B$4,0,MAX(0,Model!$B$6-IF((A28+31)&gt;=Model!$B$11,Model!$B$20,0)-IF(31&lt;Model!$B$15,Model!$B$22,0))/(1-Model!$B$9)/(1+Model!$B$18)^31))</f>
        <v/>
      </c>
      <c r="AT28" s="7">
        <f>IF(A28="","",IF((A28+32)&gt;Model!$B$4,0,MAX(0,Model!$B$6-IF((A28+32)&gt;=Model!$B$11,Model!$B$20,0)-IF(32&lt;Model!$B$15,Model!$B$22,0))/(1-Model!$B$9)/(1+Model!$B$18)^32))</f>
        <v/>
      </c>
      <c r="AU28" s="7">
        <f>IF(A28="","",IF((A28+33)&gt;Model!$B$4,0,MAX(0,Model!$B$6-IF((A28+33)&gt;=Model!$B$11,Model!$B$20,0)-IF(33&lt;Model!$B$15,Model!$B$22,0))/(1-Model!$B$9)/(1+Model!$B$18)^33))</f>
        <v/>
      </c>
      <c r="AV28" s="7">
        <f>IF(A28="","",IF((A28+34)&gt;Model!$B$4,0,MAX(0,Model!$B$6-IF((A28+34)&gt;=Model!$B$11,Model!$B$20,0)-IF(34&lt;Model!$B$15,Model!$B$22,0))/(1-Model!$B$9)/(1+Model!$B$18)^34))</f>
        <v/>
      </c>
      <c r="AW28" s="7">
        <f>IF(A28="","",IF((A28+35)&gt;Model!$B$4,0,MAX(0,Model!$B$6-IF((A28+35)&gt;=Model!$B$11,Model!$B$20,0)-IF(35&lt;Model!$B$15,Model!$B$22,0))/(1-Model!$B$9)/(1+Model!$B$18)^35))</f>
        <v/>
      </c>
      <c r="AX28" s="7">
        <f>IF(A28="","",IF((A28+36)&gt;Model!$B$4,0,MAX(0,Model!$B$6-IF((A28+36)&gt;=Model!$B$11,Model!$B$20,0)-IF(36&lt;Model!$B$15,Model!$B$22,0))/(1-Model!$B$9)/(1+Model!$B$18)^36))</f>
        <v/>
      </c>
      <c r="AY28" s="7">
        <f>IF(A28="","",IF((A28+37)&gt;Model!$B$4,0,MAX(0,Model!$B$6-IF((A28+37)&gt;=Model!$B$11,Model!$B$20,0)-IF(37&lt;Model!$B$15,Model!$B$22,0))/(1-Model!$B$9)/(1+Model!$B$18)^37))</f>
        <v/>
      </c>
      <c r="AZ28" s="7">
        <f>IF(A28="","",IF((A28+38)&gt;Model!$B$4,0,MAX(0,Model!$B$6-IF((A28+38)&gt;=Model!$B$11,Model!$B$20,0)-IF(38&lt;Model!$B$15,Model!$B$22,0))/(1-Model!$B$9)/(1+Model!$B$18)^38))</f>
        <v/>
      </c>
      <c r="BA28" s="7">
        <f>IF(A28="","",IF((A28+39)&gt;Model!$B$4,0,MAX(0,Model!$B$6-IF((A28+39)&gt;=Model!$B$11,Model!$B$20,0)-IF(39&lt;Model!$B$15,Model!$B$22,0))/(1-Model!$B$9)/(1+Model!$B$18)^39))</f>
        <v/>
      </c>
      <c r="BB28" s="7">
        <f>IF(A28="","",IF((A28+40)&gt;Model!$B$4,0,MAX(0,Model!$B$6-IF((A28+40)&gt;=Model!$B$11,Model!$B$20,0)-IF(40&lt;Model!$B$15,Model!$B$22,0))/(1-Model!$B$9)/(1+Model!$B$18)^40))</f>
        <v/>
      </c>
      <c r="BC28" s="7">
        <f>IF(A28="","",IF((A28+41)&gt;Model!$B$4,0,MAX(0,Model!$B$6-IF((A28+41)&gt;=Model!$B$11,Model!$B$20,0)-IF(41&lt;Model!$B$15,Model!$B$22,0))/(1-Model!$B$9)/(1+Model!$B$18)^41))</f>
        <v/>
      </c>
      <c r="BD28" s="7">
        <f>IF(A28="","",IF((A28+42)&gt;Model!$B$4,0,MAX(0,Model!$B$6-IF((A28+42)&gt;=Model!$B$11,Model!$B$20,0)-IF(42&lt;Model!$B$15,Model!$B$22,0))/(1-Model!$B$9)/(1+Model!$B$18)^42))</f>
        <v/>
      </c>
      <c r="BE28" s="7">
        <f>IF(A28="","",IF((A28+43)&gt;Model!$B$4,0,MAX(0,Model!$B$6-IF((A28+43)&gt;=Model!$B$11,Model!$B$20,0)-IF(43&lt;Model!$B$15,Model!$B$22,0))/(1-Model!$B$9)/(1+Model!$B$18)^43))</f>
        <v/>
      </c>
      <c r="BF28" s="7">
        <f>IF(A28="","",IF((A28+44)&gt;Model!$B$4,0,MAX(0,Model!$B$6-IF((A28+44)&gt;=Model!$B$11,Model!$B$20,0)-IF(44&lt;Model!$B$15,Model!$B$22,0))/(1-Model!$B$9)/(1+Model!$B$18)^44))</f>
        <v/>
      </c>
      <c r="BG28" s="7">
        <f>IF(A28="","",IF((A28+45)&gt;Model!$B$4,0,MAX(0,Model!$B$6-IF((A28+45)&gt;=Model!$B$11,Model!$B$20,0)-IF(45&lt;Model!$B$15,Model!$B$22,0))/(1-Model!$B$9)/(1+Model!$B$18)^45))</f>
        <v/>
      </c>
      <c r="BH28" s="7">
        <f>IF(A28="","",IF((A28+46)&gt;Model!$B$4,0,MAX(0,Model!$B$6-IF((A28+46)&gt;=Model!$B$11,Model!$B$20,0)-IF(46&lt;Model!$B$15,Model!$B$22,0))/(1-Model!$B$9)/(1+Model!$B$18)^46))</f>
        <v/>
      </c>
      <c r="BI28" s="7">
        <f>IF(A28="","",IF((A28+47)&gt;Model!$B$4,0,MAX(0,Model!$B$6-IF((A28+47)&gt;=Model!$B$11,Model!$B$20,0)-IF(47&lt;Model!$B$15,Model!$B$22,0))/(1-Model!$B$9)/(1+Model!$B$18)^47))</f>
        <v/>
      </c>
      <c r="BJ28" s="7">
        <f>IF(A28="","",IF((A28+48)&gt;Model!$B$4,0,MAX(0,Model!$B$6-IF((A28+48)&gt;=Model!$B$11,Model!$B$20,0)-IF(48&lt;Model!$B$15,Model!$B$22,0))/(1-Model!$B$9)/(1+Model!$B$18)^48))</f>
        <v/>
      </c>
      <c r="BK28" s="7">
        <f>IF(A28="","",IF((A28+49)&gt;Model!$B$4,0,MAX(0,Model!$B$6-IF((A28+49)&gt;=Model!$B$11,Model!$B$20,0)-IF(49&lt;Model!$B$15,Model!$B$22,0))/(1-Model!$B$9)/(1+Model!$B$18)^49))</f>
        <v/>
      </c>
      <c r="BL28" s="7">
        <f>IF(A28="","",IF((A28+50)&gt;Model!$B$4,0,MAX(0,Model!$B$6-IF((A28+50)&gt;=Model!$B$11,Model!$B$20,0)-IF(50&lt;Model!$B$15,Model!$B$22,0))/(1-Model!$B$9)/(1+Model!$B$18)^50))</f>
        <v/>
      </c>
      <c r="BM28" s="7">
        <f>IF(A28="","",IF((A28+51)&gt;Model!$B$4,0,MAX(0,Model!$B$6-IF((A28+51)&gt;=Model!$B$11,Model!$B$20,0)-IF(51&lt;Model!$B$15,Model!$B$22,0))/(1-Model!$B$9)/(1+Model!$B$18)^51))</f>
        <v/>
      </c>
      <c r="BN28" s="7">
        <f>IF(A28="","",IF((A28+52)&gt;Model!$B$4,0,MAX(0,Model!$B$6-IF((A28+52)&gt;=Model!$B$11,Model!$B$20,0)-IF(52&lt;Model!$B$15,Model!$B$22,0))/(1-Model!$B$9)/(1+Model!$B$18)^52))</f>
        <v/>
      </c>
      <c r="BO28" s="7">
        <f>IF(A28="","",IF((A28+53)&gt;Model!$B$4,0,MAX(0,Model!$B$6-IF((A28+53)&gt;=Model!$B$11,Model!$B$20,0)-IF(53&lt;Model!$B$15,Model!$B$22,0))/(1-Model!$B$9)/(1+Model!$B$18)^53))</f>
        <v/>
      </c>
      <c r="BP28" s="7">
        <f>IF(A28="","",IF((A28+54)&gt;Model!$B$4,0,MAX(0,Model!$B$6-IF((A28+54)&gt;=Model!$B$11,Model!$B$20,0)-IF(54&lt;Model!$B$15,Model!$B$22,0))/(1-Model!$B$9)/(1+Model!$B$18)^54))</f>
        <v/>
      </c>
      <c r="BQ28" s="7">
        <f>IF(A28="","",IF((A28+55)&gt;Model!$B$4,0,MAX(0,Model!$B$6-IF((A28+55)&gt;=Model!$B$11,Model!$B$20,0)-IF(55&lt;Model!$B$15,Model!$B$22,0))/(1-Model!$B$9)/(1+Model!$B$18)^55))</f>
        <v/>
      </c>
      <c r="BR28" s="7">
        <f>IF(A28="","",IF((A28+56)&gt;Model!$B$4,0,MAX(0,Model!$B$6-IF((A28+56)&gt;=Model!$B$11,Model!$B$20,0)-IF(56&lt;Model!$B$15,Model!$B$22,0))/(1-Model!$B$9)/(1+Model!$B$18)^56))</f>
        <v/>
      </c>
      <c r="BS28" s="7">
        <f>IF(A28="","",IF((A28+57)&gt;Model!$B$4,0,MAX(0,Model!$B$6-IF((A28+57)&gt;=Model!$B$11,Model!$B$20,0)-IF(57&lt;Model!$B$15,Model!$B$22,0))/(1-Model!$B$9)/(1+Model!$B$18)^57))</f>
        <v/>
      </c>
      <c r="BT28" s="7">
        <f>IF(A28="","",IF((A28+58)&gt;Model!$B$4,0,MAX(0,Model!$B$6-IF((A28+58)&gt;=Model!$B$11,Model!$B$20,0)-IF(58&lt;Model!$B$15,Model!$B$22,0))/(1-Model!$B$9)/(1+Model!$B$18)^58))</f>
        <v/>
      </c>
      <c r="BU28" s="7">
        <f>IF(A28="","",IF((A28+59)&gt;Model!$B$4,0,MAX(0,Model!$B$6-IF((A28+59)&gt;=Model!$B$11,Model!$B$20,0)-IF(59&lt;Model!$B$15,Model!$B$22,0))/(1-Model!$B$9)/(1+Model!$B$18)^59))</f>
        <v/>
      </c>
      <c r="BV28" s="7">
        <f>IF(A28="","",IF((A28+60)&gt;Model!$B$4,0,MAX(0,Model!$B$6-IF((A28+60)&gt;=Model!$B$11,Model!$B$20,0)-IF(60&lt;Model!$B$15,Model!$B$22,0))/(1-Model!$B$9)/(1+Model!$B$18)^60))</f>
        <v/>
      </c>
      <c r="BW28" s="7">
        <f>IF(A28="","",IF((A28+61)&gt;Model!$B$4,0,MAX(0,Model!$B$6-IF((A28+61)&gt;=Model!$B$11,Model!$B$20,0)-IF(61&lt;Model!$B$15,Model!$B$22,0))/(1-Model!$B$9)/(1+Model!$B$18)^61))</f>
        <v/>
      </c>
      <c r="BX28" s="7">
        <f>IF(A28="","",IF((A28+62)&gt;Model!$B$4,0,MAX(0,Model!$B$6-IF((A28+62)&gt;=Model!$B$11,Model!$B$20,0)-IF(62&lt;Model!$B$15,Model!$B$22,0))/(1-Model!$B$9)/(1+Model!$B$18)^62))</f>
        <v/>
      </c>
      <c r="BY28" s="7">
        <f>IF(A28="","",IF((A28+63)&gt;Model!$B$4,0,MAX(0,Model!$B$6-IF((A28+63)&gt;=Model!$B$11,Model!$B$20,0)-IF(63&lt;Model!$B$15,Model!$B$22,0))/(1-Model!$B$9)/(1+Model!$B$18)^63))</f>
        <v/>
      </c>
      <c r="BZ28" s="7">
        <f>IF(A28="","",IF((A28+64)&gt;Model!$B$4,0,MAX(0,Model!$B$6-IF((A28+64)&gt;=Model!$B$11,Model!$B$20,0)-IF(64&lt;Model!$B$15,Model!$B$22,0))/(1-Model!$B$9)/(1+Model!$B$18)^64))</f>
        <v/>
      </c>
      <c r="CA28" s="7">
        <f>IF(A28="","",IF((A28+65)&gt;Model!$B$4,0,MAX(0,Model!$B$6-IF((A28+65)&gt;=Model!$B$11,Model!$B$20,0)-IF(65&lt;Model!$B$15,Model!$B$22,0))/(1-Model!$B$9)/(1+Model!$B$18)^65))</f>
        <v/>
      </c>
      <c r="CB28" s="7">
        <f>IF(A28="","",IF((A28+66)&gt;Model!$B$4,0,MAX(0,Model!$B$6-IF((A28+66)&gt;=Model!$B$11,Model!$B$20,0)-IF(66&lt;Model!$B$15,Model!$B$22,0))/(1-Model!$B$9)/(1+Model!$B$18)^66))</f>
        <v/>
      </c>
      <c r="CC28" s="7">
        <f>IF(A28="","",IF((A28+67)&gt;Model!$B$4,0,MAX(0,Model!$B$6-IF((A28+67)&gt;=Model!$B$11,Model!$B$20,0)-IF(67&lt;Model!$B$15,Model!$B$22,0))/(1-Model!$B$9)/(1+Model!$B$18)^67))</f>
        <v/>
      </c>
      <c r="CD28" s="7">
        <f>IF(A28="","",IF((A28+68)&gt;Model!$B$4,0,MAX(0,Model!$B$6-IF((A28+68)&gt;=Model!$B$11,Model!$B$20,0)-IF(68&lt;Model!$B$15,Model!$B$22,0))/(1-Model!$B$9)/(1+Model!$B$18)^68))</f>
        <v/>
      </c>
      <c r="CE28" s="7">
        <f>IF(A28="","",IF((A28+69)&gt;Model!$B$4,0,MAX(0,Model!$B$6-IF((A28+69)&gt;=Model!$B$11,Model!$B$20,0)-IF(69&lt;Model!$B$15,Model!$B$22,0))/(1-Model!$B$9)/(1+Model!$B$18)^69))</f>
        <v/>
      </c>
      <c r="CF28" s="7">
        <f>IF(A28="","",IF((A28+70)&gt;Model!$B$4,0,MAX(0,Model!$B$6-IF((A28+70)&gt;=Model!$B$11,Model!$B$20,0)-IF(70&lt;Model!$B$15,Model!$B$22,0))/(1-Model!$B$9)/(1+Model!$B$18)^70))</f>
        <v/>
      </c>
      <c r="CG28" s="7">
        <f>IF(A28="","",IF((A28+71)&gt;Model!$B$4,0,MAX(0,Model!$B$6-IF((A28+71)&gt;=Model!$B$11,Model!$B$20,0)-IF(71&lt;Model!$B$15,Model!$B$22,0))/(1-Model!$B$9)/(1+Model!$B$18)^71))</f>
        <v/>
      </c>
      <c r="CH28" s="7">
        <f>IF(A28="","",IF((A28+72)&gt;Model!$B$4,0,MAX(0,Model!$B$6-IF((A28+72)&gt;=Model!$B$11,Model!$B$20,0)-IF(72&lt;Model!$B$15,Model!$B$22,0))/(1-Model!$B$9)/(1+Model!$B$18)^72))</f>
        <v/>
      </c>
      <c r="CI28" s="7">
        <f>IF(A28="","",IF((A28+73)&gt;Model!$B$4,0,MAX(0,Model!$B$6-IF((A28+73)&gt;=Model!$B$11,Model!$B$20,0)-IF(73&lt;Model!$B$15,Model!$B$22,0))/(1-Model!$B$9)/(1+Model!$B$18)^73))</f>
        <v/>
      </c>
      <c r="CJ28" s="7">
        <f>IF(A28="","",IF((A28+74)&gt;Model!$B$4,0,MAX(0,Model!$B$6-IF((A28+74)&gt;=Model!$B$11,Model!$B$20,0)-IF(74&lt;Model!$B$15,Model!$B$22,0))/(1-Model!$B$9)/(1+Model!$B$18)^74))</f>
        <v/>
      </c>
      <c r="CK28" s="7">
        <f>IF(A28="","",IF((A28+75)&gt;Model!$B$4,0,MAX(0,Model!$B$6-IF((A28+75)&gt;=Model!$B$11,Model!$B$20,0)-IF(75&lt;Model!$B$15,Model!$B$22,0))/(1-Model!$B$9)/(1+Model!$B$18)^75))</f>
        <v/>
      </c>
      <c r="CL28" s="7">
        <f>IF(A28="","",IF((A28+76)&gt;Model!$B$4,0,MAX(0,Model!$B$6-IF((A28+76)&gt;=Model!$B$11,Model!$B$20,0)-IF(76&lt;Model!$B$15,Model!$B$22,0))/(1-Model!$B$9)/(1+Model!$B$18)^76))</f>
        <v/>
      </c>
      <c r="CM28" s="7">
        <f>IF(A28="","",IF((A28+77)&gt;Model!$B$4,0,MAX(0,Model!$B$6-IF((A28+77)&gt;=Model!$B$11,Model!$B$20,0)-IF(77&lt;Model!$B$15,Model!$B$22,0))/(1-Model!$B$9)/(1+Model!$B$18)^77))</f>
        <v/>
      </c>
      <c r="CN28" s="7">
        <f>IF(A28="","",IF((A28+78)&gt;Model!$B$4,0,MAX(0,Model!$B$6-IF((A28+78)&gt;=Model!$B$11,Model!$B$20,0)-IF(78&lt;Model!$B$15,Model!$B$22,0))/(1-Model!$B$9)/(1+Model!$B$18)^78))</f>
        <v/>
      </c>
      <c r="CO28" s="7">
        <f>IF(A28="","",IF((A28+79)&gt;Model!$B$4,0,MAX(0,Model!$B$6-IF((A28+79)&gt;=Model!$B$11,Model!$B$20,0)-IF(79&lt;Model!$B$15,Model!$B$22,0))/(1-Model!$B$9)/(1+Model!$B$18)^79))</f>
        <v/>
      </c>
      <c r="CP28" s="7">
        <f>IF(A28="","",IF((A28+80)&gt;Model!$B$4,0,MAX(0,Model!$B$6-IF((A28+80)&gt;=Model!$B$11,Model!$B$20,0)-IF(80&lt;Model!$B$15,Model!$B$22,0))/(1-Model!$B$9)/(1+Model!$B$18)^80))</f>
        <v/>
      </c>
      <c r="CQ28" s="7">
        <f>IF(A28="","",IF((A28+81)&gt;Model!$B$4,0,MAX(0,Model!$B$6-IF((A28+81)&gt;=Model!$B$11,Model!$B$20,0)-IF(81&lt;Model!$B$15,Model!$B$22,0))/(1-Model!$B$9)/(1+Model!$B$18)^81))</f>
        <v/>
      </c>
      <c r="CR28" s="7">
        <f>IF(A28="","",IF((A28+82)&gt;Model!$B$4,0,MAX(0,Model!$B$6-IF((A28+82)&gt;=Model!$B$11,Model!$B$20,0)-IF(82&lt;Model!$B$15,Model!$B$22,0))/(1-Model!$B$9)/(1+Model!$B$18)^82))</f>
        <v/>
      </c>
      <c r="CS28" s="7">
        <f>IF(A28="","",IF((A28+83)&gt;Model!$B$4,0,MAX(0,Model!$B$6-IF((A28+83)&gt;=Model!$B$11,Model!$B$20,0)-IF(83&lt;Model!$B$15,Model!$B$22,0))/(1-Model!$B$9)/(1+Model!$B$18)^83))</f>
        <v/>
      </c>
      <c r="CT28" s="7">
        <f>IF(A28="","",IF((A28+84)&gt;Model!$B$4,0,MAX(0,Model!$B$6-IF((A28+84)&gt;=Model!$B$11,Model!$B$20,0)-IF(84&lt;Model!$B$15,Model!$B$22,0))/(1-Model!$B$9)/(1+Model!$B$18)^84))</f>
        <v/>
      </c>
      <c r="CU28" s="7">
        <f>IF(A28="","",IF((A28+85)&gt;Model!$B$4,0,MAX(0,Model!$B$6-IF((A28+85)&gt;=Model!$B$11,Model!$B$20,0)-IF(85&lt;Model!$B$15,Model!$B$22,0))/(1-Model!$B$9)/(1+Model!$B$18)^85))</f>
        <v/>
      </c>
      <c r="CV28" s="7">
        <f>IF(A28="","",IF((A28+86)&gt;Model!$B$4,0,MAX(0,Model!$B$6-IF((A28+86)&gt;=Model!$B$11,Model!$B$20,0)-IF(86&lt;Model!$B$15,Model!$B$22,0))/(1-Model!$B$9)/(1+Model!$B$18)^86))</f>
        <v/>
      </c>
      <c r="CW28" s="7">
        <f>IF(A28="","",IF((A28+87)&gt;Model!$B$4,0,MAX(0,Model!$B$6-IF((A28+87)&gt;=Model!$B$11,Model!$B$20,0)-IF(87&lt;Model!$B$15,Model!$B$22,0))/(1-Model!$B$9)/(1+Model!$B$18)^87))</f>
        <v/>
      </c>
      <c r="CX28" s="7">
        <f>IF(A28="","",IF((A28+88)&gt;Model!$B$4,0,MAX(0,Model!$B$6-IF((A28+88)&gt;=Model!$B$11,Model!$B$20,0)-IF(88&lt;Model!$B$15,Model!$B$22,0))/(1-Model!$B$9)/(1+Model!$B$18)^88))</f>
        <v/>
      </c>
      <c r="CY28" s="7">
        <f>IF(A28="","",IF((A28+89)&gt;Model!$B$4,0,MAX(0,Model!$B$6-IF((A28+89)&gt;=Model!$B$11,Model!$B$20,0)-IF(89&lt;Model!$B$15,Model!$B$22,0))/(1-Model!$B$9)/(1+Model!$B$18)^89))</f>
        <v/>
      </c>
      <c r="CZ28" s="7">
        <f>IF(A28="","",IF((A28+90)&gt;Model!$B$4,0,MAX(0,Model!$B$6-IF((A28+90)&gt;=Model!$B$11,Model!$B$20,0)-IF(90&lt;Model!$B$15,Model!$B$22,0))/(1-Model!$B$9)/(1+Model!$B$18)^90))</f>
        <v/>
      </c>
      <c r="DA28" s="7">
        <f>IF(A28="","",IF((A28+91)&gt;Model!$B$4,0,MAX(0,Model!$B$6-IF((A28+91)&gt;=Model!$B$11,Model!$B$20,0)-IF(91&lt;Model!$B$15,Model!$B$22,0))/(1-Model!$B$9)/(1+Model!$B$18)^91))</f>
        <v/>
      </c>
      <c r="DB28" s="7">
        <f>IF(A28="","",IF((A28+92)&gt;Model!$B$4,0,MAX(0,Model!$B$6-IF((A28+92)&gt;=Model!$B$11,Model!$B$20,0)-IF(92&lt;Model!$B$15,Model!$B$22,0))/(1-Model!$B$9)/(1+Model!$B$18)^92))</f>
        <v/>
      </c>
      <c r="DC28" s="7">
        <f>IF(A28="","",IF((A28+93)&gt;Model!$B$4,0,MAX(0,Model!$B$6-IF((A28+93)&gt;=Model!$B$11,Model!$B$20,0)-IF(93&lt;Model!$B$15,Model!$B$22,0))/(1-Model!$B$9)/(1+Model!$B$18)^93))</f>
        <v/>
      </c>
      <c r="DD28" s="7">
        <f>IF(A28="","",IF((A28+94)&gt;Model!$B$4,0,MAX(0,Model!$B$6-IF((A28+94)&gt;=Model!$B$11,Model!$B$20,0)-IF(94&lt;Model!$B$15,Model!$B$22,0))/(1-Model!$B$9)/(1+Model!$B$18)^94))</f>
        <v/>
      </c>
      <c r="DE28" s="7">
        <f>IF(A28="","",IF((A28+95)&gt;Model!$B$4,0,MAX(0,Model!$B$6-IF((A28+95)&gt;=Model!$B$11,Model!$B$20,0)-IF(95&lt;Model!$B$15,Model!$B$22,0))/(1-Model!$B$9)/(1+Model!$B$18)^95))</f>
        <v/>
      </c>
      <c r="DF28" s="7">
        <f>IF(A28="","",IF((A28+96)&gt;Model!$B$4,0,MAX(0,Model!$B$6-IF((A28+96)&gt;=Model!$B$11,Model!$B$20,0)-IF(96&lt;Model!$B$15,Model!$B$22,0))/(1-Model!$B$9)/(1+Model!$B$18)^96))</f>
        <v/>
      </c>
      <c r="DG28" s="7">
        <f>IF(A28="","",IF((A28+97)&gt;Model!$B$4,0,MAX(0,Model!$B$6-IF((A28+97)&gt;=Model!$B$11,Model!$B$20,0)-IF(97&lt;Model!$B$15,Model!$B$22,0))/(1-Model!$B$9)/(1+Model!$B$18)^97))</f>
        <v/>
      </c>
      <c r="DH28" s="7">
        <f>IF(A28="","",IF((A28+98)&gt;Model!$B$4,0,MAX(0,Model!$B$6-IF((A28+98)&gt;=Model!$B$11,Model!$B$20,0)-IF(98&lt;Model!$B$15,Model!$B$22,0))/(1-Model!$B$9)/(1+Model!$B$18)^98))</f>
        <v/>
      </c>
      <c r="DI28" s="7">
        <f>IF(A28="","",IF((A28+99)&gt;Model!$B$4,0,MAX(0,Model!$B$6-IF((A28+99)&gt;=Model!$B$11,Model!$B$20,0)-IF(99&lt;Model!$B$15,Model!$B$22,0))/(1-Model!$B$9)/(1+Model!$B$18)^99))</f>
        <v/>
      </c>
      <c r="DJ28" s="7">
        <f>IF(A28="","",IF((A28+100)&gt;Model!$B$4,0,MAX(0,Model!$B$6-IF((A28+100)&gt;=Model!$B$11,Model!$B$20,0)-IF(100&lt;Model!$B$15,Model!$B$22,0))/(1-Model!$B$9)/(1+Model!$B$18)^100))</f>
        <v/>
      </c>
      <c r="DK28" s="7">
        <f>IF(A28="","",IF((A28+101)&gt;Model!$B$4,0,MAX(0,Model!$B$6-IF((A28+101)&gt;=Model!$B$11,Model!$B$20,0)-IF(101&lt;Model!$B$15,Model!$B$22,0))/(1-Model!$B$9)/(1+Model!$B$18)^101))</f>
        <v/>
      </c>
      <c r="DL28" s="7">
        <f>IF(A28="","",IF((A28+102)&gt;Model!$B$4,0,MAX(0,Model!$B$6-IF((A28+102)&gt;=Model!$B$11,Model!$B$20,0)-IF(102&lt;Model!$B$15,Model!$B$22,0))/(1-Model!$B$9)/(1+Model!$B$18)^102))</f>
        <v/>
      </c>
      <c r="DM28" s="7">
        <f>IF(A28="","",IF((A28+103)&gt;Model!$B$4,0,MAX(0,Model!$B$6-IF((A28+103)&gt;=Model!$B$11,Model!$B$20,0)-IF(103&lt;Model!$B$15,Model!$B$22,0))/(1-Model!$B$9)/(1+Model!$B$18)^103))</f>
        <v/>
      </c>
      <c r="DN28" s="7">
        <f>IF(A28="","",IF((A28+104)&gt;Model!$B$4,0,MAX(0,Model!$B$6-IF((A28+104)&gt;=Model!$B$11,Model!$B$20,0)-IF(104&lt;Model!$B$15,Model!$B$22,0))/(1-Model!$B$9)/(1+Model!$B$18)^104))</f>
        <v/>
      </c>
      <c r="DO28" s="7">
        <f>IF(A28="","",IF((A28+105)&gt;Model!$B$4,0,MAX(0,Model!$B$6-IF((A28+105)&gt;=Model!$B$11,Model!$B$20,0)-IF(105&lt;Model!$B$15,Model!$B$22,0))/(1-Model!$B$9)/(1+Model!$B$18)^105))</f>
        <v/>
      </c>
      <c r="DP28" s="7">
        <f>IF(A28="","",IF((A28+106)&gt;Model!$B$4,0,MAX(0,Model!$B$6-IF((A28+106)&gt;=Model!$B$11,Model!$B$20,0)-IF(106&lt;Model!$B$15,Model!$B$22,0))/(1-Model!$B$9)/(1+Model!$B$18)^106))</f>
        <v/>
      </c>
      <c r="DQ28" s="7">
        <f>IF(A28="","",IF((A28+107)&gt;Model!$B$4,0,MAX(0,Model!$B$6-IF((A28+107)&gt;=Model!$B$11,Model!$B$20,0)-IF(107&lt;Model!$B$15,Model!$B$22,0))/(1-Model!$B$9)/(1+Model!$B$18)^107))</f>
        <v/>
      </c>
      <c r="DR28" s="7">
        <f>IF(A28="","",IF((A28+108)&gt;Model!$B$4,0,MAX(0,Model!$B$6-IF((A28+108)&gt;=Model!$B$11,Model!$B$20,0)-IF(108&lt;Model!$B$15,Model!$B$22,0))/(1-Model!$B$9)/(1+Model!$B$18)^108))</f>
        <v/>
      </c>
      <c r="DS28" s="7">
        <f>IF(A28="","",IF((A28+109)&gt;Model!$B$4,0,MAX(0,Model!$B$6-IF((A28+109)&gt;=Model!$B$11,Model!$B$20,0)-IF(109&lt;Model!$B$15,Model!$B$22,0))/(1-Model!$B$9)/(1+Model!$B$18)^109))</f>
        <v/>
      </c>
      <c r="DT28" s="7">
        <f>IF(A28="","",IF((A28+110)&gt;Model!$B$4,0,MAX(0,Model!$B$6-IF((A28+110)&gt;=Model!$B$11,Model!$B$20,0)-IF(110&lt;Model!$B$15,Model!$B$22,0))/(1-Model!$B$9)/(1+Model!$B$18)^110))</f>
        <v/>
      </c>
      <c r="DU28" s="7">
        <f>IF(A28="","",IF((A28+111)&gt;Model!$B$4,0,MAX(0,Model!$B$6-IF((A28+111)&gt;=Model!$B$11,Model!$B$20,0)-IF(111&lt;Model!$B$15,Model!$B$22,0))/(1-Model!$B$9)/(1+Model!$B$18)^111))</f>
        <v/>
      </c>
      <c r="DV28" s="7">
        <f>IF(A28="","",IF((A28+112)&gt;Model!$B$4,0,MAX(0,Model!$B$6-IF((A28+112)&gt;=Model!$B$11,Model!$B$20,0)-IF(112&lt;Model!$B$15,Model!$B$22,0))/(1-Model!$B$9)/(1+Model!$B$18)^112))</f>
        <v/>
      </c>
      <c r="DW28" s="7">
        <f>IF(A28="","",IF((A28+113)&gt;Model!$B$4,0,MAX(0,Model!$B$6-IF((A28+113)&gt;=Model!$B$11,Model!$B$20,0)-IF(113&lt;Model!$B$15,Model!$B$22,0))/(1-Model!$B$9)/(1+Model!$B$18)^113))</f>
        <v/>
      </c>
      <c r="DX28" s="7">
        <f>IF(A28="","",IF((A28+114)&gt;Model!$B$4,0,MAX(0,Model!$B$6-IF((A28+114)&gt;=Model!$B$11,Model!$B$20,0)-IF(114&lt;Model!$B$15,Model!$B$22,0))/(1-Model!$B$9)/(1+Model!$B$18)^114))</f>
        <v/>
      </c>
      <c r="DY28" s="7">
        <f>IF(A28="","",IF((A28+115)&gt;Model!$B$4,0,MAX(0,Model!$B$6-IF((A28+115)&gt;=Model!$B$11,Model!$B$20,0)-IF(115&lt;Model!$B$15,Model!$B$22,0))/(1-Model!$B$9)/(1+Model!$B$18)^115))</f>
        <v/>
      </c>
      <c r="DZ28" s="7">
        <f>IF(A28="","",IF((A28+116)&gt;Model!$B$4,0,MAX(0,Model!$B$6-IF((A28+116)&gt;=Model!$B$11,Model!$B$20,0)-IF(116&lt;Model!$B$15,Model!$B$22,0))/(1-Model!$B$9)/(1+Model!$B$18)^116))</f>
        <v/>
      </c>
      <c r="EA28" s="7">
        <f>IF(A28="","",IF((A28+117)&gt;Model!$B$4,0,MAX(0,Model!$B$6-IF((A28+117)&gt;=Model!$B$11,Model!$B$20,0)-IF(117&lt;Model!$B$15,Model!$B$22,0))/(1-Model!$B$9)/(1+Model!$B$18)^117))</f>
        <v/>
      </c>
      <c r="EB28" s="7">
        <f>IF(A28="","",IF((A28+118)&gt;Model!$B$4,0,MAX(0,Model!$B$6-IF((A28+118)&gt;=Model!$B$11,Model!$B$20,0)-IF(118&lt;Model!$B$15,Model!$B$22,0))/(1-Model!$B$9)/(1+Model!$B$18)^118))</f>
        <v/>
      </c>
      <c r="EC28" s="7">
        <f>IF(A28="","",IF((A28+119)&gt;Model!$B$4,0,MAX(0,Model!$B$6-IF((A28+119)&gt;=Model!$B$11,Model!$B$20,0)-IF(119&lt;Model!$B$15,Model!$B$22,0))/(1-Model!$B$9)/(1+Model!$B$18)^119))</f>
        <v/>
      </c>
      <c r="ED28" s="7">
        <f>IF(A28="","",IF((A28+120)&gt;Model!$B$4,0,MAX(0,Model!$B$6-IF((A28+120)&gt;=Model!$B$11,Model!$B$20,0)-IF(120&lt;Model!$B$15,Model!$B$22,0))/(1-Model!$B$9)/(1+Model!$B$18)^120))</f>
        <v/>
      </c>
    </row>
    <row r="29">
      <c r="A29">
        <f>IF(Model!$B$10+ROW()-2&lt;=Model!$B$4,Model!$B$10+ROW()-2,"")</f>
        <v/>
      </c>
      <c r="B29">
        <f>IF(A29="","",A29-Model!$B$10)</f>
        <v/>
      </c>
      <c r="C29" s="7">
        <f>IF(A29="","",Model!$B$5*(1+Model!$B$18)^B29)</f>
        <v/>
      </c>
      <c r="D29" s="7">
        <f>IF(A29="","",SUM(N29:ED29))</f>
        <v/>
      </c>
      <c r="E29" s="7">
        <f>IF(A29="","",IF(A29&gt;=Model!$B$11,Model!$B$20,0))</f>
        <v/>
      </c>
      <c r="F29" s="7">
        <f>IF(A29="","",IF(Model!$B$15&gt;0,Model!$B$22,0))</f>
        <v/>
      </c>
      <c r="G29" s="7">
        <f>IF(A29="","",E29+F29)</f>
        <v/>
      </c>
      <c r="H29" s="7">
        <f>IF(A29="","",MAX(0,Model!$B$6-G29))</f>
        <v/>
      </c>
      <c r="I29" s="7">
        <f>IF(A29="","",H29/(1-Model!$B$9))</f>
        <v/>
      </c>
      <c r="J29" s="7">
        <f>IF(A29="","",C29-D29)</f>
        <v/>
      </c>
      <c r="K29">
        <f>IF(A29="","",C29&gt;=D29)</f>
        <v/>
      </c>
      <c r="L29" s="7">
        <f>IF(A29="","",IF(A29&gt;=Model!$B$11,Model!$B$19*(1+Model!$B$13)^B29,0))</f>
        <v/>
      </c>
      <c r="M29" s="7">
        <f>IF(A29="","",IF(Model!$B$15&gt;0,Model!$B$21*(1+Model!$B$13)^B29,0))</f>
        <v/>
      </c>
      <c r="N29" s="7">
        <f>IF(A29="","",IF((A29+0)&gt;Model!$B$4,0,MAX(0,Model!$B$6-IF((A29+0)&gt;=Model!$B$11,Model!$B$20,0)-IF(0&lt;Model!$B$15,Model!$B$22,0))/(1-Model!$B$9)/(1+Model!$B$18)^0))</f>
        <v/>
      </c>
      <c r="O29" s="7">
        <f>IF(A29="","",IF((A29+1)&gt;Model!$B$4,0,MAX(0,Model!$B$6-IF((A29+1)&gt;=Model!$B$11,Model!$B$20,0)-IF(1&lt;Model!$B$15,Model!$B$22,0))/(1-Model!$B$9)/(1+Model!$B$18)^1))</f>
        <v/>
      </c>
      <c r="P29" s="7">
        <f>IF(A29="","",IF((A29+2)&gt;Model!$B$4,0,MAX(0,Model!$B$6-IF((A29+2)&gt;=Model!$B$11,Model!$B$20,0)-IF(2&lt;Model!$B$15,Model!$B$22,0))/(1-Model!$B$9)/(1+Model!$B$18)^2))</f>
        <v/>
      </c>
      <c r="Q29" s="7">
        <f>IF(A29="","",IF((A29+3)&gt;Model!$B$4,0,MAX(0,Model!$B$6-IF((A29+3)&gt;=Model!$B$11,Model!$B$20,0)-IF(3&lt;Model!$B$15,Model!$B$22,0))/(1-Model!$B$9)/(1+Model!$B$18)^3))</f>
        <v/>
      </c>
      <c r="R29" s="7">
        <f>IF(A29="","",IF((A29+4)&gt;Model!$B$4,0,MAX(0,Model!$B$6-IF((A29+4)&gt;=Model!$B$11,Model!$B$20,0)-IF(4&lt;Model!$B$15,Model!$B$22,0))/(1-Model!$B$9)/(1+Model!$B$18)^4))</f>
        <v/>
      </c>
      <c r="S29" s="7">
        <f>IF(A29="","",IF((A29+5)&gt;Model!$B$4,0,MAX(0,Model!$B$6-IF((A29+5)&gt;=Model!$B$11,Model!$B$20,0)-IF(5&lt;Model!$B$15,Model!$B$22,0))/(1-Model!$B$9)/(1+Model!$B$18)^5))</f>
        <v/>
      </c>
      <c r="T29" s="7">
        <f>IF(A29="","",IF((A29+6)&gt;Model!$B$4,0,MAX(0,Model!$B$6-IF((A29+6)&gt;=Model!$B$11,Model!$B$20,0)-IF(6&lt;Model!$B$15,Model!$B$22,0))/(1-Model!$B$9)/(1+Model!$B$18)^6))</f>
        <v/>
      </c>
      <c r="U29" s="7">
        <f>IF(A29="","",IF((A29+7)&gt;Model!$B$4,0,MAX(0,Model!$B$6-IF((A29+7)&gt;=Model!$B$11,Model!$B$20,0)-IF(7&lt;Model!$B$15,Model!$B$22,0))/(1-Model!$B$9)/(1+Model!$B$18)^7))</f>
        <v/>
      </c>
      <c r="V29" s="7">
        <f>IF(A29="","",IF((A29+8)&gt;Model!$B$4,0,MAX(0,Model!$B$6-IF((A29+8)&gt;=Model!$B$11,Model!$B$20,0)-IF(8&lt;Model!$B$15,Model!$B$22,0))/(1-Model!$B$9)/(1+Model!$B$18)^8))</f>
        <v/>
      </c>
      <c r="W29" s="7">
        <f>IF(A29="","",IF((A29+9)&gt;Model!$B$4,0,MAX(0,Model!$B$6-IF((A29+9)&gt;=Model!$B$11,Model!$B$20,0)-IF(9&lt;Model!$B$15,Model!$B$22,0))/(1-Model!$B$9)/(1+Model!$B$18)^9))</f>
        <v/>
      </c>
      <c r="X29" s="7">
        <f>IF(A29="","",IF((A29+10)&gt;Model!$B$4,0,MAX(0,Model!$B$6-IF((A29+10)&gt;=Model!$B$11,Model!$B$20,0)-IF(10&lt;Model!$B$15,Model!$B$22,0))/(1-Model!$B$9)/(1+Model!$B$18)^10))</f>
        <v/>
      </c>
      <c r="Y29" s="7">
        <f>IF(A29="","",IF((A29+11)&gt;Model!$B$4,0,MAX(0,Model!$B$6-IF((A29+11)&gt;=Model!$B$11,Model!$B$20,0)-IF(11&lt;Model!$B$15,Model!$B$22,0))/(1-Model!$B$9)/(1+Model!$B$18)^11))</f>
        <v/>
      </c>
      <c r="Z29" s="7">
        <f>IF(A29="","",IF((A29+12)&gt;Model!$B$4,0,MAX(0,Model!$B$6-IF((A29+12)&gt;=Model!$B$11,Model!$B$20,0)-IF(12&lt;Model!$B$15,Model!$B$22,0))/(1-Model!$B$9)/(1+Model!$B$18)^12))</f>
        <v/>
      </c>
      <c r="AA29" s="7">
        <f>IF(A29="","",IF((A29+13)&gt;Model!$B$4,0,MAX(0,Model!$B$6-IF((A29+13)&gt;=Model!$B$11,Model!$B$20,0)-IF(13&lt;Model!$B$15,Model!$B$22,0))/(1-Model!$B$9)/(1+Model!$B$18)^13))</f>
        <v/>
      </c>
      <c r="AB29" s="7">
        <f>IF(A29="","",IF((A29+14)&gt;Model!$B$4,0,MAX(0,Model!$B$6-IF((A29+14)&gt;=Model!$B$11,Model!$B$20,0)-IF(14&lt;Model!$B$15,Model!$B$22,0))/(1-Model!$B$9)/(1+Model!$B$18)^14))</f>
        <v/>
      </c>
      <c r="AC29" s="7">
        <f>IF(A29="","",IF((A29+15)&gt;Model!$B$4,0,MAX(0,Model!$B$6-IF((A29+15)&gt;=Model!$B$11,Model!$B$20,0)-IF(15&lt;Model!$B$15,Model!$B$22,0))/(1-Model!$B$9)/(1+Model!$B$18)^15))</f>
        <v/>
      </c>
      <c r="AD29" s="7">
        <f>IF(A29="","",IF((A29+16)&gt;Model!$B$4,0,MAX(0,Model!$B$6-IF((A29+16)&gt;=Model!$B$11,Model!$B$20,0)-IF(16&lt;Model!$B$15,Model!$B$22,0))/(1-Model!$B$9)/(1+Model!$B$18)^16))</f>
        <v/>
      </c>
      <c r="AE29" s="7">
        <f>IF(A29="","",IF((A29+17)&gt;Model!$B$4,0,MAX(0,Model!$B$6-IF((A29+17)&gt;=Model!$B$11,Model!$B$20,0)-IF(17&lt;Model!$B$15,Model!$B$22,0))/(1-Model!$B$9)/(1+Model!$B$18)^17))</f>
        <v/>
      </c>
      <c r="AF29" s="7">
        <f>IF(A29="","",IF((A29+18)&gt;Model!$B$4,0,MAX(0,Model!$B$6-IF((A29+18)&gt;=Model!$B$11,Model!$B$20,0)-IF(18&lt;Model!$B$15,Model!$B$22,0))/(1-Model!$B$9)/(1+Model!$B$18)^18))</f>
        <v/>
      </c>
      <c r="AG29" s="7">
        <f>IF(A29="","",IF((A29+19)&gt;Model!$B$4,0,MAX(0,Model!$B$6-IF((A29+19)&gt;=Model!$B$11,Model!$B$20,0)-IF(19&lt;Model!$B$15,Model!$B$22,0))/(1-Model!$B$9)/(1+Model!$B$18)^19))</f>
        <v/>
      </c>
      <c r="AH29" s="7">
        <f>IF(A29="","",IF((A29+20)&gt;Model!$B$4,0,MAX(0,Model!$B$6-IF((A29+20)&gt;=Model!$B$11,Model!$B$20,0)-IF(20&lt;Model!$B$15,Model!$B$22,0))/(1-Model!$B$9)/(1+Model!$B$18)^20))</f>
        <v/>
      </c>
      <c r="AI29" s="7">
        <f>IF(A29="","",IF((A29+21)&gt;Model!$B$4,0,MAX(0,Model!$B$6-IF((A29+21)&gt;=Model!$B$11,Model!$B$20,0)-IF(21&lt;Model!$B$15,Model!$B$22,0))/(1-Model!$B$9)/(1+Model!$B$18)^21))</f>
        <v/>
      </c>
      <c r="AJ29" s="7">
        <f>IF(A29="","",IF((A29+22)&gt;Model!$B$4,0,MAX(0,Model!$B$6-IF((A29+22)&gt;=Model!$B$11,Model!$B$20,0)-IF(22&lt;Model!$B$15,Model!$B$22,0))/(1-Model!$B$9)/(1+Model!$B$18)^22))</f>
        <v/>
      </c>
      <c r="AK29" s="7">
        <f>IF(A29="","",IF((A29+23)&gt;Model!$B$4,0,MAX(0,Model!$B$6-IF((A29+23)&gt;=Model!$B$11,Model!$B$20,0)-IF(23&lt;Model!$B$15,Model!$B$22,0))/(1-Model!$B$9)/(1+Model!$B$18)^23))</f>
        <v/>
      </c>
      <c r="AL29" s="7">
        <f>IF(A29="","",IF((A29+24)&gt;Model!$B$4,0,MAX(0,Model!$B$6-IF((A29+24)&gt;=Model!$B$11,Model!$B$20,0)-IF(24&lt;Model!$B$15,Model!$B$22,0))/(1-Model!$B$9)/(1+Model!$B$18)^24))</f>
        <v/>
      </c>
      <c r="AM29" s="7">
        <f>IF(A29="","",IF((A29+25)&gt;Model!$B$4,0,MAX(0,Model!$B$6-IF((A29+25)&gt;=Model!$B$11,Model!$B$20,0)-IF(25&lt;Model!$B$15,Model!$B$22,0))/(1-Model!$B$9)/(1+Model!$B$18)^25))</f>
        <v/>
      </c>
      <c r="AN29" s="7">
        <f>IF(A29="","",IF((A29+26)&gt;Model!$B$4,0,MAX(0,Model!$B$6-IF((A29+26)&gt;=Model!$B$11,Model!$B$20,0)-IF(26&lt;Model!$B$15,Model!$B$22,0))/(1-Model!$B$9)/(1+Model!$B$18)^26))</f>
        <v/>
      </c>
      <c r="AO29" s="7">
        <f>IF(A29="","",IF((A29+27)&gt;Model!$B$4,0,MAX(0,Model!$B$6-IF((A29+27)&gt;=Model!$B$11,Model!$B$20,0)-IF(27&lt;Model!$B$15,Model!$B$22,0))/(1-Model!$B$9)/(1+Model!$B$18)^27))</f>
        <v/>
      </c>
      <c r="AP29" s="7">
        <f>IF(A29="","",IF((A29+28)&gt;Model!$B$4,0,MAX(0,Model!$B$6-IF((A29+28)&gt;=Model!$B$11,Model!$B$20,0)-IF(28&lt;Model!$B$15,Model!$B$22,0))/(1-Model!$B$9)/(1+Model!$B$18)^28))</f>
        <v/>
      </c>
      <c r="AQ29" s="7">
        <f>IF(A29="","",IF((A29+29)&gt;Model!$B$4,0,MAX(0,Model!$B$6-IF((A29+29)&gt;=Model!$B$11,Model!$B$20,0)-IF(29&lt;Model!$B$15,Model!$B$22,0))/(1-Model!$B$9)/(1+Model!$B$18)^29))</f>
        <v/>
      </c>
      <c r="AR29" s="7">
        <f>IF(A29="","",IF((A29+30)&gt;Model!$B$4,0,MAX(0,Model!$B$6-IF((A29+30)&gt;=Model!$B$11,Model!$B$20,0)-IF(30&lt;Model!$B$15,Model!$B$22,0))/(1-Model!$B$9)/(1+Model!$B$18)^30))</f>
        <v/>
      </c>
      <c r="AS29" s="7">
        <f>IF(A29="","",IF((A29+31)&gt;Model!$B$4,0,MAX(0,Model!$B$6-IF((A29+31)&gt;=Model!$B$11,Model!$B$20,0)-IF(31&lt;Model!$B$15,Model!$B$22,0))/(1-Model!$B$9)/(1+Model!$B$18)^31))</f>
        <v/>
      </c>
      <c r="AT29" s="7">
        <f>IF(A29="","",IF((A29+32)&gt;Model!$B$4,0,MAX(0,Model!$B$6-IF((A29+32)&gt;=Model!$B$11,Model!$B$20,0)-IF(32&lt;Model!$B$15,Model!$B$22,0))/(1-Model!$B$9)/(1+Model!$B$18)^32))</f>
        <v/>
      </c>
      <c r="AU29" s="7">
        <f>IF(A29="","",IF((A29+33)&gt;Model!$B$4,0,MAX(0,Model!$B$6-IF((A29+33)&gt;=Model!$B$11,Model!$B$20,0)-IF(33&lt;Model!$B$15,Model!$B$22,0))/(1-Model!$B$9)/(1+Model!$B$18)^33))</f>
        <v/>
      </c>
      <c r="AV29" s="7">
        <f>IF(A29="","",IF((A29+34)&gt;Model!$B$4,0,MAX(0,Model!$B$6-IF((A29+34)&gt;=Model!$B$11,Model!$B$20,0)-IF(34&lt;Model!$B$15,Model!$B$22,0))/(1-Model!$B$9)/(1+Model!$B$18)^34))</f>
        <v/>
      </c>
      <c r="AW29" s="7">
        <f>IF(A29="","",IF((A29+35)&gt;Model!$B$4,0,MAX(0,Model!$B$6-IF((A29+35)&gt;=Model!$B$11,Model!$B$20,0)-IF(35&lt;Model!$B$15,Model!$B$22,0))/(1-Model!$B$9)/(1+Model!$B$18)^35))</f>
        <v/>
      </c>
      <c r="AX29" s="7">
        <f>IF(A29="","",IF((A29+36)&gt;Model!$B$4,0,MAX(0,Model!$B$6-IF((A29+36)&gt;=Model!$B$11,Model!$B$20,0)-IF(36&lt;Model!$B$15,Model!$B$22,0))/(1-Model!$B$9)/(1+Model!$B$18)^36))</f>
        <v/>
      </c>
      <c r="AY29" s="7">
        <f>IF(A29="","",IF((A29+37)&gt;Model!$B$4,0,MAX(0,Model!$B$6-IF((A29+37)&gt;=Model!$B$11,Model!$B$20,0)-IF(37&lt;Model!$B$15,Model!$B$22,0))/(1-Model!$B$9)/(1+Model!$B$18)^37))</f>
        <v/>
      </c>
      <c r="AZ29" s="7">
        <f>IF(A29="","",IF((A29+38)&gt;Model!$B$4,0,MAX(0,Model!$B$6-IF((A29+38)&gt;=Model!$B$11,Model!$B$20,0)-IF(38&lt;Model!$B$15,Model!$B$22,0))/(1-Model!$B$9)/(1+Model!$B$18)^38))</f>
        <v/>
      </c>
      <c r="BA29" s="7">
        <f>IF(A29="","",IF((A29+39)&gt;Model!$B$4,0,MAX(0,Model!$B$6-IF((A29+39)&gt;=Model!$B$11,Model!$B$20,0)-IF(39&lt;Model!$B$15,Model!$B$22,0))/(1-Model!$B$9)/(1+Model!$B$18)^39))</f>
        <v/>
      </c>
      <c r="BB29" s="7">
        <f>IF(A29="","",IF((A29+40)&gt;Model!$B$4,0,MAX(0,Model!$B$6-IF((A29+40)&gt;=Model!$B$11,Model!$B$20,0)-IF(40&lt;Model!$B$15,Model!$B$22,0))/(1-Model!$B$9)/(1+Model!$B$18)^40))</f>
        <v/>
      </c>
      <c r="BC29" s="7">
        <f>IF(A29="","",IF((A29+41)&gt;Model!$B$4,0,MAX(0,Model!$B$6-IF((A29+41)&gt;=Model!$B$11,Model!$B$20,0)-IF(41&lt;Model!$B$15,Model!$B$22,0))/(1-Model!$B$9)/(1+Model!$B$18)^41))</f>
        <v/>
      </c>
      <c r="BD29" s="7">
        <f>IF(A29="","",IF((A29+42)&gt;Model!$B$4,0,MAX(0,Model!$B$6-IF((A29+42)&gt;=Model!$B$11,Model!$B$20,0)-IF(42&lt;Model!$B$15,Model!$B$22,0))/(1-Model!$B$9)/(1+Model!$B$18)^42))</f>
        <v/>
      </c>
      <c r="BE29" s="7">
        <f>IF(A29="","",IF((A29+43)&gt;Model!$B$4,0,MAX(0,Model!$B$6-IF((A29+43)&gt;=Model!$B$11,Model!$B$20,0)-IF(43&lt;Model!$B$15,Model!$B$22,0))/(1-Model!$B$9)/(1+Model!$B$18)^43))</f>
        <v/>
      </c>
      <c r="BF29" s="7">
        <f>IF(A29="","",IF((A29+44)&gt;Model!$B$4,0,MAX(0,Model!$B$6-IF((A29+44)&gt;=Model!$B$11,Model!$B$20,0)-IF(44&lt;Model!$B$15,Model!$B$22,0))/(1-Model!$B$9)/(1+Model!$B$18)^44))</f>
        <v/>
      </c>
      <c r="BG29" s="7">
        <f>IF(A29="","",IF((A29+45)&gt;Model!$B$4,0,MAX(0,Model!$B$6-IF((A29+45)&gt;=Model!$B$11,Model!$B$20,0)-IF(45&lt;Model!$B$15,Model!$B$22,0))/(1-Model!$B$9)/(1+Model!$B$18)^45))</f>
        <v/>
      </c>
      <c r="BH29" s="7">
        <f>IF(A29="","",IF((A29+46)&gt;Model!$B$4,0,MAX(0,Model!$B$6-IF((A29+46)&gt;=Model!$B$11,Model!$B$20,0)-IF(46&lt;Model!$B$15,Model!$B$22,0))/(1-Model!$B$9)/(1+Model!$B$18)^46))</f>
        <v/>
      </c>
      <c r="BI29" s="7">
        <f>IF(A29="","",IF((A29+47)&gt;Model!$B$4,0,MAX(0,Model!$B$6-IF((A29+47)&gt;=Model!$B$11,Model!$B$20,0)-IF(47&lt;Model!$B$15,Model!$B$22,0))/(1-Model!$B$9)/(1+Model!$B$18)^47))</f>
        <v/>
      </c>
      <c r="BJ29" s="7">
        <f>IF(A29="","",IF((A29+48)&gt;Model!$B$4,0,MAX(0,Model!$B$6-IF((A29+48)&gt;=Model!$B$11,Model!$B$20,0)-IF(48&lt;Model!$B$15,Model!$B$22,0))/(1-Model!$B$9)/(1+Model!$B$18)^48))</f>
        <v/>
      </c>
      <c r="BK29" s="7">
        <f>IF(A29="","",IF((A29+49)&gt;Model!$B$4,0,MAX(0,Model!$B$6-IF((A29+49)&gt;=Model!$B$11,Model!$B$20,0)-IF(49&lt;Model!$B$15,Model!$B$22,0))/(1-Model!$B$9)/(1+Model!$B$18)^49))</f>
        <v/>
      </c>
      <c r="BL29" s="7">
        <f>IF(A29="","",IF((A29+50)&gt;Model!$B$4,0,MAX(0,Model!$B$6-IF((A29+50)&gt;=Model!$B$11,Model!$B$20,0)-IF(50&lt;Model!$B$15,Model!$B$22,0))/(1-Model!$B$9)/(1+Model!$B$18)^50))</f>
        <v/>
      </c>
      <c r="BM29" s="7">
        <f>IF(A29="","",IF((A29+51)&gt;Model!$B$4,0,MAX(0,Model!$B$6-IF((A29+51)&gt;=Model!$B$11,Model!$B$20,0)-IF(51&lt;Model!$B$15,Model!$B$22,0))/(1-Model!$B$9)/(1+Model!$B$18)^51))</f>
        <v/>
      </c>
      <c r="BN29" s="7">
        <f>IF(A29="","",IF((A29+52)&gt;Model!$B$4,0,MAX(0,Model!$B$6-IF((A29+52)&gt;=Model!$B$11,Model!$B$20,0)-IF(52&lt;Model!$B$15,Model!$B$22,0))/(1-Model!$B$9)/(1+Model!$B$18)^52))</f>
        <v/>
      </c>
      <c r="BO29" s="7">
        <f>IF(A29="","",IF((A29+53)&gt;Model!$B$4,0,MAX(0,Model!$B$6-IF((A29+53)&gt;=Model!$B$11,Model!$B$20,0)-IF(53&lt;Model!$B$15,Model!$B$22,0))/(1-Model!$B$9)/(1+Model!$B$18)^53))</f>
        <v/>
      </c>
      <c r="BP29" s="7">
        <f>IF(A29="","",IF((A29+54)&gt;Model!$B$4,0,MAX(0,Model!$B$6-IF((A29+54)&gt;=Model!$B$11,Model!$B$20,0)-IF(54&lt;Model!$B$15,Model!$B$22,0))/(1-Model!$B$9)/(1+Model!$B$18)^54))</f>
        <v/>
      </c>
      <c r="BQ29" s="7">
        <f>IF(A29="","",IF((A29+55)&gt;Model!$B$4,0,MAX(0,Model!$B$6-IF((A29+55)&gt;=Model!$B$11,Model!$B$20,0)-IF(55&lt;Model!$B$15,Model!$B$22,0))/(1-Model!$B$9)/(1+Model!$B$18)^55))</f>
        <v/>
      </c>
      <c r="BR29" s="7">
        <f>IF(A29="","",IF((A29+56)&gt;Model!$B$4,0,MAX(0,Model!$B$6-IF((A29+56)&gt;=Model!$B$11,Model!$B$20,0)-IF(56&lt;Model!$B$15,Model!$B$22,0))/(1-Model!$B$9)/(1+Model!$B$18)^56))</f>
        <v/>
      </c>
      <c r="BS29" s="7">
        <f>IF(A29="","",IF((A29+57)&gt;Model!$B$4,0,MAX(0,Model!$B$6-IF((A29+57)&gt;=Model!$B$11,Model!$B$20,0)-IF(57&lt;Model!$B$15,Model!$B$22,0))/(1-Model!$B$9)/(1+Model!$B$18)^57))</f>
        <v/>
      </c>
      <c r="BT29" s="7">
        <f>IF(A29="","",IF((A29+58)&gt;Model!$B$4,0,MAX(0,Model!$B$6-IF((A29+58)&gt;=Model!$B$11,Model!$B$20,0)-IF(58&lt;Model!$B$15,Model!$B$22,0))/(1-Model!$B$9)/(1+Model!$B$18)^58))</f>
        <v/>
      </c>
      <c r="BU29" s="7">
        <f>IF(A29="","",IF((A29+59)&gt;Model!$B$4,0,MAX(0,Model!$B$6-IF((A29+59)&gt;=Model!$B$11,Model!$B$20,0)-IF(59&lt;Model!$B$15,Model!$B$22,0))/(1-Model!$B$9)/(1+Model!$B$18)^59))</f>
        <v/>
      </c>
      <c r="BV29" s="7">
        <f>IF(A29="","",IF((A29+60)&gt;Model!$B$4,0,MAX(0,Model!$B$6-IF((A29+60)&gt;=Model!$B$11,Model!$B$20,0)-IF(60&lt;Model!$B$15,Model!$B$22,0))/(1-Model!$B$9)/(1+Model!$B$18)^60))</f>
        <v/>
      </c>
      <c r="BW29" s="7">
        <f>IF(A29="","",IF((A29+61)&gt;Model!$B$4,0,MAX(0,Model!$B$6-IF((A29+61)&gt;=Model!$B$11,Model!$B$20,0)-IF(61&lt;Model!$B$15,Model!$B$22,0))/(1-Model!$B$9)/(1+Model!$B$18)^61))</f>
        <v/>
      </c>
      <c r="BX29" s="7">
        <f>IF(A29="","",IF((A29+62)&gt;Model!$B$4,0,MAX(0,Model!$B$6-IF((A29+62)&gt;=Model!$B$11,Model!$B$20,0)-IF(62&lt;Model!$B$15,Model!$B$22,0))/(1-Model!$B$9)/(1+Model!$B$18)^62))</f>
        <v/>
      </c>
      <c r="BY29" s="7">
        <f>IF(A29="","",IF((A29+63)&gt;Model!$B$4,0,MAX(0,Model!$B$6-IF((A29+63)&gt;=Model!$B$11,Model!$B$20,0)-IF(63&lt;Model!$B$15,Model!$B$22,0))/(1-Model!$B$9)/(1+Model!$B$18)^63))</f>
        <v/>
      </c>
      <c r="BZ29" s="7">
        <f>IF(A29="","",IF((A29+64)&gt;Model!$B$4,0,MAX(0,Model!$B$6-IF((A29+64)&gt;=Model!$B$11,Model!$B$20,0)-IF(64&lt;Model!$B$15,Model!$B$22,0))/(1-Model!$B$9)/(1+Model!$B$18)^64))</f>
        <v/>
      </c>
      <c r="CA29" s="7">
        <f>IF(A29="","",IF((A29+65)&gt;Model!$B$4,0,MAX(0,Model!$B$6-IF((A29+65)&gt;=Model!$B$11,Model!$B$20,0)-IF(65&lt;Model!$B$15,Model!$B$22,0))/(1-Model!$B$9)/(1+Model!$B$18)^65))</f>
        <v/>
      </c>
      <c r="CB29" s="7">
        <f>IF(A29="","",IF((A29+66)&gt;Model!$B$4,0,MAX(0,Model!$B$6-IF((A29+66)&gt;=Model!$B$11,Model!$B$20,0)-IF(66&lt;Model!$B$15,Model!$B$22,0))/(1-Model!$B$9)/(1+Model!$B$18)^66))</f>
        <v/>
      </c>
      <c r="CC29" s="7">
        <f>IF(A29="","",IF((A29+67)&gt;Model!$B$4,0,MAX(0,Model!$B$6-IF((A29+67)&gt;=Model!$B$11,Model!$B$20,0)-IF(67&lt;Model!$B$15,Model!$B$22,0))/(1-Model!$B$9)/(1+Model!$B$18)^67))</f>
        <v/>
      </c>
      <c r="CD29" s="7">
        <f>IF(A29="","",IF((A29+68)&gt;Model!$B$4,0,MAX(0,Model!$B$6-IF((A29+68)&gt;=Model!$B$11,Model!$B$20,0)-IF(68&lt;Model!$B$15,Model!$B$22,0))/(1-Model!$B$9)/(1+Model!$B$18)^68))</f>
        <v/>
      </c>
      <c r="CE29" s="7">
        <f>IF(A29="","",IF((A29+69)&gt;Model!$B$4,0,MAX(0,Model!$B$6-IF((A29+69)&gt;=Model!$B$11,Model!$B$20,0)-IF(69&lt;Model!$B$15,Model!$B$22,0))/(1-Model!$B$9)/(1+Model!$B$18)^69))</f>
        <v/>
      </c>
      <c r="CF29" s="7">
        <f>IF(A29="","",IF((A29+70)&gt;Model!$B$4,0,MAX(0,Model!$B$6-IF((A29+70)&gt;=Model!$B$11,Model!$B$20,0)-IF(70&lt;Model!$B$15,Model!$B$22,0))/(1-Model!$B$9)/(1+Model!$B$18)^70))</f>
        <v/>
      </c>
      <c r="CG29" s="7">
        <f>IF(A29="","",IF((A29+71)&gt;Model!$B$4,0,MAX(0,Model!$B$6-IF((A29+71)&gt;=Model!$B$11,Model!$B$20,0)-IF(71&lt;Model!$B$15,Model!$B$22,0))/(1-Model!$B$9)/(1+Model!$B$18)^71))</f>
        <v/>
      </c>
      <c r="CH29" s="7">
        <f>IF(A29="","",IF((A29+72)&gt;Model!$B$4,0,MAX(0,Model!$B$6-IF((A29+72)&gt;=Model!$B$11,Model!$B$20,0)-IF(72&lt;Model!$B$15,Model!$B$22,0))/(1-Model!$B$9)/(1+Model!$B$18)^72))</f>
        <v/>
      </c>
      <c r="CI29" s="7">
        <f>IF(A29="","",IF((A29+73)&gt;Model!$B$4,0,MAX(0,Model!$B$6-IF((A29+73)&gt;=Model!$B$11,Model!$B$20,0)-IF(73&lt;Model!$B$15,Model!$B$22,0))/(1-Model!$B$9)/(1+Model!$B$18)^73))</f>
        <v/>
      </c>
      <c r="CJ29" s="7">
        <f>IF(A29="","",IF((A29+74)&gt;Model!$B$4,0,MAX(0,Model!$B$6-IF((A29+74)&gt;=Model!$B$11,Model!$B$20,0)-IF(74&lt;Model!$B$15,Model!$B$22,0))/(1-Model!$B$9)/(1+Model!$B$18)^74))</f>
        <v/>
      </c>
      <c r="CK29" s="7">
        <f>IF(A29="","",IF((A29+75)&gt;Model!$B$4,0,MAX(0,Model!$B$6-IF((A29+75)&gt;=Model!$B$11,Model!$B$20,0)-IF(75&lt;Model!$B$15,Model!$B$22,0))/(1-Model!$B$9)/(1+Model!$B$18)^75))</f>
        <v/>
      </c>
      <c r="CL29" s="7">
        <f>IF(A29="","",IF((A29+76)&gt;Model!$B$4,0,MAX(0,Model!$B$6-IF((A29+76)&gt;=Model!$B$11,Model!$B$20,0)-IF(76&lt;Model!$B$15,Model!$B$22,0))/(1-Model!$B$9)/(1+Model!$B$18)^76))</f>
        <v/>
      </c>
      <c r="CM29" s="7">
        <f>IF(A29="","",IF((A29+77)&gt;Model!$B$4,0,MAX(0,Model!$B$6-IF((A29+77)&gt;=Model!$B$11,Model!$B$20,0)-IF(77&lt;Model!$B$15,Model!$B$22,0))/(1-Model!$B$9)/(1+Model!$B$18)^77))</f>
        <v/>
      </c>
      <c r="CN29" s="7">
        <f>IF(A29="","",IF((A29+78)&gt;Model!$B$4,0,MAX(0,Model!$B$6-IF((A29+78)&gt;=Model!$B$11,Model!$B$20,0)-IF(78&lt;Model!$B$15,Model!$B$22,0))/(1-Model!$B$9)/(1+Model!$B$18)^78))</f>
        <v/>
      </c>
      <c r="CO29" s="7">
        <f>IF(A29="","",IF((A29+79)&gt;Model!$B$4,0,MAX(0,Model!$B$6-IF((A29+79)&gt;=Model!$B$11,Model!$B$20,0)-IF(79&lt;Model!$B$15,Model!$B$22,0))/(1-Model!$B$9)/(1+Model!$B$18)^79))</f>
        <v/>
      </c>
      <c r="CP29" s="7">
        <f>IF(A29="","",IF((A29+80)&gt;Model!$B$4,0,MAX(0,Model!$B$6-IF((A29+80)&gt;=Model!$B$11,Model!$B$20,0)-IF(80&lt;Model!$B$15,Model!$B$22,0))/(1-Model!$B$9)/(1+Model!$B$18)^80))</f>
        <v/>
      </c>
      <c r="CQ29" s="7">
        <f>IF(A29="","",IF((A29+81)&gt;Model!$B$4,0,MAX(0,Model!$B$6-IF((A29+81)&gt;=Model!$B$11,Model!$B$20,0)-IF(81&lt;Model!$B$15,Model!$B$22,0))/(1-Model!$B$9)/(1+Model!$B$18)^81))</f>
        <v/>
      </c>
      <c r="CR29" s="7">
        <f>IF(A29="","",IF((A29+82)&gt;Model!$B$4,0,MAX(0,Model!$B$6-IF((A29+82)&gt;=Model!$B$11,Model!$B$20,0)-IF(82&lt;Model!$B$15,Model!$B$22,0))/(1-Model!$B$9)/(1+Model!$B$18)^82))</f>
        <v/>
      </c>
      <c r="CS29" s="7">
        <f>IF(A29="","",IF((A29+83)&gt;Model!$B$4,0,MAX(0,Model!$B$6-IF((A29+83)&gt;=Model!$B$11,Model!$B$20,0)-IF(83&lt;Model!$B$15,Model!$B$22,0))/(1-Model!$B$9)/(1+Model!$B$18)^83))</f>
        <v/>
      </c>
      <c r="CT29" s="7">
        <f>IF(A29="","",IF((A29+84)&gt;Model!$B$4,0,MAX(0,Model!$B$6-IF((A29+84)&gt;=Model!$B$11,Model!$B$20,0)-IF(84&lt;Model!$B$15,Model!$B$22,0))/(1-Model!$B$9)/(1+Model!$B$18)^84))</f>
        <v/>
      </c>
      <c r="CU29" s="7">
        <f>IF(A29="","",IF((A29+85)&gt;Model!$B$4,0,MAX(0,Model!$B$6-IF((A29+85)&gt;=Model!$B$11,Model!$B$20,0)-IF(85&lt;Model!$B$15,Model!$B$22,0))/(1-Model!$B$9)/(1+Model!$B$18)^85))</f>
        <v/>
      </c>
      <c r="CV29" s="7">
        <f>IF(A29="","",IF((A29+86)&gt;Model!$B$4,0,MAX(0,Model!$B$6-IF((A29+86)&gt;=Model!$B$11,Model!$B$20,0)-IF(86&lt;Model!$B$15,Model!$B$22,0))/(1-Model!$B$9)/(1+Model!$B$18)^86))</f>
        <v/>
      </c>
      <c r="CW29" s="7">
        <f>IF(A29="","",IF((A29+87)&gt;Model!$B$4,0,MAX(0,Model!$B$6-IF((A29+87)&gt;=Model!$B$11,Model!$B$20,0)-IF(87&lt;Model!$B$15,Model!$B$22,0))/(1-Model!$B$9)/(1+Model!$B$18)^87))</f>
        <v/>
      </c>
      <c r="CX29" s="7">
        <f>IF(A29="","",IF((A29+88)&gt;Model!$B$4,0,MAX(0,Model!$B$6-IF((A29+88)&gt;=Model!$B$11,Model!$B$20,0)-IF(88&lt;Model!$B$15,Model!$B$22,0))/(1-Model!$B$9)/(1+Model!$B$18)^88))</f>
        <v/>
      </c>
      <c r="CY29" s="7">
        <f>IF(A29="","",IF((A29+89)&gt;Model!$B$4,0,MAX(0,Model!$B$6-IF((A29+89)&gt;=Model!$B$11,Model!$B$20,0)-IF(89&lt;Model!$B$15,Model!$B$22,0))/(1-Model!$B$9)/(1+Model!$B$18)^89))</f>
        <v/>
      </c>
      <c r="CZ29" s="7">
        <f>IF(A29="","",IF((A29+90)&gt;Model!$B$4,0,MAX(0,Model!$B$6-IF((A29+90)&gt;=Model!$B$11,Model!$B$20,0)-IF(90&lt;Model!$B$15,Model!$B$22,0))/(1-Model!$B$9)/(1+Model!$B$18)^90))</f>
        <v/>
      </c>
      <c r="DA29" s="7">
        <f>IF(A29="","",IF((A29+91)&gt;Model!$B$4,0,MAX(0,Model!$B$6-IF((A29+91)&gt;=Model!$B$11,Model!$B$20,0)-IF(91&lt;Model!$B$15,Model!$B$22,0))/(1-Model!$B$9)/(1+Model!$B$18)^91))</f>
        <v/>
      </c>
      <c r="DB29" s="7">
        <f>IF(A29="","",IF((A29+92)&gt;Model!$B$4,0,MAX(0,Model!$B$6-IF((A29+92)&gt;=Model!$B$11,Model!$B$20,0)-IF(92&lt;Model!$B$15,Model!$B$22,0))/(1-Model!$B$9)/(1+Model!$B$18)^92))</f>
        <v/>
      </c>
      <c r="DC29" s="7">
        <f>IF(A29="","",IF((A29+93)&gt;Model!$B$4,0,MAX(0,Model!$B$6-IF((A29+93)&gt;=Model!$B$11,Model!$B$20,0)-IF(93&lt;Model!$B$15,Model!$B$22,0))/(1-Model!$B$9)/(1+Model!$B$18)^93))</f>
        <v/>
      </c>
      <c r="DD29" s="7">
        <f>IF(A29="","",IF((A29+94)&gt;Model!$B$4,0,MAX(0,Model!$B$6-IF((A29+94)&gt;=Model!$B$11,Model!$B$20,0)-IF(94&lt;Model!$B$15,Model!$B$22,0))/(1-Model!$B$9)/(1+Model!$B$18)^94))</f>
        <v/>
      </c>
      <c r="DE29" s="7">
        <f>IF(A29="","",IF((A29+95)&gt;Model!$B$4,0,MAX(0,Model!$B$6-IF((A29+95)&gt;=Model!$B$11,Model!$B$20,0)-IF(95&lt;Model!$B$15,Model!$B$22,0))/(1-Model!$B$9)/(1+Model!$B$18)^95))</f>
        <v/>
      </c>
      <c r="DF29" s="7">
        <f>IF(A29="","",IF((A29+96)&gt;Model!$B$4,0,MAX(0,Model!$B$6-IF((A29+96)&gt;=Model!$B$11,Model!$B$20,0)-IF(96&lt;Model!$B$15,Model!$B$22,0))/(1-Model!$B$9)/(1+Model!$B$18)^96))</f>
        <v/>
      </c>
      <c r="DG29" s="7">
        <f>IF(A29="","",IF((A29+97)&gt;Model!$B$4,0,MAX(0,Model!$B$6-IF((A29+97)&gt;=Model!$B$11,Model!$B$20,0)-IF(97&lt;Model!$B$15,Model!$B$22,0))/(1-Model!$B$9)/(1+Model!$B$18)^97))</f>
        <v/>
      </c>
      <c r="DH29" s="7">
        <f>IF(A29="","",IF((A29+98)&gt;Model!$B$4,0,MAX(0,Model!$B$6-IF((A29+98)&gt;=Model!$B$11,Model!$B$20,0)-IF(98&lt;Model!$B$15,Model!$B$22,0))/(1-Model!$B$9)/(1+Model!$B$18)^98))</f>
        <v/>
      </c>
      <c r="DI29" s="7">
        <f>IF(A29="","",IF((A29+99)&gt;Model!$B$4,0,MAX(0,Model!$B$6-IF((A29+99)&gt;=Model!$B$11,Model!$B$20,0)-IF(99&lt;Model!$B$15,Model!$B$22,0))/(1-Model!$B$9)/(1+Model!$B$18)^99))</f>
        <v/>
      </c>
      <c r="DJ29" s="7">
        <f>IF(A29="","",IF((A29+100)&gt;Model!$B$4,0,MAX(0,Model!$B$6-IF((A29+100)&gt;=Model!$B$11,Model!$B$20,0)-IF(100&lt;Model!$B$15,Model!$B$22,0))/(1-Model!$B$9)/(1+Model!$B$18)^100))</f>
        <v/>
      </c>
      <c r="DK29" s="7">
        <f>IF(A29="","",IF((A29+101)&gt;Model!$B$4,0,MAX(0,Model!$B$6-IF((A29+101)&gt;=Model!$B$11,Model!$B$20,0)-IF(101&lt;Model!$B$15,Model!$B$22,0))/(1-Model!$B$9)/(1+Model!$B$18)^101))</f>
        <v/>
      </c>
      <c r="DL29" s="7">
        <f>IF(A29="","",IF((A29+102)&gt;Model!$B$4,0,MAX(0,Model!$B$6-IF((A29+102)&gt;=Model!$B$11,Model!$B$20,0)-IF(102&lt;Model!$B$15,Model!$B$22,0))/(1-Model!$B$9)/(1+Model!$B$18)^102))</f>
        <v/>
      </c>
      <c r="DM29" s="7">
        <f>IF(A29="","",IF((A29+103)&gt;Model!$B$4,0,MAX(0,Model!$B$6-IF((A29+103)&gt;=Model!$B$11,Model!$B$20,0)-IF(103&lt;Model!$B$15,Model!$B$22,0))/(1-Model!$B$9)/(1+Model!$B$18)^103))</f>
        <v/>
      </c>
      <c r="DN29" s="7">
        <f>IF(A29="","",IF((A29+104)&gt;Model!$B$4,0,MAX(0,Model!$B$6-IF((A29+104)&gt;=Model!$B$11,Model!$B$20,0)-IF(104&lt;Model!$B$15,Model!$B$22,0))/(1-Model!$B$9)/(1+Model!$B$18)^104))</f>
        <v/>
      </c>
      <c r="DO29" s="7">
        <f>IF(A29="","",IF((A29+105)&gt;Model!$B$4,0,MAX(0,Model!$B$6-IF((A29+105)&gt;=Model!$B$11,Model!$B$20,0)-IF(105&lt;Model!$B$15,Model!$B$22,0))/(1-Model!$B$9)/(1+Model!$B$18)^105))</f>
        <v/>
      </c>
      <c r="DP29" s="7">
        <f>IF(A29="","",IF((A29+106)&gt;Model!$B$4,0,MAX(0,Model!$B$6-IF((A29+106)&gt;=Model!$B$11,Model!$B$20,0)-IF(106&lt;Model!$B$15,Model!$B$22,0))/(1-Model!$B$9)/(1+Model!$B$18)^106))</f>
        <v/>
      </c>
      <c r="DQ29" s="7">
        <f>IF(A29="","",IF((A29+107)&gt;Model!$B$4,0,MAX(0,Model!$B$6-IF((A29+107)&gt;=Model!$B$11,Model!$B$20,0)-IF(107&lt;Model!$B$15,Model!$B$22,0))/(1-Model!$B$9)/(1+Model!$B$18)^107))</f>
        <v/>
      </c>
      <c r="DR29" s="7">
        <f>IF(A29="","",IF((A29+108)&gt;Model!$B$4,0,MAX(0,Model!$B$6-IF((A29+108)&gt;=Model!$B$11,Model!$B$20,0)-IF(108&lt;Model!$B$15,Model!$B$22,0))/(1-Model!$B$9)/(1+Model!$B$18)^108))</f>
        <v/>
      </c>
      <c r="DS29" s="7">
        <f>IF(A29="","",IF((A29+109)&gt;Model!$B$4,0,MAX(0,Model!$B$6-IF((A29+109)&gt;=Model!$B$11,Model!$B$20,0)-IF(109&lt;Model!$B$15,Model!$B$22,0))/(1-Model!$B$9)/(1+Model!$B$18)^109))</f>
        <v/>
      </c>
      <c r="DT29" s="7">
        <f>IF(A29="","",IF((A29+110)&gt;Model!$B$4,0,MAX(0,Model!$B$6-IF((A29+110)&gt;=Model!$B$11,Model!$B$20,0)-IF(110&lt;Model!$B$15,Model!$B$22,0))/(1-Model!$B$9)/(1+Model!$B$18)^110))</f>
        <v/>
      </c>
      <c r="DU29" s="7">
        <f>IF(A29="","",IF((A29+111)&gt;Model!$B$4,0,MAX(0,Model!$B$6-IF((A29+111)&gt;=Model!$B$11,Model!$B$20,0)-IF(111&lt;Model!$B$15,Model!$B$22,0))/(1-Model!$B$9)/(1+Model!$B$18)^111))</f>
        <v/>
      </c>
      <c r="DV29" s="7">
        <f>IF(A29="","",IF((A29+112)&gt;Model!$B$4,0,MAX(0,Model!$B$6-IF((A29+112)&gt;=Model!$B$11,Model!$B$20,0)-IF(112&lt;Model!$B$15,Model!$B$22,0))/(1-Model!$B$9)/(1+Model!$B$18)^112))</f>
        <v/>
      </c>
      <c r="DW29" s="7">
        <f>IF(A29="","",IF((A29+113)&gt;Model!$B$4,0,MAX(0,Model!$B$6-IF((A29+113)&gt;=Model!$B$11,Model!$B$20,0)-IF(113&lt;Model!$B$15,Model!$B$22,0))/(1-Model!$B$9)/(1+Model!$B$18)^113))</f>
        <v/>
      </c>
      <c r="DX29" s="7">
        <f>IF(A29="","",IF((A29+114)&gt;Model!$B$4,0,MAX(0,Model!$B$6-IF((A29+114)&gt;=Model!$B$11,Model!$B$20,0)-IF(114&lt;Model!$B$15,Model!$B$22,0))/(1-Model!$B$9)/(1+Model!$B$18)^114))</f>
        <v/>
      </c>
      <c r="DY29" s="7">
        <f>IF(A29="","",IF((A29+115)&gt;Model!$B$4,0,MAX(0,Model!$B$6-IF((A29+115)&gt;=Model!$B$11,Model!$B$20,0)-IF(115&lt;Model!$B$15,Model!$B$22,0))/(1-Model!$B$9)/(1+Model!$B$18)^115))</f>
        <v/>
      </c>
      <c r="DZ29" s="7">
        <f>IF(A29="","",IF((A29+116)&gt;Model!$B$4,0,MAX(0,Model!$B$6-IF((A29+116)&gt;=Model!$B$11,Model!$B$20,0)-IF(116&lt;Model!$B$15,Model!$B$22,0))/(1-Model!$B$9)/(1+Model!$B$18)^116))</f>
        <v/>
      </c>
      <c r="EA29" s="7">
        <f>IF(A29="","",IF((A29+117)&gt;Model!$B$4,0,MAX(0,Model!$B$6-IF((A29+117)&gt;=Model!$B$11,Model!$B$20,0)-IF(117&lt;Model!$B$15,Model!$B$22,0))/(1-Model!$B$9)/(1+Model!$B$18)^117))</f>
        <v/>
      </c>
      <c r="EB29" s="7">
        <f>IF(A29="","",IF((A29+118)&gt;Model!$B$4,0,MAX(0,Model!$B$6-IF((A29+118)&gt;=Model!$B$11,Model!$B$20,0)-IF(118&lt;Model!$B$15,Model!$B$22,0))/(1-Model!$B$9)/(1+Model!$B$18)^118))</f>
        <v/>
      </c>
      <c r="EC29" s="7">
        <f>IF(A29="","",IF((A29+119)&gt;Model!$B$4,0,MAX(0,Model!$B$6-IF((A29+119)&gt;=Model!$B$11,Model!$B$20,0)-IF(119&lt;Model!$B$15,Model!$B$22,0))/(1-Model!$B$9)/(1+Model!$B$18)^119))</f>
        <v/>
      </c>
      <c r="ED29" s="7">
        <f>IF(A29="","",IF((A29+120)&gt;Model!$B$4,0,MAX(0,Model!$B$6-IF((A29+120)&gt;=Model!$B$11,Model!$B$20,0)-IF(120&lt;Model!$B$15,Model!$B$22,0))/(1-Model!$B$9)/(1+Model!$B$18)^120))</f>
        <v/>
      </c>
    </row>
    <row r="30">
      <c r="A30">
        <f>IF(Model!$B$10+ROW()-2&lt;=Model!$B$4,Model!$B$10+ROW()-2,"")</f>
        <v/>
      </c>
      <c r="B30">
        <f>IF(A30="","",A30-Model!$B$10)</f>
        <v/>
      </c>
      <c r="C30" s="7">
        <f>IF(A30="","",Model!$B$5*(1+Model!$B$18)^B30)</f>
        <v/>
      </c>
      <c r="D30" s="7">
        <f>IF(A30="","",SUM(N30:ED30))</f>
        <v/>
      </c>
      <c r="E30" s="7">
        <f>IF(A30="","",IF(A30&gt;=Model!$B$11,Model!$B$20,0))</f>
        <v/>
      </c>
      <c r="F30" s="7">
        <f>IF(A30="","",IF(Model!$B$15&gt;0,Model!$B$22,0))</f>
        <v/>
      </c>
      <c r="G30" s="7">
        <f>IF(A30="","",E30+F30)</f>
        <v/>
      </c>
      <c r="H30" s="7">
        <f>IF(A30="","",MAX(0,Model!$B$6-G30))</f>
        <v/>
      </c>
      <c r="I30" s="7">
        <f>IF(A30="","",H30/(1-Model!$B$9))</f>
        <v/>
      </c>
      <c r="J30" s="7">
        <f>IF(A30="","",C30-D30)</f>
        <v/>
      </c>
      <c r="K30">
        <f>IF(A30="","",C30&gt;=D30)</f>
        <v/>
      </c>
      <c r="L30" s="7">
        <f>IF(A30="","",IF(A30&gt;=Model!$B$11,Model!$B$19*(1+Model!$B$13)^B30,0))</f>
        <v/>
      </c>
      <c r="M30" s="7">
        <f>IF(A30="","",IF(Model!$B$15&gt;0,Model!$B$21*(1+Model!$B$13)^B30,0))</f>
        <v/>
      </c>
      <c r="N30" s="7">
        <f>IF(A30="","",IF((A30+0)&gt;Model!$B$4,0,MAX(0,Model!$B$6-IF((A30+0)&gt;=Model!$B$11,Model!$B$20,0)-IF(0&lt;Model!$B$15,Model!$B$22,0))/(1-Model!$B$9)/(1+Model!$B$18)^0))</f>
        <v/>
      </c>
      <c r="O30" s="7">
        <f>IF(A30="","",IF((A30+1)&gt;Model!$B$4,0,MAX(0,Model!$B$6-IF((A30+1)&gt;=Model!$B$11,Model!$B$20,0)-IF(1&lt;Model!$B$15,Model!$B$22,0))/(1-Model!$B$9)/(1+Model!$B$18)^1))</f>
        <v/>
      </c>
      <c r="P30" s="7">
        <f>IF(A30="","",IF((A30+2)&gt;Model!$B$4,0,MAX(0,Model!$B$6-IF((A30+2)&gt;=Model!$B$11,Model!$B$20,0)-IF(2&lt;Model!$B$15,Model!$B$22,0))/(1-Model!$B$9)/(1+Model!$B$18)^2))</f>
        <v/>
      </c>
      <c r="Q30" s="7">
        <f>IF(A30="","",IF((A30+3)&gt;Model!$B$4,0,MAX(0,Model!$B$6-IF((A30+3)&gt;=Model!$B$11,Model!$B$20,0)-IF(3&lt;Model!$B$15,Model!$B$22,0))/(1-Model!$B$9)/(1+Model!$B$18)^3))</f>
        <v/>
      </c>
      <c r="R30" s="7">
        <f>IF(A30="","",IF((A30+4)&gt;Model!$B$4,0,MAX(0,Model!$B$6-IF((A30+4)&gt;=Model!$B$11,Model!$B$20,0)-IF(4&lt;Model!$B$15,Model!$B$22,0))/(1-Model!$B$9)/(1+Model!$B$18)^4))</f>
        <v/>
      </c>
      <c r="S30" s="7">
        <f>IF(A30="","",IF((A30+5)&gt;Model!$B$4,0,MAX(0,Model!$B$6-IF((A30+5)&gt;=Model!$B$11,Model!$B$20,0)-IF(5&lt;Model!$B$15,Model!$B$22,0))/(1-Model!$B$9)/(1+Model!$B$18)^5))</f>
        <v/>
      </c>
      <c r="T30" s="7">
        <f>IF(A30="","",IF((A30+6)&gt;Model!$B$4,0,MAX(0,Model!$B$6-IF((A30+6)&gt;=Model!$B$11,Model!$B$20,0)-IF(6&lt;Model!$B$15,Model!$B$22,0))/(1-Model!$B$9)/(1+Model!$B$18)^6))</f>
        <v/>
      </c>
      <c r="U30" s="7">
        <f>IF(A30="","",IF((A30+7)&gt;Model!$B$4,0,MAX(0,Model!$B$6-IF((A30+7)&gt;=Model!$B$11,Model!$B$20,0)-IF(7&lt;Model!$B$15,Model!$B$22,0))/(1-Model!$B$9)/(1+Model!$B$18)^7))</f>
        <v/>
      </c>
      <c r="V30" s="7">
        <f>IF(A30="","",IF((A30+8)&gt;Model!$B$4,0,MAX(0,Model!$B$6-IF((A30+8)&gt;=Model!$B$11,Model!$B$20,0)-IF(8&lt;Model!$B$15,Model!$B$22,0))/(1-Model!$B$9)/(1+Model!$B$18)^8))</f>
        <v/>
      </c>
      <c r="W30" s="7">
        <f>IF(A30="","",IF((A30+9)&gt;Model!$B$4,0,MAX(0,Model!$B$6-IF((A30+9)&gt;=Model!$B$11,Model!$B$20,0)-IF(9&lt;Model!$B$15,Model!$B$22,0))/(1-Model!$B$9)/(1+Model!$B$18)^9))</f>
        <v/>
      </c>
      <c r="X30" s="7">
        <f>IF(A30="","",IF((A30+10)&gt;Model!$B$4,0,MAX(0,Model!$B$6-IF((A30+10)&gt;=Model!$B$11,Model!$B$20,0)-IF(10&lt;Model!$B$15,Model!$B$22,0))/(1-Model!$B$9)/(1+Model!$B$18)^10))</f>
        <v/>
      </c>
      <c r="Y30" s="7">
        <f>IF(A30="","",IF((A30+11)&gt;Model!$B$4,0,MAX(0,Model!$B$6-IF((A30+11)&gt;=Model!$B$11,Model!$B$20,0)-IF(11&lt;Model!$B$15,Model!$B$22,0))/(1-Model!$B$9)/(1+Model!$B$18)^11))</f>
        <v/>
      </c>
      <c r="Z30" s="7">
        <f>IF(A30="","",IF((A30+12)&gt;Model!$B$4,0,MAX(0,Model!$B$6-IF((A30+12)&gt;=Model!$B$11,Model!$B$20,0)-IF(12&lt;Model!$B$15,Model!$B$22,0))/(1-Model!$B$9)/(1+Model!$B$18)^12))</f>
        <v/>
      </c>
      <c r="AA30" s="7">
        <f>IF(A30="","",IF((A30+13)&gt;Model!$B$4,0,MAX(0,Model!$B$6-IF((A30+13)&gt;=Model!$B$11,Model!$B$20,0)-IF(13&lt;Model!$B$15,Model!$B$22,0))/(1-Model!$B$9)/(1+Model!$B$18)^13))</f>
        <v/>
      </c>
      <c r="AB30" s="7">
        <f>IF(A30="","",IF((A30+14)&gt;Model!$B$4,0,MAX(0,Model!$B$6-IF((A30+14)&gt;=Model!$B$11,Model!$B$20,0)-IF(14&lt;Model!$B$15,Model!$B$22,0))/(1-Model!$B$9)/(1+Model!$B$18)^14))</f>
        <v/>
      </c>
      <c r="AC30" s="7">
        <f>IF(A30="","",IF((A30+15)&gt;Model!$B$4,0,MAX(0,Model!$B$6-IF((A30+15)&gt;=Model!$B$11,Model!$B$20,0)-IF(15&lt;Model!$B$15,Model!$B$22,0))/(1-Model!$B$9)/(1+Model!$B$18)^15))</f>
        <v/>
      </c>
      <c r="AD30" s="7">
        <f>IF(A30="","",IF((A30+16)&gt;Model!$B$4,0,MAX(0,Model!$B$6-IF((A30+16)&gt;=Model!$B$11,Model!$B$20,0)-IF(16&lt;Model!$B$15,Model!$B$22,0))/(1-Model!$B$9)/(1+Model!$B$18)^16))</f>
        <v/>
      </c>
      <c r="AE30" s="7">
        <f>IF(A30="","",IF((A30+17)&gt;Model!$B$4,0,MAX(0,Model!$B$6-IF((A30+17)&gt;=Model!$B$11,Model!$B$20,0)-IF(17&lt;Model!$B$15,Model!$B$22,0))/(1-Model!$B$9)/(1+Model!$B$18)^17))</f>
        <v/>
      </c>
      <c r="AF30" s="7">
        <f>IF(A30="","",IF((A30+18)&gt;Model!$B$4,0,MAX(0,Model!$B$6-IF((A30+18)&gt;=Model!$B$11,Model!$B$20,0)-IF(18&lt;Model!$B$15,Model!$B$22,0))/(1-Model!$B$9)/(1+Model!$B$18)^18))</f>
        <v/>
      </c>
      <c r="AG30" s="7">
        <f>IF(A30="","",IF((A30+19)&gt;Model!$B$4,0,MAX(0,Model!$B$6-IF((A30+19)&gt;=Model!$B$11,Model!$B$20,0)-IF(19&lt;Model!$B$15,Model!$B$22,0))/(1-Model!$B$9)/(1+Model!$B$18)^19))</f>
        <v/>
      </c>
      <c r="AH30" s="7">
        <f>IF(A30="","",IF((A30+20)&gt;Model!$B$4,0,MAX(0,Model!$B$6-IF((A30+20)&gt;=Model!$B$11,Model!$B$20,0)-IF(20&lt;Model!$B$15,Model!$B$22,0))/(1-Model!$B$9)/(1+Model!$B$18)^20))</f>
        <v/>
      </c>
      <c r="AI30" s="7">
        <f>IF(A30="","",IF((A30+21)&gt;Model!$B$4,0,MAX(0,Model!$B$6-IF((A30+21)&gt;=Model!$B$11,Model!$B$20,0)-IF(21&lt;Model!$B$15,Model!$B$22,0))/(1-Model!$B$9)/(1+Model!$B$18)^21))</f>
        <v/>
      </c>
      <c r="AJ30" s="7">
        <f>IF(A30="","",IF((A30+22)&gt;Model!$B$4,0,MAX(0,Model!$B$6-IF((A30+22)&gt;=Model!$B$11,Model!$B$20,0)-IF(22&lt;Model!$B$15,Model!$B$22,0))/(1-Model!$B$9)/(1+Model!$B$18)^22))</f>
        <v/>
      </c>
      <c r="AK30" s="7">
        <f>IF(A30="","",IF((A30+23)&gt;Model!$B$4,0,MAX(0,Model!$B$6-IF((A30+23)&gt;=Model!$B$11,Model!$B$20,0)-IF(23&lt;Model!$B$15,Model!$B$22,0))/(1-Model!$B$9)/(1+Model!$B$18)^23))</f>
        <v/>
      </c>
      <c r="AL30" s="7">
        <f>IF(A30="","",IF((A30+24)&gt;Model!$B$4,0,MAX(0,Model!$B$6-IF((A30+24)&gt;=Model!$B$11,Model!$B$20,0)-IF(24&lt;Model!$B$15,Model!$B$22,0))/(1-Model!$B$9)/(1+Model!$B$18)^24))</f>
        <v/>
      </c>
      <c r="AM30" s="7">
        <f>IF(A30="","",IF((A30+25)&gt;Model!$B$4,0,MAX(0,Model!$B$6-IF((A30+25)&gt;=Model!$B$11,Model!$B$20,0)-IF(25&lt;Model!$B$15,Model!$B$22,0))/(1-Model!$B$9)/(1+Model!$B$18)^25))</f>
        <v/>
      </c>
      <c r="AN30" s="7">
        <f>IF(A30="","",IF((A30+26)&gt;Model!$B$4,0,MAX(0,Model!$B$6-IF((A30+26)&gt;=Model!$B$11,Model!$B$20,0)-IF(26&lt;Model!$B$15,Model!$B$22,0))/(1-Model!$B$9)/(1+Model!$B$18)^26))</f>
        <v/>
      </c>
      <c r="AO30" s="7">
        <f>IF(A30="","",IF((A30+27)&gt;Model!$B$4,0,MAX(0,Model!$B$6-IF((A30+27)&gt;=Model!$B$11,Model!$B$20,0)-IF(27&lt;Model!$B$15,Model!$B$22,0))/(1-Model!$B$9)/(1+Model!$B$18)^27))</f>
        <v/>
      </c>
      <c r="AP30" s="7">
        <f>IF(A30="","",IF((A30+28)&gt;Model!$B$4,0,MAX(0,Model!$B$6-IF((A30+28)&gt;=Model!$B$11,Model!$B$20,0)-IF(28&lt;Model!$B$15,Model!$B$22,0))/(1-Model!$B$9)/(1+Model!$B$18)^28))</f>
        <v/>
      </c>
      <c r="AQ30" s="7">
        <f>IF(A30="","",IF((A30+29)&gt;Model!$B$4,0,MAX(0,Model!$B$6-IF((A30+29)&gt;=Model!$B$11,Model!$B$20,0)-IF(29&lt;Model!$B$15,Model!$B$22,0))/(1-Model!$B$9)/(1+Model!$B$18)^29))</f>
        <v/>
      </c>
      <c r="AR30" s="7">
        <f>IF(A30="","",IF((A30+30)&gt;Model!$B$4,0,MAX(0,Model!$B$6-IF((A30+30)&gt;=Model!$B$11,Model!$B$20,0)-IF(30&lt;Model!$B$15,Model!$B$22,0))/(1-Model!$B$9)/(1+Model!$B$18)^30))</f>
        <v/>
      </c>
      <c r="AS30" s="7">
        <f>IF(A30="","",IF((A30+31)&gt;Model!$B$4,0,MAX(0,Model!$B$6-IF((A30+31)&gt;=Model!$B$11,Model!$B$20,0)-IF(31&lt;Model!$B$15,Model!$B$22,0))/(1-Model!$B$9)/(1+Model!$B$18)^31))</f>
        <v/>
      </c>
      <c r="AT30" s="7">
        <f>IF(A30="","",IF((A30+32)&gt;Model!$B$4,0,MAX(0,Model!$B$6-IF((A30+32)&gt;=Model!$B$11,Model!$B$20,0)-IF(32&lt;Model!$B$15,Model!$B$22,0))/(1-Model!$B$9)/(1+Model!$B$18)^32))</f>
        <v/>
      </c>
      <c r="AU30" s="7">
        <f>IF(A30="","",IF((A30+33)&gt;Model!$B$4,0,MAX(0,Model!$B$6-IF((A30+33)&gt;=Model!$B$11,Model!$B$20,0)-IF(33&lt;Model!$B$15,Model!$B$22,0))/(1-Model!$B$9)/(1+Model!$B$18)^33))</f>
        <v/>
      </c>
      <c r="AV30" s="7">
        <f>IF(A30="","",IF((A30+34)&gt;Model!$B$4,0,MAX(0,Model!$B$6-IF((A30+34)&gt;=Model!$B$11,Model!$B$20,0)-IF(34&lt;Model!$B$15,Model!$B$22,0))/(1-Model!$B$9)/(1+Model!$B$18)^34))</f>
        <v/>
      </c>
      <c r="AW30" s="7">
        <f>IF(A30="","",IF((A30+35)&gt;Model!$B$4,0,MAX(0,Model!$B$6-IF((A30+35)&gt;=Model!$B$11,Model!$B$20,0)-IF(35&lt;Model!$B$15,Model!$B$22,0))/(1-Model!$B$9)/(1+Model!$B$18)^35))</f>
        <v/>
      </c>
      <c r="AX30" s="7">
        <f>IF(A30="","",IF((A30+36)&gt;Model!$B$4,0,MAX(0,Model!$B$6-IF((A30+36)&gt;=Model!$B$11,Model!$B$20,0)-IF(36&lt;Model!$B$15,Model!$B$22,0))/(1-Model!$B$9)/(1+Model!$B$18)^36))</f>
        <v/>
      </c>
      <c r="AY30" s="7">
        <f>IF(A30="","",IF((A30+37)&gt;Model!$B$4,0,MAX(0,Model!$B$6-IF((A30+37)&gt;=Model!$B$11,Model!$B$20,0)-IF(37&lt;Model!$B$15,Model!$B$22,0))/(1-Model!$B$9)/(1+Model!$B$18)^37))</f>
        <v/>
      </c>
      <c r="AZ30" s="7">
        <f>IF(A30="","",IF((A30+38)&gt;Model!$B$4,0,MAX(0,Model!$B$6-IF((A30+38)&gt;=Model!$B$11,Model!$B$20,0)-IF(38&lt;Model!$B$15,Model!$B$22,0))/(1-Model!$B$9)/(1+Model!$B$18)^38))</f>
        <v/>
      </c>
      <c r="BA30" s="7">
        <f>IF(A30="","",IF((A30+39)&gt;Model!$B$4,0,MAX(0,Model!$B$6-IF((A30+39)&gt;=Model!$B$11,Model!$B$20,0)-IF(39&lt;Model!$B$15,Model!$B$22,0))/(1-Model!$B$9)/(1+Model!$B$18)^39))</f>
        <v/>
      </c>
      <c r="BB30" s="7">
        <f>IF(A30="","",IF((A30+40)&gt;Model!$B$4,0,MAX(0,Model!$B$6-IF((A30+40)&gt;=Model!$B$11,Model!$B$20,0)-IF(40&lt;Model!$B$15,Model!$B$22,0))/(1-Model!$B$9)/(1+Model!$B$18)^40))</f>
        <v/>
      </c>
      <c r="BC30" s="7">
        <f>IF(A30="","",IF((A30+41)&gt;Model!$B$4,0,MAX(0,Model!$B$6-IF((A30+41)&gt;=Model!$B$11,Model!$B$20,0)-IF(41&lt;Model!$B$15,Model!$B$22,0))/(1-Model!$B$9)/(1+Model!$B$18)^41))</f>
        <v/>
      </c>
      <c r="BD30" s="7">
        <f>IF(A30="","",IF((A30+42)&gt;Model!$B$4,0,MAX(0,Model!$B$6-IF((A30+42)&gt;=Model!$B$11,Model!$B$20,0)-IF(42&lt;Model!$B$15,Model!$B$22,0))/(1-Model!$B$9)/(1+Model!$B$18)^42))</f>
        <v/>
      </c>
      <c r="BE30" s="7">
        <f>IF(A30="","",IF((A30+43)&gt;Model!$B$4,0,MAX(0,Model!$B$6-IF((A30+43)&gt;=Model!$B$11,Model!$B$20,0)-IF(43&lt;Model!$B$15,Model!$B$22,0))/(1-Model!$B$9)/(1+Model!$B$18)^43))</f>
        <v/>
      </c>
      <c r="BF30" s="7">
        <f>IF(A30="","",IF((A30+44)&gt;Model!$B$4,0,MAX(0,Model!$B$6-IF((A30+44)&gt;=Model!$B$11,Model!$B$20,0)-IF(44&lt;Model!$B$15,Model!$B$22,0))/(1-Model!$B$9)/(1+Model!$B$18)^44))</f>
        <v/>
      </c>
      <c r="BG30" s="7">
        <f>IF(A30="","",IF((A30+45)&gt;Model!$B$4,0,MAX(0,Model!$B$6-IF((A30+45)&gt;=Model!$B$11,Model!$B$20,0)-IF(45&lt;Model!$B$15,Model!$B$22,0))/(1-Model!$B$9)/(1+Model!$B$18)^45))</f>
        <v/>
      </c>
      <c r="BH30" s="7">
        <f>IF(A30="","",IF((A30+46)&gt;Model!$B$4,0,MAX(0,Model!$B$6-IF((A30+46)&gt;=Model!$B$11,Model!$B$20,0)-IF(46&lt;Model!$B$15,Model!$B$22,0))/(1-Model!$B$9)/(1+Model!$B$18)^46))</f>
        <v/>
      </c>
      <c r="BI30" s="7">
        <f>IF(A30="","",IF((A30+47)&gt;Model!$B$4,0,MAX(0,Model!$B$6-IF((A30+47)&gt;=Model!$B$11,Model!$B$20,0)-IF(47&lt;Model!$B$15,Model!$B$22,0))/(1-Model!$B$9)/(1+Model!$B$18)^47))</f>
        <v/>
      </c>
      <c r="BJ30" s="7">
        <f>IF(A30="","",IF((A30+48)&gt;Model!$B$4,0,MAX(0,Model!$B$6-IF((A30+48)&gt;=Model!$B$11,Model!$B$20,0)-IF(48&lt;Model!$B$15,Model!$B$22,0))/(1-Model!$B$9)/(1+Model!$B$18)^48))</f>
        <v/>
      </c>
      <c r="BK30" s="7">
        <f>IF(A30="","",IF((A30+49)&gt;Model!$B$4,0,MAX(0,Model!$B$6-IF((A30+49)&gt;=Model!$B$11,Model!$B$20,0)-IF(49&lt;Model!$B$15,Model!$B$22,0))/(1-Model!$B$9)/(1+Model!$B$18)^49))</f>
        <v/>
      </c>
      <c r="BL30" s="7">
        <f>IF(A30="","",IF((A30+50)&gt;Model!$B$4,0,MAX(0,Model!$B$6-IF((A30+50)&gt;=Model!$B$11,Model!$B$20,0)-IF(50&lt;Model!$B$15,Model!$B$22,0))/(1-Model!$B$9)/(1+Model!$B$18)^50))</f>
        <v/>
      </c>
      <c r="BM30" s="7">
        <f>IF(A30="","",IF((A30+51)&gt;Model!$B$4,0,MAX(0,Model!$B$6-IF((A30+51)&gt;=Model!$B$11,Model!$B$20,0)-IF(51&lt;Model!$B$15,Model!$B$22,0))/(1-Model!$B$9)/(1+Model!$B$18)^51))</f>
        <v/>
      </c>
      <c r="BN30" s="7">
        <f>IF(A30="","",IF((A30+52)&gt;Model!$B$4,0,MAX(0,Model!$B$6-IF((A30+52)&gt;=Model!$B$11,Model!$B$20,0)-IF(52&lt;Model!$B$15,Model!$B$22,0))/(1-Model!$B$9)/(1+Model!$B$18)^52))</f>
        <v/>
      </c>
      <c r="BO30" s="7">
        <f>IF(A30="","",IF((A30+53)&gt;Model!$B$4,0,MAX(0,Model!$B$6-IF((A30+53)&gt;=Model!$B$11,Model!$B$20,0)-IF(53&lt;Model!$B$15,Model!$B$22,0))/(1-Model!$B$9)/(1+Model!$B$18)^53))</f>
        <v/>
      </c>
      <c r="BP30" s="7">
        <f>IF(A30="","",IF((A30+54)&gt;Model!$B$4,0,MAX(0,Model!$B$6-IF((A30+54)&gt;=Model!$B$11,Model!$B$20,0)-IF(54&lt;Model!$B$15,Model!$B$22,0))/(1-Model!$B$9)/(1+Model!$B$18)^54))</f>
        <v/>
      </c>
      <c r="BQ30" s="7">
        <f>IF(A30="","",IF((A30+55)&gt;Model!$B$4,0,MAX(0,Model!$B$6-IF((A30+55)&gt;=Model!$B$11,Model!$B$20,0)-IF(55&lt;Model!$B$15,Model!$B$22,0))/(1-Model!$B$9)/(1+Model!$B$18)^55))</f>
        <v/>
      </c>
      <c r="BR30" s="7">
        <f>IF(A30="","",IF((A30+56)&gt;Model!$B$4,0,MAX(0,Model!$B$6-IF((A30+56)&gt;=Model!$B$11,Model!$B$20,0)-IF(56&lt;Model!$B$15,Model!$B$22,0))/(1-Model!$B$9)/(1+Model!$B$18)^56))</f>
        <v/>
      </c>
      <c r="BS30" s="7">
        <f>IF(A30="","",IF((A30+57)&gt;Model!$B$4,0,MAX(0,Model!$B$6-IF((A30+57)&gt;=Model!$B$11,Model!$B$20,0)-IF(57&lt;Model!$B$15,Model!$B$22,0))/(1-Model!$B$9)/(1+Model!$B$18)^57))</f>
        <v/>
      </c>
      <c r="BT30" s="7">
        <f>IF(A30="","",IF((A30+58)&gt;Model!$B$4,0,MAX(0,Model!$B$6-IF((A30+58)&gt;=Model!$B$11,Model!$B$20,0)-IF(58&lt;Model!$B$15,Model!$B$22,0))/(1-Model!$B$9)/(1+Model!$B$18)^58))</f>
        <v/>
      </c>
      <c r="BU30" s="7">
        <f>IF(A30="","",IF((A30+59)&gt;Model!$B$4,0,MAX(0,Model!$B$6-IF((A30+59)&gt;=Model!$B$11,Model!$B$20,0)-IF(59&lt;Model!$B$15,Model!$B$22,0))/(1-Model!$B$9)/(1+Model!$B$18)^59))</f>
        <v/>
      </c>
      <c r="BV30" s="7">
        <f>IF(A30="","",IF((A30+60)&gt;Model!$B$4,0,MAX(0,Model!$B$6-IF((A30+60)&gt;=Model!$B$11,Model!$B$20,0)-IF(60&lt;Model!$B$15,Model!$B$22,0))/(1-Model!$B$9)/(1+Model!$B$18)^60))</f>
        <v/>
      </c>
      <c r="BW30" s="7">
        <f>IF(A30="","",IF((A30+61)&gt;Model!$B$4,0,MAX(0,Model!$B$6-IF((A30+61)&gt;=Model!$B$11,Model!$B$20,0)-IF(61&lt;Model!$B$15,Model!$B$22,0))/(1-Model!$B$9)/(1+Model!$B$18)^61))</f>
        <v/>
      </c>
      <c r="BX30" s="7">
        <f>IF(A30="","",IF((A30+62)&gt;Model!$B$4,0,MAX(0,Model!$B$6-IF((A30+62)&gt;=Model!$B$11,Model!$B$20,0)-IF(62&lt;Model!$B$15,Model!$B$22,0))/(1-Model!$B$9)/(1+Model!$B$18)^62))</f>
        <v/>
      </c>
      <c r="BY30" s="7">
        <f>IF(A30="","",IF((A30+63)&gt;Model!$B$4,0,MAX(0,Model!$B$6-IF((A30+63)&gt;=Model!$B$11,Model!$B$20,0)-IF(63&lt;Model!$B$15,Model!$B$22,0))/(1-Model!$B$9)/(1+Model!$B$18)^63))</f>
        <v/>
      </c>
      <c r="BZ30" s="7">
        <f>IF(A30="","",IF((A30+64)&gt;Model!$B$4,0,MAX(0,Model!$B$6-IF((A30+64)&gt;=Model!$B$11,Model!$B$20,0)-IF(64&lt;Model!$B$15,Model!$B$22,0))/(1-Model!$B$9)/(1+Model!$B$18)^64))</f>
        <v/>
      </c>
      <c r="CA30" s="7">
        <f>IF(A30="","",IF((A30+65)&gt;Model!$B$4,0,MAX(0,Model!$B$6-IF((A30+65)&gt;=Model!$B$11,Model!$B$20,0)-IF(65&lt;Model!$B$15,Model!$B$22,0))/(1-Model!$B$9)/(1+Model!$B$18)^65))</f>
        <v/>
      </c>
      <c r="CB30" s="7">
        <f>IF(A30="","",IF((A30+66)&gt;Model!$B$4,0,MAX(0,Model!$B$6-IF((A30+66)&gt;=Model!$B$11,Model!$B$20,0)-IF(66&lt;Model!$B$15,Model!$B$22,0))/(1-Model!$B$9)/(1+Model!$B$18)^66))</f>
        <v/>
      </c>
      <c r="CC30" s="7">
        <f>IF(A30="","",IF((A30+67)&gt;Model!$B$4,0,MAX(0,Model!$B$6-IF((A30+67)&gt;=Model!$B$11,Model!$B$20,0)-IF(67&lt;Model!$B$15,Model!$B$22,0))/(1-Model!$B$9)/(1+Model!$B$18)^67))</f>
        <v/>
      </c>
      <c r="CD30" s="7">
        <f>IF(A30="","",IF((A30+68)&gt;Model!$B$4,0,MAX(0,Model!$B$6-IF((A30+68)&gt;=Model!$B$11,Model!$B$20,0)-IF(68&lt;Model!$B$15,Model!$B$22,0))/(1-Model!$B$9)/(1+Model!$B$18)^68))</f>
        <v/>
      </c>
      <c r="CE30" s="7">
        <f>IF(A30="","",IF((A30+69)&gt;Model!$B$4,0,MAX(0,Model!$B$6-IF((A30+69)&gt;=Model!$B$11,Model!$B$20,0)-IF(69&lt;Model!$B$15,Model!$B$22,0))/(1-Model!$B$9)/(1+Model!$B$18)^69))</f>
        <v/>
      </c>
      <c r="CF30" s="7">
        <f>IF(A30="","",IF((A30+70)&gt;Model!$B$4,0,MAX(0,Model!$B$6-IF((A30+70)&gt;=Model!$B$11,Model!$B$20,0)-IF(70&lt;Model!$B$15,Model!$B$22,0))/(1-Model!$B$9)/(1+Model!$B$18)^70))</f>
        <v/>
      </c>
      <c r="CG30" s="7">
        <f>IF(A30="","",IF((A30+71)&gt;Model!$B$4,0,MAX(0,Model!$B$6-IF((A30+71)&gt;=Model!$B$11,Model!$B$20,0)-IF(71&lt;Model!$B$15,Model!$B$22,0))/(1-Model!$B$9)/(1+Model!$B$18)^71))</f>
        <v/>
      </c>
      <c r="CH30" s="7">
        <f>IF(A30="","",IF((A30+72)&gt;Model!$B$4,0,MAX(0,Model!$B$6-IF((A30+72)&gt;=Model!$B$11,Model!$B$20,0)-IF(72&lt;Model!$B$15,Model!$B$22,0))/(1-Model!$B$9)/(1+Model!$B$18)^72))</f>
        <v/>
      </c>
      <c r="CI30" s="7">
        <f>IF(A30="","",IF((A30+73)&gt;Model!$B$4,0,MAX(0,Model!$B$6-IF((A30+73)&gt;=Model!$B$11,Model!$B$20,0)-IF(73&lt;Model!$B$15,Model!$B$22,0))/(1-Model!$B$9)/(1+Model!$B$18)^73))</f>
        <v/>
      </c>
      <c r="CJ30" s="7">
        <f>IF(A30="","",IF((A30+74)&gt;Model!$B$4,0,MAX(0,Model!$B$6-IF((A30+74)&gt;=Model!$B$11,Model!$B$20,0)-IF(74&lt;Model!$B$15,Model!$B$22,0))/(1-Model!$B$9)/(1+Model!$B$18)^74))</f>
        <v/>
      </c>
      <c r="CK30" s="7">
        <f>IF(A30="","",IF((A30+75)&gt;Model!$B$4,0,MAX(0,Model!$B$6-IF((A30+75)&gt;=Model!$B$11,Model!$B$20,0)-IF(75&lt;Model!$B$15,Model!$B$22,0))/(1-Model!$B$9)/(1+Model!$B$18)^75))</f>
        <v/>
      </c>
      <c r="CL30" s="7">
        <f>IF(A30="","",IF((A30+76)&gt;Model!$B$4,0,MAX(0,Model!$B$6-IF((A30+76)&gt;=Model!$B$11,Model!$B$20,0)-IF(76&lt;Model!$B$15,Model!$B$22,0))/(1-Model!$B$9)/(1+Model!$B$18)^76))</f>
        <v/>
      </c>
      <c r="CM30" s="7">
        <f>IF(A30="","",IF((A30+77)&gt;Model!$B$4,0,MAX(0,Model!$B$6-IF((A30+77)&gt;=Model!$B$11,Model!$B$20,0)-IF(77&lt;Model!$B$15,Model!$B$22,0))/(1-Model!$B$9)/(1+Model!$B$18)^77))</f>
        <v/>
      </c>
      <c r="CN30" s="7">
        <f>IF(A30="","",IF((A30+78)&gt;Model!$B$4,0,MAX(0,Model!$B$6-IF((A30+78)&gt;=Model!$B$11,Model!$B$20,0)-IF(78&lt;Model!$B$15,Model!$B$22,0))/(1-Model!$B$9)/(1+Model!$B$18)^78))</f>
        <v/>
      </c>
      <c r="CO30" s="7">
        <f>IF(A30="","",IF((A30+79)&gt;Model!$B$4,0,MAX(0,Model!$B$6-IF((A30+79)&gt;=Model!$B$11,Model!$B$20,0)-IF(79&lt;Model!$B$15,Model!$B$22,0))/(1-Model!$B$9)/(1+Model!$B$18)^79))</f>
        <v/>
      </c>
      <c r="CP30" s="7">
        <f>IF(A30="","",IF((A30+80)&gt;Model!$B$4,0,MAX(0,Model!$B$6-IF((A30+80)&gt;=Model!$B$11,Model!$B$20,0)-IF(80&lt;Model!$B$15,Model!$B$22,0))/(1-Model!$B$9)/(1+Model!$B$18)^80))</f>
        <v/>
      </c>
      <c r="CQ30" s="7">
        <f>IF(A30="","",IF((A30+81)&gt;Model!$B$4,0,MAX(0,Model!$B$6-IF((A30+81)&gt;=Model!$B$11,Model!$B$20,0)-IF(81&lt;Model!$B$15,Model!$B$22,0))/(1-Model!$B$9)/(1+Model!$B$18)^81))</f>
        <v/>
      </c>
      <c r="CR30" s="7">
        <f>IF(A30="","",IF((A30+82)&gt;Model!$B$4,0,MAX(0,Model!$B$6-IF((A30+82)&gt;=Model!$B$11,Model!$B$20,0)-IF(82&lt;Model!$B$15,Model!$B$22,0))/(1-Model!$B$9)/(1+Model!$B$18)^82))</f>
        <v/>
      </c>
      <c r="CS30" s="7">
        <f>IF(A30="","",IF((A30+83)&gt;Model!$B$4,0,MAX(0,Model!$B$6-IF((A30+83)&gt;=Model!$B$11,Model!$B$20,0)-IF(83&lt;Model!$B$15,Model!$B$22,0))/(1-Model!$B$9)/(1+Model!$B$18)^83))</f>
        <v/>
      </c>
      <c r="CT30" s="7">
        <f>IF(A30="","",IF((A30+84)&gt;Model!$B$4,0,MAX(0,Model!$B$6-IF((A30+84)&gt;=Model!$B$11,Model!$B$20,0)-IF(84&lt;Model!$B$15,Model!$B$22,0))/(1-Model!$B$9)/(1+Model!$B$18)^84))</f>
        <v/>
      </c>
      <c r="CU30" s="7">
        <f>IF(A30="","",IF((A30+85)&gt;Model!$B$4,0,MAX(0,Model!$B$6-IF((A30+85)&gt;=Model!$B$11,Model!$B$20,0)-IF(85&lt;Model!$B$15,Model!$B$22,0))/(1-Model!$B$9)/(1+Model!$B$18)^85))</f>
        <v/>
      </c>
      <c r="CV30" s="7">
        <f>IF(A30="","",IF((A30+86)&gt;Model!$B$4,0,MAX(0,Model!$B$6-IF((A30+86)&gt;=Model!$B$11,Model!$B$20,0)-IF(86&lt;Model!$B$15,Model!$B$22,0))/(1-Model!$B$9)/(1+Model!$B$18)^86))</f>
        <v/>
      </c>
      <c r="CW30" s="7">
        <f>IF(A30="","",IF((A30+87)&gt;Model!$B$4,0,MAX(0,Model!$B$6-IF((A30+87)&gt;=Model!$B$11,Model!$B$20,0)-IF(87&lt;Model!$B$15,Model!$B$22,0))/(1-Model!$B$9)/(1+Model!$B$18)^87))</f>
        <v/>
      </c>
      <c r="CX30" s="7">
        <f>IF(A30="","",IF((A30+88)&gt;Model!$B$4,0,MAX(0,Model!$B$6-IF((A30+88)&gt;=Model!$B$11,Model!$B$20,0)-IF(88&lt;Model!$B$15,Model!$B$22,0))/(1-Model!$B$9)/(1+Model!$B$18)^88))</f>
        <v/>
      </c>
      <c r="CY30" s="7">
        <f>IF(A30="","",IF((A30+89)&gt;Model!$B$4,0,MAX(0,Model!$B$6-IF((A30+89)&gt;=Model!$B$11,Model!$B$20,0)-IF(89&lt;Model!$B$15,Model!$B$22,0))/(1-Model!$B$9)/(1+Model!$B$18)^89))</f>
        <v/>
      </c>
      <c r="CZ30" s="7">
        <f>IF(A30="","",IF((A30+90)&gt;Model!$B$4,0,MAX(0,Model!$B$6-IF((A30+90)&gt;=Model!$B$11,Model!$B$20,0)-IF(90&lt;Model!$B$15,Model!$B$22,0))/(1-Model!$B$9)/(1+Model!$B$18)^90))</f>
        <v/>
      </c>
      <c r="DA30" s="7">
        <f>IF(A30="","",IF((A30+91)&gt;Model!$B$4,0,MAX(0,Model!$B$6-IF((A30+91)&gt;=Model!$B$11,Model!$B$20,0)-IF(91&lt;Model!$B$15,Model!$B$22,0))/(1-Model!$B$9)/(1+Model!$B$18)^91))</f>
        <v/>
      </c>
      <c r="DB30" s="7">
        <f>IF(A30="","",IF((A30+92)&gt;Model!$B$4,0,MAX(0,Model!$B$6-IF((A30+92)&gt;=Model!$B$11,Model!$B$20,0)-IF(92&lt;Model!$B$15,Model!$B$22,0))/(1-Model!$B$9)/(1+Model!$B$18)^92))</f>
        <v/>
      </c>
      <c r="DC30" s="7">
        <f>IF(A30="","",IF((A30+93)&gt;Model!$B$4,0,MAX(0,Model!$B$6-IF((A30+93)&gt;=Model!$B$11,Model!$B$20,0)-IF(93&lt;Model!$B$15,Model!$B$22,0))/(1-Model!$B$9)/(1+Model!$B$18)^93))</f>
        <v/>
      </c>
      <c r="DD30" s="7">
        <f>IF(A30="","",IF((A30+94)&gt;Model!$B$4,0,MAX(0,Model!$B$6-IF((A30+94)&gt;=Model!$B$11,Model!$B$20,0)-IF(94&lt;Model!$B$15,Model!$B$22,0))/(1-Model!$B$9)/(1+Model!$B$18)^94))</f>
        <v/>
      </c>
      <c r="DE30" s="7">
        <f>IF(A30="","",IF((A30+95)&gt;Model!$B$4,0,MAX(0,Model!$B$6-IF((A30+95)&gt;=Model!$B$11,Model!$B$20,0)-IF(95&lt;Model!$B$15,Model!$B$22,0))/(1-Model!$B$9)/(1+Model!$B$18)^95))</f>
        <v/>
      </c>
      <c r="DF30" s="7">
        <f>IF(A30="","",IF((A30+96)&gt;Model!$B$4,0,MAX(0,Model!$B$6-IF((A30+96)&gt;=Model!$B$11,Model!$B$20,0)-IF(96&lt;Model!$B$15,Model!$B$22,0))/(1-Model!$B$9)/(1+Model!$B$18)^96))</f>
        <v/>
      </c>
      <c r="DG30" s="7">
        <f>IF(A30="","",IF((A30+97)&gt;Model!$B$4,0,MAX(0,Model!$B$6-IF((A30+97)&gt;=Model!$B$11,Model!$B$20,0)-IF(97&lt;Model!$B$15,Model!$B$22,0))/(1-Model!$B$9)/(1+Model!$B$18)^97))</f>
        <v/>
      </c>
      <c r="DH30" s="7">
        <f>IF(A30="","",IF((A30+98)&gt;Model!$B$4,0,MAX(0,Model!$B$6-IF((A30+98)&gt;=Model!$B$11,Model!$B$20,0)-IF(98&lt;Model!$B$15,Model!$B$22,0))/(1-Model!$B$9)/(1+Model!$B$18)^98))</f>
        <v/>
      </c>
      <c r="DI30" s="7">
        <f>IF(A30="","",IF((A30+99)&gt;Model!$B$4,0,MAX(0,Model!$B$6-IF((A30+99)&gt;=Model!$B$11,Model!$B$20,0)-IF(99&lt;Model!$B$15,Model!$B$22,0))/(1-Model!$B$9)/(1+Model!$B$18)^99))</f>
        <v/>
      </c>
      <c r="DJ30" s="7">
        <f>IF(A30="","",IF((A30+100)&gt;Model!$B$4,0,MAX(0,Model!$B$6-IF((A30+100)&gt;=Model!$B$11,Model!$B$20,0)-IF(100&lt;Model!$B$15,Model!$B$22,0))/(1-Model!$B$9)/(1+Model!$B$18)^100))</f>
        <v/>
      </c>
      <c r="DK30" s="7">
        <f>IF(A30="","",IF((A30+101)&gt;Model!$B$4,0,MAX(0,Model!$B$6-IF((A30+101)&gt;=Model!$B$11,Model!$B$20,0)-IF(101&lt;Model!$B$15,Model!$B$22,0))/(1-Model!$B$9)/(1+Model!$B$18)^101))</f>
        <v/>
      </c>
      <c r="DL30" s="7">
        <f>IF(A30="","",IF((A30+102)&gt;Model!$B$4,0,MAX(0,Model!$B$6-IF((A30+102)&gt;=Model!$B$11,Model!$B$20,0)-IF(102&lt;Model!$B$15,Model!$B$22,0))/(1-Model!$B$9)/(1+Model!$B$18)^102))</f>
        <v/>
      </c>
      <c r="DM30" s="7">
        <f>IF(A30="","",IF((A30+103)&gt;Model!$B$4,0,MAX(0,Model!$B$6-IF((A30+103)&gt;=Model!$B$11,Model!$B$20,0)-IF(103&lt;Model!$B$15,Model!$B$22,0))/(1-Model!$B$9)/(1+Model!$B$18)^103))</f>
        <v/>
      </c>
      <c r="DN30" s="7">
        <f>IF(A30="","",IF((A30+104)&gt;Model!$B$4,0,MAX(0,Model!$B$6-IF((A30+104)&gt;=Model!$B$11,Model!$B$20,0)-IF(104&lt;Model!$B$15,Model!$B$22,0))/(1-Model!$B$9)/(1+Model!$B$18)^104))</f>
        <v/>
      </c>
      <c r="DO30" s="7">
        <f>IF(A30="","",IF((A30+105)&gt;Model!$B$4,0,MAX(0,Model!$B$6-IF((A30+105)&gt;=Model!$B$11,Model!$B$20,0)-IF(105&lt;Model!$B$15,Model!$B$22,0))/(1-Model!$B$9)/(1+Model!$B$18)^105))</f>
        <v/>
      </c>
      <c r="DP30" s="7">
        <f>IF(A30="","",IF((A30+106)&gt;Model!$B$4,0,MAX(0,Model!$B$6-IF((A30+106)&gt;=Model!$B$11,Model!$B$20,0)-IF(106&lt;Model!$B$15,Model!$B$22,0))/(1-Model!$B$9)/(1+Model!$B$18)^106))</f>
        <v/>
      </c>
      <c r="DQ30" s="7">
        <f>IF(A30="","",IF((A30+107)&gt;Model!$B$4,0,MAX(0,Model!$B$6-IF((A30+107)&gt;=Model!$B$11,Model!$B$20,0)-IF(107&lt;Model!$B$15,Model!$B$22,0))/(1-Model!$B$9)/(1+Model!$B$18)^107))</f>
        <v/>
      </c>
      <c r="DR30" s="7">
        <f>IF(A30="","",IF((A30+108)&gt;Model!$B$4,0,MAX(0,Model!$B$6-IF((A30+108)&gt;=Model!$B$11,Model!$B$20,0)-IF(108&lt;Model!$B$15,Model!$B$22,0))/(1-Model!$B$9)/(1+Model!$B$18)^108))</f>
        <v/>
      </c>
      <c r="DS30" s="7">
        <f>IF(A30="","",IF((A30+109)&gt;Model!$B$4,0,MAX(0,Model!$B$6-IF((A30+109)&gt;=Model!$B$11,Model!$B$20,0)-IF(109&lt;Model!$B$15,Model!$B$22,0))/(1-Model!$B$9)/(1+Model!$B$18)^109))</f>
        <v/>
      </c>
      <c r="DT30" s="7">
        <f>IF(A30="","",IF((A30+110)&gt;Model!$B$4,0,MAX(0,Model!$B$6-IF((A30+110)&gt;=Model!$B$11,Model!$B$20,0)-IF(110&lt;Model!$B$15,Model!$B$22,0))/(1-Model!$B$9)/(1+Model!$B$18)^110))</f>
        <v/>
      </c>
      <c r="DU30" s="7">
        <f>IF(A30="","",IF((A30+111)&gt;Model!$B$4,0,MAX(0,Model!$B$6-IF((A30+111)&gt;=Model!$B$11,Model!$B$20,0)-IF(111&lt;Model!$B$15,Model!$B$22,0))/(1-Model!$B$9)/(1+Model!$B$18)^111))</f>
        <v/>
      </c>
      <c r="DV30" s="7">
        <f>IF(A30="","",IF((A30+112)&gt;Model!$B$4,0,MAX(0,Model!$B$6-IF((A30+112)&gt;=Model!$B$11,Model!$B$20,0)-IF(112&lt;Model!$B$15,Model!$B$22,0))/(1-Model!$B$9)/(1+Model!$B$18)^112))</f>
        <v/>
      </c>
      <c r="DW30" s="7">
        <f>IF(A30="","",IF((A30+113)&gt;Model!$B$4,0,MAX(0,Model!$B$6-IF((A30+113)&gt;=Model!$B$11,Model!$B$20,0)-IF(113&lt;Model!$B$15,Model!$B$22,0))/(1-Model!$B$9)/(1+Model!$B$18)^113))</f>
        <v/>
      </c>
      <c r="DX30" s="7">
        <f>IF(A30="","",IF((A30+114)&gt;Model!$B$4,0,MAX(0,Model!$B$6-IF((A30+114)&gt;=Model!$B$11,Model!$B$20,0)-IF(114&lt;Model!$B$15,Model!$B$22,0))/(1-Model!$B$9)/(1+Model!$B$18)^114))</f>
        <v/>
      </c>
      <c r="DY30" s="7">
        <f>IF(A30="","",IF((A30+115)&gt;Model!$B$4,0,MAX(0,Model!$B$6-IF((A30+115)&gt;=Model!$B$11,Model!$B$20,0)-IF(115&lt;Model!$B$15,Model!$B$22,0))/(1-Model!$B$9)/(1+Model!$B$18)^115))</f>
        <v/>
      </c>
      <c r="DZ30" s="7">
        <f>IF(A30="","",IF((A30+116)&gt;Model!$B$4,0,MAX(0,Model!$B$6-IF((A30+116)&gt;=Model!$B$11,Model!$B$20,0)-IF(116&lt;Model!$B$15,Model!$B$22,0))/(1-Model!$B$9)/(1+Model!$B$18)^116))</f>
        <v/>
      </c>
      <c r="EA30" s="7">
        <f>IF(A30="","",IF((A30+117)&gt;Model!$B$4,0,MAX(0,Model!$B$6-IF((A30+117)&gt;=Model!$B$11,Model!$B$20,0)-IF(117&lt;Model!$B$15,Model!$B$22,0))/(1-Model!$B$9)/(1+Model!$B$18)^117))</f>
        <v/>
      </c>
      <c r="EB30" s="7">
        <f>IF(A30="","",IF((A30+118)&gt;Model!$B$4,0,MAX(0,Model!$B$6-IF((A30+118)&gt;=Model!$B$11,Model!$B$20,0)-IF(118&lt;Model!$B$15,Model!$B$22,0))/(1-Model!$B$9)/(1+Model!$B$18)^118))</f>
        <v/>
      </c>
      <c r="EC30" s="7">
        <f>IF(A30="","",IF((A30+119)&gt;Model!$B$4,0,MAX(0,Model!$B$6-IF((A30+119)&gt;=Model!$B$11,Model!$B$20,0)-IF(119&lt;Model!$B$15,Model!$B$22,0))/(1-Model!$B$9)/(1+Model!$B$18)^119))</f>
        <v/>
      </c>
      <c r="ED30" s="7">
        <f>IF(A30="","",IF((A30+120)&gt;Model!$B$4,0,MAX(0,Model!$B$6-IF((A30+120)&gt;=Model!$B$11,Model!$B$20,0)-IF(120&lt;Model!$B$15,Model!$B$22,0))/(1-Model!$B$9)/(1+Model!$B$18)^120))</f>
        <v/>
      </c>
    </row>
    <row r="31">
      <c r="A31">
        <f>IF(Model!$B$10+ROW()-2&lt;=Model!$B$4,Model!$B$10+ROW()-2,"")</f>
        <v/>
      </c>
      <c r="B31">
        <f>IF(A31="","",A31-Model!$B$10)</f>
        <v/>
      </c>
      <c r="C31" s="7">
        <f>IF(A31="","",Model!$B$5*(1+Model!$B$18)^B31)</f>
        <v/>
      </c>
      <c r="D31" s="7">
        <f>IF(A31="","",SUM(N31:ED31))</f>
        <v/>
      </c>
      <c r="E31" s="7">
        <f>IF(A31="","",IF(A31&gt;=Model!$B$11,Model!$B$20,0))</f>
        <v/>
      </c>
      <c r="F31" s="7">
        <f>IF(A31="","",IF(Model!$B$15&gt;0,Model!$B$22,0))</f>
        <v/>
      </c>
      <c r="G31" s="7">
        <f>IF(A31="","",E31+F31)</f>
        <v/>
      </c>
      <c r="H31" s="7">
        <f>IF(A31="","",MAX(0,Model!$B$6-G31))</f>
        <v/>
      </c>
      <c r="I31" s="7">
        <f>IF(A31="","",H31/(1-Model!$B$9))</f>
        <v/>
      </c>
      <c r="J31" s="7">
        <f>IF(A31="","",C31-D31)</f>
        <v/>
      </c>
      <c r="K31">
        <f>IF(A31="","",C31&gt;=D31)</f>
        <v/>
      </c>
      <c r="L31" s="7">
        <f>IF(A31="","",IF(A31&gt;=Model!$B$11,Model!$B$19*(1+Model!$B$13)^B31,0))</f>
        <v/>
      </c>
      <c r="M31" s="7">
        <f>IF(A31="","",IF(Model!$B$15&gt;0,Model!$B$21*(1+Model!$B$13)^B31,0))</f>
        <v/>
      </c>
      <c r="N31" s="7">
        <f>IF(A31="","",IF((A31+0)&gt;Model!$B$4,0,MAX(0,Model!$B$6-IF((A31+0)&gt;=Model!$B$11,Model!$B$20,0)-IF(0&lt;Model!$B$15,Model!$B$22,0))/(1-Model!$B$9)/(1+Model!$B$18)^0))</f>
        <v/>
      </c>
      <c r="O31" s="7">
        <f>IF(A31="","",IF((A31+1)&gt;Model!$B$4,0,MAX(0,Model!$B$6-IF((A31+1)&gt;=Model!$B$11,Model!$B$20,0)-IF(1&lt;Model!$B$15,Model!$B$22,0))/(1-Model!$B$9)/(1+Model!$B$18)^1))</f>
        <v/>
      </c>
      <c r="P31" s="7">
        <f>IF(A31="","",IF((A31+2)&gt;Model!$B$4,0,MAX(0,Model!$B$6-IF((A31+2)&gt;=Model!$B$11,Model!$B$20,0)-IF(2&lt;Model!$B$15,Model!$B$22,0))/(1-Model!$B$9)/(1+Model!$B$18)^2))</f>
        <v/>
      </c>
      <c r="Q31" s="7">
        <f>IF(A31="","",IF((A31+3)&gt;Model!$B$4,0,MAX(0,Model!$B$6-IF((A31+3)&gt;=Model!$B$11,Model!$B$20,0)-IF(3&lt;Model!$B$15,Model!$B$22,0))/(1-Model!$B$9)/(1+Model!$B$18)^3))</f>
        <v/>
      </c>
      <c r="R31" s="7">
        <f>IF(A31="","",IF((A31+4)&gt;Model!$B$4,0,MAX(0,Model!$B$6-IF((A31+4)&gt;=Model!$B$11,Model!$B$20,0)-IF(4&lt;Model!$B$15,Model!$B$22,0))/(1-Model!$B$9)/(1+Model!$B$18)^4))</f>
        <v/>
      </c>
      <c r="S31" s="7">
        <f>IF(A31="","",IF((A31+5)&gt;Model!$B$4,0,MAX(0,Model!$B$6-IF((A31+5)&gt;=Model!$B$11,Model!$B$20,0)-IF(5&lt;Model!$B$15,Model!$B$22,0))/(1-Model!$B$9)/(1+Model!$B$18)^5))</f>
        <v/>
      </c>
      <c r="T31" s="7">
        <f>IF(A31="","",IF((A31+6)&gt;Model!$B$4,0,MAX(0,Model!$B$6-IF((A31+6)&gt;=Model!$B$11,Model!$B$20,0)-IF(6&lt;Model!$B$15,Model!$B$22,0))/(1-Model!$B$9)/(1+Model!$B$18)^6))</f>
        <v/>
      </c>
      <c r="U31" s="7">
        <f>IF(A31="","",IF((A31+7)&gt;Model!$B$4,0,MAX(0,Model!$B$6-IF((A31+7)&gt;=Model!$B$11,Model!$B$20,0)-IF(7&lt;Model!$B$15,Model!$B$22,0))/(1-Model!$B$9)/(1+Model!$B$18)^7))</f>
        <v/>
      </c>
      <c r="V31" s="7">
        <f>IF(A31="","",IF((A31+8)&gt;Model!$B$4,0,MAX(0,Model!$B$6-IF((A31+8)&gt;=Model!$B$11,Model!$B$20,0)-IF(8&lt;Model!$B$15,Model!$B$22,0))/(1-Model!$B$9)/(1+Model!$B$18)^8))</f>
        <v/>
      </c>
      <c r="W31" s="7">
        <f>IF(A31="","",IF((A31+9)&gt;Model!$B$4,0,MAX(0,Model!$B$6-IF((A31+9)&gt;=Model!$B$11,Model!$B$20,0)-IF(9&lt;Model!$B$15,Model!$B$22,0))/(1-Model!$B$9)/(1+Model!$B$18)^9))</f>
        <v/>
      </c>
      <c r="X31" s="7">
        <f>IF(A31="","",IF((A31+10)&gt;Model!$B$4,0,MAX(0,Model!$B$6-IF((A31+10)&gt;=Model!$B$11,Model!$B$20,0)-IF(10&lt;Model!$B$15,Model!$B$22,0))/(1-Model!$B$9)/(1+Model!$B$18)^10))</f>
        <v/>
      </c>
      <c r="Y31" s="7">
        <f>IF(A31="","",IF((A31+11)&gt;Model!$B$4,0,MAX(0,Model!$B$6-IF((A31+11)&gt;=Model!$B$11,Model!$B$20,0)-IF(11&lt;Model!$B$15,Model!$B$22,0))/(1-Model!$B$9)/(1+Model!$B$18)^11))</f>
        <v/>
      </c>
      <c r="Z31" s="7">
        <f>IF(A31="","",IF((A31+12)&gt;Model!$B$4,0,MAX(0,Model!$B$6-IF((A31+12)&gt;=Model!$B$11,Model!$B$20,0)-IF(12&lt;Model!$B$15,Model!$B$22,0))/(1-Model!$B$9)/(1+Model!$B$18)^12))</f>
        <v/>
      </c>
      <c r="AA31" s="7">
        <f>IF(A31="","",IF((A31+13)&gt;Model!$B$4,0,MAX(0,Model!$B$6-IF((A31+13)&gt;=Model!$B$11,Model!$B$20,0)-IF(13&lt;Model!$B$15,Model!$B$22,0))/(1-Model!$B$9)/(1+Model!$B$18)^13))</f>
        <v/>
      </c>
      <c r="AB31" s="7">
        <f>IF(A31="","",IF((A31+14)&gt;Model!$B$4,0,MAX(0,Model!$B$6-IF((A31+14)&gt;=Model!$B$11,Model!$B$20,0)-IF(14&lt;Model!$B$15,Model!$B$22,0))/(1-Model!$B$9)/(1+Model!$B$18)^14))</f>
        <v/>
      </c>
      <c r="AC31" s="7">
        <f>IF(A31="","",IF((A31+15)&gt;Model!$B$4,0,MAX(0,Model!$B$6-IF((A31+15)&gt;=Model!$B$11,Model!$B$20,0)-IF(15&lt;Model!$B$15,Model!$B$22,0))/(1-Model!$B$9)/(1+Model!$B$18)^15))</f>
        <v/>
      </c>
      <c r="AD31" s="7">
        <f>IF(A31="","",IF((A31+16)&gt;Model!$B$4,0,MAX(0,Model!$B$6-IF((A31+16)&gt;=Model!$B$11,Model!$B$20,0)-IF(16&lt;Model!$B$15,Model!$B$22,0))/(1-Model!$B$9)/(1+Model!$B$18)^16))</f>
        <v/>
      </c>
      <c r="AE31" s="7">
        <f>IF(A31="","",IF((A31+17)&gt;Model!$B$4,0,MAX(0,Model!$B$6-IF((A31+17)&gt;=Model!$B$11,Model!$B$20,0)-IF(17&lt;Model!$B$15,Model!$B$22,0))/(1-Model!$B$9)/(1+Model!$B$18)^17))</f>
        <v/>
      </c>
      <c r="AF31" s="7">
        <f>IF(A31="","",IF((A31+18)&gt;Model!$B$4,0,MAX(0,Model!$B$6-IF((A31+18)&gt;=Model!$B$11,Model!$B$20,0)-IF(18&lt;Model!$B$15,Model!$B$22,0))/(1-Model!$B$9)/(1+Model!$B$18)^18))</f>
        <v/>
      </c>
      <c r="AG31" s="7">
        <f>IF(A31="","",IF((A31+19)&gt;Model!$B$4,0,MAX(0,Model!$B$6-IF((A31+19)&gt;=Model!$B$11,Model!$B$20,0)-IF(19&lt;Model!$B$15,Model!$B$22,0))/(1-Model!$B$9)/(1+Model!$B$18)^19))</f>
        <v/>
      </c>
      <c r="AH31" s="7">
        <f>IF(A31="","",IF((A31+20)&gt;Model!$B$4,0,MAX(0,Model!$B$6-IF((A31+20)&gt;=Model!$B$11,Model!$B$20,0)-IF(20&lt;Model!$B$15,Model!$B$22,0))/(1-Model!$B$9)/(1+Model!$B$18)^20))</f>
        <v/>
      </c>
      <c r="AI31" s="7">
        <f>IF(A31="","",IF((A31+21)&gt;Model!$B$4,0,MAX(0,Model!$B$6-IF((A31+21)&gt;=Model!$B$11,Model!$B$20,0)-IF(21&lt;Model!$B$15,Model!$B$22,0))/(1-Model!$B$9)/(1+Model!$B$18)^21))</f>
        <v/>
      </c>
      <c r="AJ31" s="7">
        <f>IF(A31="","",IF((A31+22)&gt;Model!$B$4,0,MAX(0,Model!$B$6-IF((A31+22)&gt;=Model!$B$11,Model!$B$20,0)-IF(22&lt;Model!$B$15,Model!$B$22,0))/(1-Model!$B$9)/(1+Model!$B$18)^22))</f>
        <v/>
      </c>
      <c r="AK31" s="7">
        <f>IF(A31="","",IF((A31+23)&gt;Model!$B$4,0,MAX(0,Model!$B$6-IF((A31+23)&gt;=Model!$B$11,Model!$B$20,0)-IF(23&lt;Model!$B$15,Model!$B$22,0))/(1-Model!$B$9)/(1+Model!$B$18)^23))</f>
        <v/>
      </c>
      <c r="AL31" s="7">
        <f>IF(A31="","",IF((A31+24)&gt;Model!$B$4,0,MAX(0,Model!$B$6-IF((A31+24)&gt;=Model!$B$11,Model!$B$20,0)-IF(24&lt;Model!$B$15,Model!$B$22,0))/(1-Model!$B$9)/(1+Model!$B$18)^24))</f>
        <v/>
      </c>
      <c r="AM31" s="7">
        <f>IF(A31="","",IF((A31+25)&gt;Model!$B$4,0,MAX(0,Model!$B$6-IF((A31+25)&gt;=Model!$B$11,Model!$B$20,0)-IF(25&lt;Model!$B$15,Model!$B$22,0))/(1-Model!$B$9)/(1+Model!$B$18)^25))</f>
        <v/>
      </c>
      <c r="AN31" s="7">
        <f>IF(A31="","",IF((A31+26)&gt;Model!$B$4,0,MAX(0,Model!$B$6-IF((A31+26)&gt;=Model!$B$11,Model!$B$20,0)-IF(26&lt;Model!$B$15,Model!$B$22,0))/(1-Model!$B$9)/(1+Model!$B$18)^26))</f>
        <v/>
      </c>
      <c r="AO31" s="7">
        <f>IF(A31="","",IF((A31+27)&gt;Model!$B$4,0,MAX(0,Model!$B$6-IF((A31+27)&gt;=Model!$B$11,Model!$B$20,0)-IF(27&lt;Model!$B$15,Model!$B$22,0))/(1-Model!$B$9)/(1+Model!$B$18)^27))</f>
        <v/>
      </c>
      <c r="AP31" s="7">
        <f>IF(A31="","",IF((A31+28)&gt;Model!$B$4,0,MAX(0,Model!$B$6-IF((A31+28)&gt;=Model!$B$11,Model!$B$20,0)-IF(28&lt;Model!$B$15,Model!$B$22,0))/(1-Model!$B$9)/(1+Model!$B$18)^28))</f>
        <v/>
      </c>
      <c r="AQ31" s="7">
        <f>IF(A31="","",IF((A31+29)&gt;Model!$B$4,0,MAX(0,Model!$B$6-IF((A31+29)&gt;=Model!$B$11,Model!$B$20,0)-IF(29&lt;Model!$B$15,Model!$B$22,0))/(1-Model!$B$9)/(1+Model!$B$18)^29))</f>
        <v/>
      </c>
      <c r="AR31" s="7">
        <f>IF(A31="","",IF((A31+30)&gt;Model!$B$4,0,MAX(0,Model!$B$6-IF((A31+30)&gt;=Model!$B$11,Model!$B$20,0)-IF(30&lt;Model!$B$15,Model!$B$22,0))/(1-Model!$B$9)/(1+Model!$B$18)^30))</f>
        <v/>
      </c>
      <c r="AS31" s="7">
        <f>IF(A31="","",IF((A31+31)&gt;Model!$B$4,0,MAX(0,Model!$B$6-IF((A31+31)&gt;=Model!$B$11,Model!$B$20,0)-IF(31&lt;Model!$B$15,Model!$B$22,0))/(1-Model!$B$9)/(1+Model!$B$18)^31))</f>
        <v/>
      </c>
      <c r="AT31" s="7">
        <f>IF(A31="","",IF((A31+32)&gt;Model!$B$4,0,MAX(0,Model!$B$6-IF((A31+32)&gt;=Model!$B$11,Model!$B$20,0)-IF(32&lt;Model!$B$15,Model!$B$22,0))/(1-Model!$B$9)/(1+Model!$B$18)^32))</f>
        <v/>
      </c>
      <c r="AU31" s="7">
        <f>IF(A31="","",IF((A31+33)&gt;Model!$B$4,0,MAX(0,Model!$B$6-IF((A31+33)&gt;=Model!$B$11,Model!$B$20,0)-IF(33&lt;Model!$B$15,Model!$B$22,0))/(1-Model!$B$9)/(1+Model!$B$18)^33))</f>
        <v/>
      </c>
      <c r="AV31" s="7">
        <f>IF(A31="","",IF((A31+34)&gt;Model!$B$4,0,MAX(0,Model!$B$6-IF((A31+34)&gt;=Model!$B$11,Model!$B$20,0)-IF(34&lt;Model!$B$15,Model!$B$22,0))/(1-Model!$B$9)/(1+Model!$B$18)^34))</f>
        <v/>
      </c>
      <c r="AW31" s="7">
        <f>IF(A31="","",IF((A31+35)&gt;Model!$B$4,0,MAX(0,Model!$B$6-IF((A31+35)&gt;=Model!$B$11,Model!$B$20,0)-IF(35&lt;Model!$B$15,Model!$B$22,0))/(1-Model!$B$9)/(1+Model!$B$18)^35))</f>
        <v/>
      </c>
      <c r="AX31" s="7">
        <f>IF(A31="","",IF((A31+36)&gt;Model!$B$4,0,MAX(0,Model!$B$6-IF((A31+36)&gt;=Model!$B$11,Model!$B$20,0)-IF(36&lt;Model!$B$15,Model!$B$22,0))/(1-Model!$B$9)/(1+Model!$B$18)^36))</f>
        <v/>
      </c>
      <c r="AY31" s="7">
        <f>IF(A31="","",IF((A31+37)&gt;Model!$B$4,0,MAX(0,Model!$B$6-IF((A31+37)&gt;=Model!$B$11,Model!$B$20,0)-IF(37&lt;Model!$B$15,Model!$B$22,0))/(1-Model!$B$9)/(1+Model!$B$18)^37))</f>
        <v/>
      </c>
      <c r="AZ31" s="7">
        <f>IF(A31="","",IF((A31+38)&gt;Model!$B$4,0,MAX(0,Model!$B$6-IF((A31+38)&gt;=Model!$B$11,Model!$B$20,0)-IF(38&lt;Model!$B$15,Model!$B$22,0))/(1-Model!$B$9)/(1+Model!$B$18)^38))</f>
        <v/>
      </c>
      <c r="BA31" s="7">
        <f>IF(A31="","",IF((A31+39)&gt;Model!$B$4,0,MAX(0,Model!$B$6-IF((A31+39)&gt;=Model!$B$11,Model!$B$20,0)-IF(39&lt;Model!$B$15,Model!$B$22,0))/(1-Model!$B$9)/(1+Model!$B$18)^39))</f>
        <v/>
      </c>
      <c r="BB31" s="7">
        <f>IF(A31="","",IF((A31+40)&gt;Model!$B$4,0,MAX(0,Model!$B$6-IF((A31+40)&gt;=Model!$B$11,Model!$B$20,0)-IF(40&lt;Model!$B$15,Model!$B$22,0))/(1-Model!$B$9)/(1+Model!$B$18)^40))</f>
        <v/>
      </c>
      <c r="BC31" s="7">
        <f>IF(A31="","",IF((A31+41)&gt;Model!$B$4,0,MAX(0,Model!$B$6-IF((A31+41)&gt;=Model!$B$11,Model!$B$20,0)-IF(41&lt;Model!$B$15,Model!$B$22,0))/(1-Model!$B$9)/(1+Model!$B$18)^41))</f>
        <v/>
      </c>
      <c r="BD31" s="7">
        <f>IF(A31="","",IF((A31+42)&gt;Model!$B$4,0,MAX(0,Model!$B$6-IF((A31+42)&gt;=Model!$B$11,Model!$B$20,0)-IF(42&lt;Model!$B$15,Model!$B$22,0))/(1-Model!$B$9)/(1+Model!$B$18)^42))</f>
        <v/>
      </c>
      <c r="BE31" s="7">
        <f>IF(A31="","",IF((A31+43)&gt;Model!$B$4,0,MAX(0,Model!$B$6-IF((A31+43)&gt;=Model!$B$11,Model!$B$20,0)-IF(43&lt;Model!$B$15,Model!$B$22,0))/(1-Model!$B$9)/(1+Model!$B$18)^43))</f>
        <v/>
      </c>
      <c r="BF31" s="7">
        <f>IF(A31="","",IF((A31+44)&gt;Model!$B$4,0,MAX(0,Model!$B$6-IF((A31+44)&gt;=Model!$B$11,Model!$B$20,0)-IF(44&lt;Model!$B$15,Model!$B$22,0))/(1-Model!$B$9)/(1+Model!$B$18)^44))</f>
        <v/>
      </c>
      <c r="BG31" s="7">
        <f>IF(A31="","",IF((A31+45)&gt;Model!$B$4,0,MAX(0,Model!$B$6-IF((A31+45)&gt;=Model!$B$11,Model!$B$20,0)-IF(45&lt;Model!$B$15,Model!$B$22,0))/(1-Model!$B$9)/(1+Model!$B$18)^45))</f>
        <v/>
      </c>
      <c r="BH31" s="7">
        <f>IF(A31="","",IF((A31+46)&gt;Model!$B$4,0,MAX(0,Model!$B$6-IF((A31+46)&gt;=Model!$B$11,Model!$B$20,0)-IF(46&lt;Model!$B$15,Model!$B$22,0))/(1-Model!$B$9)/(1+Model!$B$18)^46))</f>
        <v/>
      </c>
      <c r="BI31" s="7">
        <f>IF(A31="","",IF((A31+47)&gt;Model!$B$4,0,MAX(0,Model!$B$6-IF((A31+47)&gt;=Model!$B$11,Model!$B$20,0)-IF(47&lt;Model!$B$15,Model!$B$22,0))/(1-Model!$B$9)/(1+Model!$B$18)^47))</f>
        <v/>
      </c>
      <c r="BJ31" s="7">
        <f>IF(A31="","",IF((A31+48)&gt;Model!$B$4,0,MAX(0,Model!$B$6-IF((A31+48)&gt;=Model!$B$11,Model!$B$20,0)-IF(48&lt;Model!$B$15,Model!$B$22,0))/(1-Model!$B$9)/(1+Model!$B$18)^48))</f>
        <v/>
      </c>
      <c r="BK31" s="7">
        <f>IF(A31="","",IF((A31+49)&gt;Model!$B$4,0,MAX(0,Model!$B$6-IF((A31+49)&gt;=Model!$B$11,Model!$B$20,0)-IF(49&lt;Model!$B$15,Model!$B$22,0))/(1-Model!$B$9)/(1+Model!$B$18)^49))</f>
        <v/>
      </c>
      <c r="BL31" s="7">
        <f>IF(A31="","",IF((A31+50)&gt;Model!$B$4,0,MAX(0,Model!$B$6-IF((A31+50)&gt;=Model!$B$11,Model!$B$20,0)-IF(50&lt;Model!$B$15,Model!$B$22,0))/(1-Model!$B$9)/(1+Model!$B$18)^50))</f>
        <v/>
      </c>
      <c r="BM31" s="7">
        <f>IF(A31="","",IF((A31+51)&gt;Model!$B$4,0,MAX(0,Model!$B$6-IF((A31+51)&gt;=Model!$B$11,Model!$B$20,0)-IF(51&lt;Model!$B$15,Model!$B$22,0))/(1-Model!$B$9)/(1+Model!$B$18)^51))</f>
        <v/>
      </c>
      <c r="BN31" s="7">
        <f>IF(A31="","",IF((A31+52)&gt;Model!$B$4,0,MAX(0,Model!$B$6-IF((A31+52)&gt;=Model!$B$11,Model!$B$20,0)-IF(52&lt;Model!$B$15,Model!$B$22,0))/(1-Model!$B$9)/(1+Model!$B$18)^52))</f>
        <v/>
      </c>
      <c r="BO31" s="7">
        <f>IF(A31="","",IF((A31+53)&gt;Model!$B$4,0,MAX(0,Model!$B$6-IF((A31+53)&gt;=Model!$B$11,Model!$B$20,0)-IF(53&lt;Model!$B$15,Model!$B$22,0))/(1-Model!$B$9)/(1+Model!$B$18)^53))</f>
        <v/>
      </c>
      <c r="BP31" s="7">
        <f>IF(A31="","",IF((A31+54)&gt;Model!$B$4,0,MAX(0,Model!$B$6-IF((A31+54)&gt;=Model!$B$11,Model!$B$20,0)-IF(54&lt;Model!$B$15,Model!$B$22,0))/(1-Model!$B$9)/(1+Model!$B$18)^54))</f>
        <v/>
      </c>
      <c r="BQ31" s="7">
        <f>IF(A31="","",IF((A31+55)&gt;Model!$B$4,0,MAX(0,Model!$B$6-IF((A31+55)&gt;=Model!$B$11,Model!$B$20,0)-IF(55&lt;Model!$B$15,Model!$B$22,0))/(1-Model!$B$9)/(1+Model!$B$18)^55))</f>
        <v/>
      </c>
      <c r="BR31" s="7">
        <f>IF(A31="","",IF((A31+56)&gt;Model!$B$4,0,MAX(0,Model!$B$6-IF((A31+56)&gt;=Model!$B$11,Model!$B$20,0)-IF(56&lt;Model!$B$15,Model!$B$22,0))/(1-Model!$B$9)/(1+Model!$B$18)^56))</f>
        <v/>
      </c>
      <c r="BS31" s="7">
        <f>IF(A31="","",IF((A31+57)&gt;Model!$B$4,0,MAX(0,Model!$B$6-IF((A31+57)&gt;=Model!$B$11,Model!$B$20,0)-IF(57&lt;Model!$B$15,Model!$B$22,0))/(1-Model!$B$9)/(1+Model!$B$18)^57))</f>
        <v/>
      </c>
      <c r="BT31" s="7">
        <f>IF(A31="","",IF((A31+58)&gt;Model!$B$4,0,MAX(0,Model!$B$6-IF((A31+58)&gt;=Model!$B$11,Model!$B$20,0)-IF(58&lt;Model!$B$15,Model!$B$22,0))/(1-Model!$B$9)/(1+Model!$B$18)^58))</f>
        <v/>
      </c>
      <c r="BU31" s="7">
        <f>IF(A31="","",IF((A31+59)&gt;Model!$B$4,0,MAX(0,Model!$B$6-IF((A31+59)&gt;=Model!$B$11,Model!$B$20,0)-IF(59&lt;Model!$B$15,Model!$B$22,0))/(1-Model!$B$9)/(1+Model!$B$18)^59))</f>
        <v/>
      </c>
      <c r="BV31" s="7">
        <f>IF(A31="","",IF((A31+60)&gt;Model!$B$4,0,MAX(0,Model!$B$6-IF((A31+60)&gt;=Model!$B$11,Model!$B$20,0)-IF(60&lt;Model!$B$15,Model!$B$22,0))/(1-Model!$B$9)/(1+Model!$B$18)^60))</f>
        <v/>
      </c>
      <c r="BW31" s="7">
        <f>IF(A31="","",IF((A31+61)&gt;Model!$B$4,0,MAX(0,Model!$B$6-IF((A31+61)&gt;=Model!$B$11,Model!$B$20,0)-IF(61&lt;Model!$B$15,Model!$B$22,0))/(1-Model!$B$9)/(1+Model!$B$18)^61))</f>
        <v/>
      </c>
      <c r="BX31" s="7">
        <f>IF(A31="","",IF((A31+62)&gt;Model!$B$4,0,MAX(0,Model!$B$6-IF((A31+62)&gt;=Model!$B$11,Model!$B$20,0)-IF(62&lt;Model!$B$15,Model!$B$22,0))/(1-Model!$B$9)/(1+Model!$B$18)^62))</f>
        <v/>
      </c>
      <c r="BY31" s="7">
        <f>IF(A31="","",IF((A31+63)&gt;Model!$B$4,0,MAX(0,Model!$B$6-IF((A31+63)&gt;=Model!$B$11,Model!$B$20,0)-IF(63&lt;Model!$B$15,Model!$B$22,0))/(1-Model!$B$9)/(1+Model!$B$18)^63))</f>
        <v/>
      </c>
      <c r="BZ31" s="7">
        <f>IF(A31="","",IF((A31+64)&gt;Model!$B$4,0,MAX(0,Model!$B$6-IF((A31+64)&gt;=Model!$B$11,Model!$B$20,0)-IF(64&lt;Model!$B$15,Model!$B$22,0))/(1-Model!$B$9)/(1+Model!$B$18)^64))</f>
        <v/>
      </c>
      <c r="CA31" s="7">
        <f>IF(A31="","",IF((A31+65)&gt;Model!$B$4,0,MAX(0,Model!$B$6-IF((A31+65)&gt;=Model!$B$11,Model!$B$20,0)-IF(65&lt;Model!$B$15,Model!$B$22,0))/(1-Model!$B$9)/(1+Model!$B$18)^65))</f>
        <v/>
      </c>
      <c r="CB31" s="7">
        <f>IF(A31="","",IF((A31+66)&gt;Model!$B$4,0,MAX(0,Model!$B$6-IF((A31+66)&gt;=Model!$B$11,Model!$B$20,0)-IF(66&lt;Model!$B$15,Model!$B$22,0))/(1-Model!$B$9)/(1+Model!$B$18)^66))</f>
        <v/>
      </c>
      <c r="CC31" s="7">
        <f>IF(A31="","",IF((A31+67)&gt;Model!$B$4,0,MAX(0,Model!$B$6-IF((A31+67)&gt;=Model!$B$11,Model!$B$20,0)-IF(67&lt;Model!$B$15,Model!$B$22,0))/(1-Model!$B$9)/(1+Model!$B$18)^67))</f>
        <v/>
      </c>
      <c r="CD31" s="7">
        <f>IF(A31="","",IF((A31+68)&gt;Model!$B$4,0,MAX(0,Model!$B$6-IF((A31+68)&gt;=Model!$B$11,Model!$B$20,0)-IF(68&lt;Model!$B$15,Model!$B$22,0))/(1-Model!$B$9)/(1+Model!$B$18)^68))</f>
        <v/>
      </c>
      <c r="CE31" s="7">
        <f>IF(A31="","",IF((A31+69)&gt;Model!$B$4,0,MAX(0,Model!$B$6-IF((A31+69)&gt;=Model!$B$11,Model!$B$20,0)-IF(69&lt;Model!$B$15,Model!$B$22,0))/(1-Model!$B$9)/(1+Model!$B$18)^69))</f>
        <v/>
      </c>
      <c r="CF31" s="7">
        <f>IF(A31="","",IF((A31+70)&gt;Model!$B$4,0,MAX(0,Model!$B$6-IF((A31+70)&gt;=Model!$B$11,Model!$B$20,0)-IF(70&lt;Model!$B$15,Model!$B$22,0))/(1-Model!$B$9)/(1+Model!$B$18)^70))</f>
        <v/>
      </c>
      <c r="CG31" s="7">
        <f>IF(A31="","",IF((A31+71)&gt;Model!$B$4,0,MAX(0,Model!$B$6-IF((A31+71)&gt;=Model!$B$11,Model!$B$20,0)-IF(71&lt;Model!$B$15,Model!$B$22,0))/(1-Model!$B$9)/(1+Model!$B$18)^71))</f>
        <v/>
      </c>
      <c r="CH31" s="7">
        <f>IF(A31="","",IF((A31+72)&gt;Model!$B$4,0,MAX(0,Model!$B$6-IF((A31+72)&gt;=Model!$B$11,Model!$B$20,0)-IF(72&lt;Model!$B$15,Model!$B$22,0))/(1-Model!$B$9)/(1+Model!$B$18)^72))</f>
        <v/>
      </c>
      <c r="CI31" s="7">
        <f>IF(A31="","",IF((A31+73)&gt;Model!$B$4,0,MAX(0,Model!$B$6-IF((A31+73)&gt;=Model!$B$11,Model!$B$20,0)-IF(73&lt;Model!$B$15,Model!$B$22,0))/(1-Model!$B$9)/(1+Model!$B$18)^73))</f>
        <v/>
      </c>
      <c r="CJ31" s="7">
        <f>IF(A31="","",IF((A31+74)&gt;Model!$B$4,0,MAX(0,Model!$B$6-IF((A31+74)&gt;=Model!$B$11,Model!$B$20,0)-IF(74&lt;Model!$B$15,Model!$B$22,0))/(1-Model!$B$9)/(1+Model!$B$18)^74))</f>
        <v/>
      </c>
      <c r="CK31" s="7">
        <f>IF(A31="","",IF((A31+75)&gt;Model!$B$4,0,MAX(0,Model!$B$6-IF((A31+75)&gt;=Model!$B$11,Model!$B$20,0)-IF(75&lt;Model!$B$15,Model!$B$22,0))/(1-Model!$B$9)/(1+Model!$B$18)^75))</f>
        <v/>
      </c>
      <c r="CL31" s="7">
        <f>IF(A31="","",IF((A31+76)&gt;Model!$B$4,0,MAX(0,Model!$B$6-IF((A31+76)&gt;=Model!$B$11,Model!$B$20,0)-IF(76&lt;Model!$B$15,Model!$B$22,0))/(1-Model!$B$9)/(1+Model!$B$18)^76))</f>
        <v/>
      </c>
      <c r="CM31" s="7">
        <f>IF(A31="","",IF((A31+77)&gt;Model!$B$4,0,MAX(0,Model!$B$6-IF((A31+77)&gt;=Model!$B$11,Model!$B$20,0)-IF(77&lt;Model!$B$15,Model!$B$22,0))/(1-Model!$B$9)/(1+Model!$B$18)^77))</f>
        <v/>
      </c>
      <c r="CN31" s="7">
        <f>IF(A31="","",IF((A31+78)&gt;Model!$B$4,0,MAX(0,Model!$B$6-IF((A31+78)&gt;=Model!$B$11,Model!$B$20,0)-IF(78&lt;Model!$B$15,Model!$B$22,0))/(1-Model!$B$9)/(1+Model!$B$18)^78))</f>
        <v/>
      </c>
      <c r="CO31" s="7">
        <f>IF(A31="","",IF((A31+79)&gt;Model!$B$4,0,MAX(0,Model!$B$6-IF((A31+79)&gt;=Model!$B$11,Model!$B$20,0)-IF(79&lt;Model!$B$15,Model!$B$22,0))/(1-Model!$B$9)/(1+Model!$B$18)^79))</f>
        <v/>
      </c>
      <c r="CP31" s="7">
        <f>IF(A31="","",IF((A31+80)&gt;Model!$B$4,0,MAX(0,Model!$B$6-IF((A31+80)&gt;=Model!$B$11,Model!$B$20,0)-IF(80&lt;Model!$B$15,Model!$B$22,0))/(1-Model!$B$9)/(1+Model!$B$18)^80))</f>
        <v/>
      </c>
      <c r="CQ31" s="7">
        <f>IF(A31="","",IF((A31+81)&gt;Model!$B$4,0,MAX(0,Model!$B$6-IF((A31+81)&gt;=Model!$B$11,Model!$B$20,0)-IF(81&lt;Model!$B$15,Model!$B$22,0))/(1-Model!$B$9)/(1+Model!$B$18)^81))</f>
        <v/>
      </c>
      <c r="CR31" s="7">
        <f>IF(A31="","",IF((A31+82)&gt;Model!$B$4,0,MAX(0,Model!$B$6-IF((A31+82)&gt;=Model!$B$11,Model!$B$20,0)-IF(82&lt;Model!$B$15,Model!$B$22,0))/(1-Model!$B$9)/(1+Model!$B$18)^82))</f>
        <v/>
      </c>
      <c r="CS31" s="7">
        <f>IF(A31="","",IF((A31+83)&gt;Model!$B$4,0,MAX(0,Model!$B$6-IF((A31+83)&gt;=Model!$B$11,Model!$B$20,0)-IF(83&lt;Model!$B$15,Model!$B$22,0))/(1-Model!$B$9)/(1+Model!$B$18)^83))</f>
        <v/>
      </c>
      <c r="CT31" s="7">
        <f>IF(A31="","",IF((A31+84)&gt;Model!$B$4,0,MAX(0,Model!$B$6-IF((A31+84)&gt;=Model!$B$11,Model!$B$20,0)-IF(84&lt;Model!$B$15,Model!$B$22,0))/(1-Model!$B$9)/(1+Model!$B$18)^84))</f>
        <v/>
      </c>
      <c r="CU31" s="7">
        <f>IF(A31="","",IF((A31+85)&gt;Model!$B$4,0,MAX(0,Model!$B$6-IF((A31+85)&gt;=Model!$B$11,Model!$B$20,0)-IF(85&lt;Model!$B$15,Model!$B$22,0))/(1-Model!$B$9)/(1+Model!$B$18)^85))</f>
        <v/>
      </c>
      <c r="CV31" s="7">
        <f>IF(A31="","",IF((A31+86)&gt;Model!$B$4,0,MAX(0,Model!$B$6-IF((A31+86)&gt;=Model!$B$11,Model!$B$20,0)-IF(86&lt;Model!$B$15,Model!$B$22,0))/(1-Model!$B$9)/(1+Model!$B$18)^86))</f>
        <v/>
      </c>
      <c r="CW31" s="7">
        <f>IF(A31="","",IF((A31+87)&gt;Model!$B$4,0,MAX(0,Model!$B$6-IF((A31+87)&gt;=Model!$B$11,Model!$B$20,0)-IF(87&lt;Model!$B$15,Model!$B$22,0))/(1-Model!$B$9)/(1+Model!$B$18)^87))</f>
        <v/>
      </c>
      <c r="CX31" s="7">
        <f>IF(A31="","",IF((A31+88)&gt;Model!$B$4,0,MAX(0,Model!$B$6-IF((A31+88)&gt;=Model!$B$11,Model!$B$20,0)-IF(88&lt;Model!$B$15,Model!$B$22,0))/(1-Model!$B$9)/(1+Model!$B$18)^88))</f>
        <v/>
      </c>
      <c r="CY31" s="7">
        <f>IF(A31="","",IF((A31+89)&gt;Model!$B$4,0,MAX(0,Model!$B$6-IF((A31+89)&gt;=Model!$B$11,Model!$B$20,0)-IF(89&lt;Model!$B$15,Model!$B$22,0))/(1-Model!$B$9)/(1+Model!$B$18)^89))</f>
        <v/>
      </c>
      <c r="CZ31" s="7">
        <f>IF(A31="","",IF((A31+90)&gt;Model!$B$4,0,MAX(0,Model!$B$6-IF((A31+90)&gt;=Model!$B$11,Model!$B$20,0)-IF(90&lt;Model!$B$15,Model!$B$22,0))/(1-Model!$B$9)/(1+Model!$B$18)^90))</f>
        <v/>
      </c>
      <c r="DA31" s="7">
        <f>IF(A31="","",IF((A31+91)&gt;Model!$B$4,0,MAX(0,Model!$B$6-IF((A31+91)&gt;=Model!$B$11,Model!$B$20,0)-IF(91&lt;Model!$B$15,Model!$B$22,0))/(1-Model!$B$9)/(1+Model!$B$18)^91))</f>
        <v/>
      </c>
      <c r="DB31" s="7">
        <f>IF(A31="","",IF((A31+92)&gt;Model!$B$4,0,MAX(0,Model!$B$6-IF((A31+92)&gt;=Model!$B$11,Model!$B$20,0)-IF(92&lt;Model!$B$15,Model!$B$22,0))/(1-Model!$B$9)/(1+Model!$B$18)^92))</f>
        <v/>
      </c>
      <c r="DC31" s="7">
        <f>IF(A31="","",IF((A31+93)&gt;Model!$B$4,0,MAX(0,Model!$B$6-IF((A31+93)&gt;=Model!$B$11,Model!$B$20,0)-IF(93&lt;Model!$B$15,Model!$B$22,0))/(1-Model!$B$9)/(1+Model!$B$18)^93))</f>
        <v/>
      </c>
      <c r="DD31" s="7">
        <f>IF(A31="","",IF((A31+94)&gt;Model!$B$4,0,MAX(0,Model!$B$6-IF((A31+94)&gt;=Model!$B$11,Model!$B$20,0)-IF(94&lt;Model!$B$15,Model!$B$22,0))/(1-Model!$B$9)/(1+Model!$B$18)^94))</f>
        <v/>
      </c>
      <c r="DE31" s="7">
        <f>IF(A31="","",IF((A31+95)&gt;Model!$B$4,0,MAX(0,Model!$B$6-IF((A31+95)&gt;=Model!$B$11,Model!$B$20,0)-IF(95&lt;Model!$B$15,Model!$B$22,0))/(1-Model!$B$9)/(1+Model!$B$18)^95))</f>
        <v/>
      </c>
      <c r="DF31" s="7">
        <f>IF(A31="","",IF((A31+96)&gt;Model!$B$4,0,MAX(0,Model!$B$6-IF((A31+96)&gt;=Model!$B$11,Model!$B$20,0)-IF(96&lt;Model!$B$15,Model!$B$22,0))/(1-Model!$B$9)/(1+Model!$B$18)^96))</f>
        <v/>
      </c>
      <c r="DG31" s="7">
        <f>IF(A31="","",IF((A31+97)&gt;Model!$B$4,0,MAX(0,Model!$B$6-IF((A31+97)&gt;=Model!$B$11,Model!$B$20,0)-IF(97&lt;Model!$B$15,Model!$B$22,0))/(1-Model!$B$9)/(1+Model!$B$18)^97))</f>
        <v/>
      </c>
      <c r="DH31" s="7">
        <f>IF(A31="","",IF((A31+98)&gt;Model!$B$4,0,MAX(0,Model!$B$6-IF((A31+98)&gt;=Model!$B$11,Model!$B$20,0)-IF(98&lt;Model!$B$15,Model!$B$22,0))/(1-Model!$B$9)/(1+Model!$B$18)^98))</f>
        <v/>
      </c>
      <c r="DI31" s="7">
        <f>IF(A31="","",IF((A31+99)&gt;Model!$B$4,0,MAX(0,Model!$B$6-IF((A31+99)&gt;=Model!$B$11,Model!$B$20,0)-IF(99&lt;Model!$B$15,Model!$B$22,0))/(1-Model!$B$9)/(1+Model!$B$18)^99))</f>
        <v/>
      </c>
      <c r="DJ31" s="7">
        <f>IF(A31="","",IF((A31+100)&gt;Model!$B$4,0,MAX(0,Model!$B$6-IF((A31+100)&gt;=Model!$B$11,Model!$B$20,0)-IF(100&lt;Model!$B$15,Model!$B$22,0))/(1-Model!$B$9)/(1+Model!$B$18)^100))</f>
        <v/>
      </c>
      <c r="DK31" s="7">
        <f>IF(A31="","",IF((A31+101)&gt;Model!$B$4,0,MAX(0,Model!$B$6-IF((A31+101)&gt;=Model!$B$11,Model!$B$20,0)-IF(101&lt;Model!$B$15,Model!$B$22,0))/(1-Model!$B$9)/(1+Model!$B$18)^101))</f>
        <v/>
      </c>
      <c r="DL31" s="7">
        <f>IF(A31="","",IF((A31+102)&gt;Model!$B$4,0,MAX(0,Model!$B$6-IF((A31+102)&gt;=Model!$B$11,Model!$B$20,0)-IF(102&lt;Model!$B$15,Model!$B$22,0))/(1-Model!$B$9)/(1+Model!$B$18)^102))</f>
        <v/>
      </c>
      <c r="DM31" s="7">
        <f>IF(A31="","",IF((A31+103)&gt;Model!$B$4,0,MAX(0,Model!$B$6-IF((A31+103)&gt;=Model!$B$11,Model!$B$20,0)-IF(103&lt;Model!$B$15,Model!$B$22,0))/(1-Model!$B$9)/(1+Model!$B$18)^103))</f>
        <v/>
      </c>
      <c r="DN31" s="7">
        <f>IF(A31="","",IF((A31+104)&gt;Model!$B$4,0,MAX(0,Model!$B$6-IF((A31+104)&gt;=Model!$B$11,Model!$B$20,0)-IF(104&lt;Model!$B$15,Model!$B$22,0))/(1-Model!$B$9)/(1+Model!$B$18)^104))</f>
        <v/>
      </c>
      <c r="DO31" s="7">
        <f>IF(A31="","",IF((A31+105)&gt;Model!$B$4,0,MAX(0,Model!$B$6-IF((A31+105)&gt;=Model!$B$11,Model!$B$20,0)-IF(105&lt;Model!$B$15,Model!$B$22,0))/(1-Model!$B$9)/(1+Model!$B$18)^105))</f>
        <v/>
      </c>
      <c r="DP31" s="7">
        <f>IF(A31="","",IF((A31+106)&gt;Model!$B$4,0,MAX(0,Model!$B$6-IF((A31+106)&gt;=Model!$B$11,Model!$B$20,0)-IF(106&lt;Model!$B$15,Model!$B$22,0))/(1-Model!$B$9)/(1+Model!$B$18)^106))</f>
        <v/>
      </c>
      <c r="DQ31" s="7">
        <f>IF(A31="","",IF((A31+107)&gt;Model!$B$4,0,MAX(0,Model!$B$6-IF((A31+107)&gt;=Model!$B$11,Model!$B$20,0)-IF(107&lt;Model!$B$15,Model!$B$22,0))/(1-Model!$B$9)/(1+Model!$B$18)^107))</f>
        <v/>
      </c>
      <c r="DR31" s="7">
        <f>IF(A31="","",IF((A31+108)&gt;Model!$B$4,0,MAX(0,Model!$B$6-IF((A31+108)&gt;=Model!$B$11,Model!$B$20,0)-IF(108&lt;Model!$B$15,Model!$B$22,0))/(1-Model!$B$9)/(1+Model!$B$18)^108))</f>
        <v/>
      </c>
      <c r="DS31" s="7">
        <f>IF(A31="","",IF((A31+109)&gt;Model!$B$4,0,MAX(0,Model!$B$6-IF((A31+109)&gt;=Model!$B$11,Model!$B$20,0)-IF(109&lt;Model!$B$15,Model!$B$22,0))/(1-Model!$B$9)/(1+Model!$B$18)^109))</f>
        <v/>
      </c>
      <c r="DT31" s="7">
        <f>IF(A31="","",IF((A31+110)&gt;Model!$B$4,0,MAX(0,Model!$B$6-IF((A31+110)&gt;=Model!$B$11,Model!$B$20,0)-IF(110&lt;Model!$B$15,Model!$B$22,0))/(1-Model!$B$9)/(1+Model!$B$18)^110))</f>
        <v/>
      </c>
      <c r="DU31" s="7">
        <f>IF(A31="","",IF((A31+111)&gt;Model!$B$4,0,MAX(0,Model!$B$6-IF((A31+111)&gt;=Model!$B$11,Model!$B$20,0)-IF(111&lt;Model!$B$15,Model!$B$22,0))/(1-Model!$B$9)/(1+Model!$B$18)^111))</f>
        <v/>
      </c>
      <c r="DV31" s="7">
        <f>IF(A31="","",IF((A31+112)&gt;Model!$B$4,0,MAX(0,Model!$B$6-IF((A31+112)&gt;=Model!$B$11,Model!$B$20,0)-IF(112&lt;Model!$B$15,Model!$B$22,0))/(1-Model!$B$9)/(1+Model!$B$18)^112))</f>
        <v/>
      </c>
      <c r="DW31" s="7">
        <f>IF(A31="","",IF((A31+113)&gt;Model!$B$4,0,MAX(0,Model!$B$6-IF((A31+113)&gt;=Model!$B$11,Model!$B$20,0)-IF(113&lt;Model!$B$15,Model!$B$22,0))/(1-Model!$B$9)/(1+Model!$B$18)^113))</f>
        <v/>
      </c>
      <c r="DX31" s="7">
        <f>IF(A31="","",IF((A31+114)&gt;Model!$B$4,0,MAX(0,Model!$B$6-IF((A31+114)&gt;=Model!$B$11,Model!$B$20,0)-IF(114&lt;Model!$B$15,Model!$B$22,0))/(1-Model!$B$9)/(1+Model!$B$18)^114))</f>
        <v/>
      </c>
      <c r="DY31" s="7">
        <f>IF(A31="","",IF((A31+115)&gt;Model!$B$4,0,MAX(0,Model!$B$6-IF((A31+115)&gt;=Model!$B$11,Model!$B$20,0)-IF(115&lt;Model!$B$15,Model!$B$22,0))/(1-Model!$B$9)/(1+Model!$B$18)^115))</f>
        <v/>
      </c>
      <c r="DZ31" s="7">
        <f>IF(A31="","",IF((A31+116)&gt;Model!$B$4,0,MAX(0,Model!$B$6-IF((A31+116)&gt;=Model!$B$11,Model!$B$20,0)-IF(116&lt;Model!$B$15,Model!$B$22,0))/(1-Model!$B$9)/(1+Model!$B$18)^116))</f>
        <v/>
      </c>
      <c r="EA31" s="7">
        <f>IF(A31="","",IF((A31+117)&gt;Model!$B$4,0,MAX(0,Model!$B$6-IF((A31+117)&gt;=Model!$B$11,Model!$B$20,0)-IF(117&lt;Model!$B$15,Model!$B$22,0))/(1-Model!$B$9)/(1+Model!$B$18)^117))</f>
        <v/>
      </c>
      <c r="EB31" s="7">
        <f>IF(A31="","",IF((A31+118)&gt;Model!$B$4,0,MAX(0,Model!$B$6-IF((A31+118)&gt;=Model!$B$11,Model!$B$20,0)-IF(118&lt;Model!$B$15,Model!$B$22,0))/(1-Model!$B$9)/(1+Model!$B$18)^118))</f>
        <v/>
      </c>
      <c r="EC31" s="7">
        <f>IF(A31="","",IF((A31+119)&gt;Model!$B$4,0,MAX(0,Model!$B$6-IF((A31+119)&gt;=Model!$B$11,Model!$B$20,0)-IF(119&lt;Model!$B$15,Model!$B$22,0))/(1-Model!$B$9)/(1+Model!$B$18)^119))</f>
        <v/>
      </c>
      <c r="ED31" s="7">
        <f>IF(A31="","",IF((A31+120)&gt;Model!$B$4,0,MAX(0,Model!$B$6-IF((A31+120)&gt;=Model!$B$11,Model!$B$20,0)-IF(120&lt;Model!$B$15,Model!$B$22,0))/(1-Model!$B$9)/(1+Model!$B$18)^120))</f>
        <v/>
      </c>
    </row>
    <row r="32">
      <c r="A32">
        <f>IF(Model!$B$10+ROW()-2&lt;=Model!$B$4,Model!$B$10+ROW()-2,"")</f>
        <v/>
      </c>
      <c r="B32">
        <f>IF(A32="","",A32-Model!$B$10)</f>
        <v/>
      </c>
      <c r="C32" s="7">
        <f>IF(A32="","",Model!$B$5*(1+Model!$B$18)^B32)</f>
        <v/>
      </c>
      <c r="D32" s="7">
        <f>IF(A32="","",SUM(N32:ED32))</f>
        <v/>
      </c>
      <c r="E32" s="7">
        <f>IF(A32="","",IF(A32&gt;=Model!$B$11,Model!$B$20,0))</f>
        <v/>
      </c>
      <c r="F32" s="7">
        <f>IF(A32="","",IF(Model!$B$15&gt;0,Model!$B$22,0))</f>
        <v/>
      </c>
      <c r="G32" s="7">
        <f>IF(A32="","",E32+F32)</f>
        <v/>
      </c>
      <c r="H32" s="7">
        <f>IF(A32="","",MAX(0,Model!$B$6-G32))</f>
        <v/>
      </c>
      <c r="I32" s="7">
        <f>IF(A32="","",H32/(1-Model!$B$9))</f>
        <v/>
      </c>
      <c r="J32" s="7">
        <f>IF(A32="","",C32-D32)</f>
        <v/>
      </c>
      <c r="K32">
        <f>IF(A32="","",C32&gt;=D32)</f>
        <v/>
      </c>
      <c r="L32" s="7">
        <f>IF(A32="","",IF(A32&gt;=Model!$B$11,Model!$B$19*(1+Model!$B$13)^B32,0))</f>
        <v/>
      </c>
      <c r="M32" s="7">
        <f>IF(A32="","",IF(Model!$B$15&gt;0,Model!$B$21*(1+Model!$B$13)^B32,0))</f>
        <v/>
      </c>
      <c r="N32" s="7">
        <f>IF(A32="","",IF((A32+0)&gt;Model!$B$4,0,MAX(0,Model!$B$6-IF((A32+0)&gt;=Model!$B$11,Model!$B$20,0)-IF(0&lt;Model!$B$15,Model!$B$22,0))/(1-Model!$B$9)/(1+Model!$B$18)^0))</f>
        <v/>
      </c>
      <c r="O32" s="7">
        <f>IF(A32="","",IF((A32+1)&gt;Model!$B$4,0,MAX(0,Model!$B$6-IF((A32+1)&gt;=Model!$B$11,Model!$B$20,0)-IF(1&lt;Model!$B$15,Model!$B$22,0))/(1-Model!$B$9)/(1+Model!$B$18)^1))</f>
        <v/>
      </c>
      <c r="P32" s="7">
        <f>IF(A32="","",IF((A32+2)&gt;Model!$B$4,0,MAX(0,Model!$B$6-IF((A32+2)&gt;=Model!$B$11,Model!$B$20,0)-IF(2&lt;Model!$B$15,Model!$B$22,0))/(1-Model!$B$9)/(1+Model!$B$18)^2))</f>
        <v/>
      </c>
      <c r="Q32" s="7">
        <f>IF(A32="","",IF((A32+3)&gt;Model!$B$4,0,MAX(0,Model!$B$6-IF((A32+3)&gt;=Model!$B$11,Model!$B$20,0)-IF(3&lt;Model!$B$15,Model!$B$22,0))/(1-Model!$B$9)/(1+Model!$B$18)^3))</f>
        <v/>
      </c>
      <c r="R32" s="7">
        <f>IF(A32="","",IF((A32+4)&gt;Model!$B$4,0,MAX(0,Model!$B$6-IF((A32+4)&gt;=Model!$B$11,Model!$B$20,0)-IF(4&lt;Model!$B$15,Model!$B$22,0))/(1-Model!$B$9)/(1+Model!$B$18)^4))</f>
        <v/>
      </c>
      <c r="S32" s="7">
        <f>IF(A32="","",IF((A32+5)&gt;Model!$B$4,0,MAX(0,Model!$B$6-IF((A32+5)&gt;=Model!$B$11,Model!$B$20,0)-IF(5&lt;Model!$B$15,Model!$B$22,0))/(1-Model!$B$9)/(1+Model!$B$18)^5))</f>
        <v/>
      </c>
      <c r="T32" s="7">
        <f>IF(A32="","",IF((A32+6)&gt;Model!$B$4,0,MAX(0,Model!$B$6-IF((A32+6)&gt;=Model!$B$11,Model!$B$20,0)-IF(6&lt;Model!$B$15,Model!$B$22,0))/(1-Model!$B$9)/(1+Model!$B$18)^6))</f>
        <v/>
      </c>
      <c r="U32" s="7">
        <f>IF(A32="","",IF((A32+7)&gt;Model!$B$4,0,MAX(0,Model!$B$6-IF((A32+7)&gt;=Model!$B$11,Model!$B$20,0)-IF(7&lt;Model!$B$15,Model!$B$22,0))/(1-Model!$B$9)/(1+Model!$B$18)^7))</f>
        <v/>
      </c>
      <c r="V32" s="7">
        <f>IF(A32="","",IF((A32+8)&gt;Model!$B$4,0,MAX(0,Model!$B$6-IF((A32+8)&gt;=Model!$B$11,Model!$B$20,0)-IF(8&lt;Model!$B$15,Model!$B$22,0))/(1-Model!$B$9)/(1+Model!$B$18)^8))</f>
        <v/>
      </c>
      <c r="W32" s="7">
        <f>IF(A32="","",IF((A32+9)&gt;Model!$B$4,0,MAX(0,Model!$B$6-IF((A32+9)&gt;=Model!$B$11,Model!$B$20,0)-IF(9&lt;Model!$B$15,Model!$B$22,0))/(1-Model!$B$9)/(1+Model!$B$18)^9))</f>
        <v/>
      </c>
      <c r="X32" s="7">
        <f>IF(A32="","",IF((A32+10)&gt;Model!$B$4,0,MAX(0,Model!$B$6-IF((A32+10)&gt;=Model!$B$11,Model!$B$20,0)-IF(10&lt;Model!$B$15,Model!$B$22,0))/(1-Model!$B$9)/(1+Model!$B$18)^10))</f>
        <v/>
      </c>
      <c r="Y32" s="7">
        <f>IF(A32="","",IF((A32+11)&gt;Model!$B$4,0,MAX(0,Model!$B$6-IF((A32+11)&gt;=Model!$B$11,Model!$B$20,0)-IF(11&lt;Model!$B$15,Model!$B$22,0))/(1-Model!$B$9)/(1+Model!$B$18)^11))</f>
        <v/>
      </c>
      <c r="Z32" s="7">
        <f>IF(A32="","",IF((A32+12)&gt;Model!$B$4,0,MAX(0,Model!$B$6-IF((A32+12)&gt;=Model!$B$11,Model!$B$20,0)-IF(12&lt;Model!$B$15,Model!$B$22,0))/(1-Model!$B$9)/(1+Model!$B$18)^12))</f>
        <v/>
      </c>
      <c r="AA32" s="7">
        <f>IF(A32="","",IF((A32+13)&gt;Model!$B$4,0,MAX(0,Model!$B$6-IF((A32+13)&gt;=Model!$B$11,Model!$B$20,0)-IF(13&lt;Model!$B$15,Model!$B$22,0))/(1-Model!$B$9)/(1+Model!$B$18)^13))</f>
        <v/>
      </c>
      <c r="AB32" s="7">
        <f>IF(A32="","",IF((A32+14)&gt;Model!$B$4,0,MAX(0,Model!$B$6-IF((A32+14)&gt;=Model!$B$11,Model!$B$20,0)-IF(14&lt;Model!$B$15,Model!$B$22,0))/(1-Model!$B$9)/(1+Model!$B$18)^14))</f>
        <v/>
      </c>
      <c r="AC32" s="7">
        <f>IF(A32="","",IF((A32+15)&gt;Model!$B$4,0,MAX(0,Model!$B$6-IF((A32+15)&gt;=Model!$B$11,Model!$B$20,0)-IF(15&lt;Model!$B$15,Model!$B$22,0))/(1-Model!$B$9)/(1+Model!$B$18)^15))</f>
        <v/>
      </c>
      <c r="AD32" s="7">
        <f>IF(A32="","",IF((A32+16)&gt;Model!$B$4,0,MAX(0,Model!$B$6-IF((A32+16)&gt;=Model!$B$11,Model!$B$20,0)-IF(16&lt;Model!$B$15,Model!$B$22,0))/(1-Model!$B$9)/(1+Model!$B$18)^16))</f>
        <v/>
      </c>
      <c r="AE32" s="7">
        <f>IF(A32="","",IF((A32+17)&gt;Model!$B$4,0,MAX(0,Model!$B$6-IF((A32+17)&gt;=Model!$B$11,Model!$B$20,0)-IF(17&lt;Model!$B$15,Model!$B$22,0))/(1-Model!$B$9)/(1+Model!$B$18)^17))</f>
        <v/>
      </c>
      <c r="AF32" s="7">
        <f>IF(A32="","",IF((A32+18)&gt;Model!$B$4,0,MAX(0,Model!$B$6-IF((A32+18)&gt;=Model!$B$11,Model!$B$20,0)-IF(18&lt;Model!$B$15,Model!$B$22,0))/(1-Model!$B$9)/(1+Model!$B$18)^18))</f>
        <v/>
      </c>
      <c r="AG32" s="7">
        <f>IF(A32="","",IF((A32+19)&gt;Model!$B$4,0,MAX(0,Model!$B$6-IF((A32+19)&gt;=Model!$B$11,Model!$B$20,0)-IF(19&lt;Model!$B$15,Model!$B$22,0))/(1-Model!$B$9)/(1+Model!$B$18)^19))</f>
        <v/>
      </c>
      <c r="AH32" s="7">
        <f>IF(A32="","",IF((A32+20)&gt;Model!$B$4,0,MAX(0,Model!$B$6-IF((A32+20)&gt;=Model!$B$11,Model!$B$20,0)-IF(20&lt;Model!$B$15,Model!$B$22,0))/(1-Model!$B$9)/(1+Model!$B$18)^20))</f>
        <v/>
      </c>
      <c r="AI32" s="7">
        <f>IF(A32="","",IF((A32+21)&gt;Model!$B$4,0,MAX(0,Model!$B$6-IF((A32+21)&gt;=Model!$B$11,Model!$B$20,0)-IF(21&lt;Model!$B$15,Model!$B$22,0))/(1-Model!$B$9)/(1+Model!$B$18)^21))</f>
        <v/>
      </c>
      <c r="AJ32" s="7">
        <f>IF(A32="","",IF((A32+22)&gt;Model!$B$4,0,MAX(0,Model!$B$6-IF((A32+22)&gt;=Model!$B$11,Model!$B$20,0)-IF(22&lt;Model!$B$15,Model!$B$22,0))/(1-Model!$B$9)/(1+Model!$B$18)^22))</f>
        <v/>
      </c>
      <c r="AK32" s="7">
        <f>IF(A32="","",IF((A32+23)&gt;Model!$B$4,0,MAX(0,Model!$B$6-IF((A32+23)&gt;=Model!$B$11,Model!$B$20,0)-IF(23&lt;Model!$B$15,Model!$B$22,0))/(1-Model!$B$9)/(1+Model!$B$18)^23))</f>
        <v/>
      </c>
      <c r="AL32" s="7">
        <f>IF(A32="","",IF((A32+24)&gt;Model!$B$4,0,MAX(0,Model!$B$6-IF((A32+24)&gt;=Model!$B$11,Model!$B$20,0)-IF(24&lt;Model!$B$15,Model!$B$22,0))/(1-Model!$B$9)/(1+Model!$B$18)^24))</f>
        <v/>
      </c>
      <c r="AM32" s="7">
        <f>IF(A32="","",IF((A32+25)&gt;Model!$B$4,0,MAX(0,Model!$B$6-IF((A32+25)&gt;=Model!$B$11,Model!$B$20,0)-IF(25&lt;Model!$B$15,Model!$B$22,0))/(1-Model!$B$9)/(1+Model!$B$18)^25))</f>
        <v/>
      </c>
      <c r="AN32" s="7">
        <f>IF(A32="","",IF((A32+26)&gt;Model!$B$4,0,MAX(0,Model!$B$6-IF((A32+26)&gt;=Model!$B$11,Model!$B$20,0)-IF(26&lt;Model!$B$15,Model!$B$22,0))/(1-Model!$B$9)/(1+Model!$B$18)^26))</f>
        <v/>
      </c>
      <c r="AO32" s="7">
        <f>IF(A32="","",IF((A32+27)&gt;Model!$B$4,0,MAX(0,Model!$B$6-IF((A32+27)&gt;=Model!$B$11,Model!$B$20,0)-IF(27&lt;Model!$B$15,Model!$B$22,0))/(1-Model!$B$9)/(1+Model!$B$18)^27))</f>
        <v/>
      </c>
      <c r="AP32" s="7">
        <f>IF(A32="","",IF((A32+28)&gt;Model!$B$4,0,MAX(0,Model!$B$6-IF((A32+28)&gt;=Model!$B$11,Model!$B$20,0)-IF(28&lt;Model!$B$15,Model!$B$22,0))/(1-Model!$B$9)/(1+Model!$B$18)^28))</f>
        <v/>
      </c>
      <c r="AQ32" s="7">
        <f>IF(A32="","",IF((A32+29)&gt;Model!$B$4,0,MAX(0,Model!$B$6-IF((A32+29)&gt;=Model!$B$11,Model!$B$20,0)-IF(29&lt;Model!$B$15,Model!$B$22,0))/(1-Model!$B$9)/(1+Model!$B$18)^29))</f>
        <v/>
      </c>
      <c r="AR32" s="7">
        <f>IF(A32="","",IF((A32+30)&gt;Model!$B$4,0,MAX(0,Model!$B$6-IF((A32+30)&gt;=Model!$B$11,Model!$B$20,0)-IF(30&lt;Model!$B$15,Model!$B$22,0))/(1-Model!$B$9)/(1+Model!$B$18)^30))</f>
        <v/>
      </c>
      <c r="AS32" s="7">
        <f>IF(A32="","",IF((A32+31)&gt;Model!$B$4,0,MAX(0,Model!$B$6-IF((A32+31)&gt;=Model!$B$11,Model!$B$20,0)-IF(31&lt;Model!$B$15,Model!$B$22,0))/(1-Model!$B$9)/(1+Model!$B$18)^31))</f>
        <v/>
      </c>
      <c r="AT32" s="7">
        <f>IF(A32="","",IF((A32+32)&gt;Model!$B$4,0,MAX(0,Model!$B$6-IF((A32+32)&gt;=Model!$B$11,Model!$B$20,0)-IF(32&lt;Model!$B$15,Model!$B$22,0))/(1-Model!$B$9)/(1+Model!$B$18)^32))</f>
        <v/>
      </c>
      <c r="AU32" s="7">
        <f>IF(A32="","",IF((A32+33)&gt;Model!$B$4,0,MAX(0,Model!$B$6-IF((A32+33)&gt;=Model!$B$11,Model!$B$20,0)-IF(33&lt;Model!$B$15,Model!$B$22,0))/(1-Model!$B$9)/(1+Model!$B$18)^33))</f>
        <v/>
      </c>
      <c r="AV32" s="7">
        <f>IF(A32="","",IF((A32+34)&gt;Model!$B$4,0,MAX(0,Model!$B$6-IF((A32+34)&gt;=Model!$B$11,Model!$B$20,0)-IF(34&lt;Model!$B$15,Model!$B$22,0))/(1-Model!$B$9)/(1+Model!$B$18)^34))</f>
        <v/>
      </c>
      <c r="AW32" s="7">
        <f>IF(A32="","",IF((A32+35)&gt;Model!$B$4,0,MAX(0,Model!$B$6-IF((A32+35)&gt;=Model!$B$11,Model!$B$20,0)-IF(35&lt;Model!$B$15,Model!$B$22,0))/(1-Model!$B$9)/(1+Model!$B$18)^35))</f>
        <v/>
      </c>
      <c r="AX32" s="7">
        <f>IF(A32="","",IF((A32+36)&gt;Model!$B$4,0,MAX(0,Model!$B$6-IF((A32+36)&gt;=Model!$B$11,Model!$B$20,0)-IF(36&lt;Model!$B$15,Model!$B$22,0))/(1-Model!$B$9)/(1+Model!$B$18)^36))</f>
        <v/>
      </c>
      <c r="AY32" s="7">
        <f>IF(A32="","",IF((A32+37)&gt;Model!$B$4,0,MAX(0,Model!$B$6-IF((A32+37)&gt;=Model!$B$11,Model!$B$20,0)-IF(37&lt;Model!$B$15,Model!$B$22,0))/(1-Model!$B$9)/(1+Model!$B$18)^37))</f>
        <v/>
      </c>
      <c r="AZ32" s="7">
        <f>IF(A32="","",IF((A32+38)&gt;Model!$B$4,0,MAX(0,Model!$B$6-IF((A32+38)&gt;=Model!$B$11,Model!$B$20,0)-IF(38&lt;Model!$B$15,Model!$B$22,0))/(1-Model!$B$9)/(1+Model!$B$18)^38))</f>
        <v/>
      </c>
      <c r="BA32" s="7">
        <f>IF(A32="","",IF((A32+39)&gt;Model!$B$4,0,MAX(0,Model!$B$6-IF((A32+39)&gt;=Model!$B$11,Model!$B$20,0)-IF(39&lt;Model!$B$15,Model!$B$22,0))/(1-Model!$B$9)/(1+Model!$B$18)^39))</f>
        <v/>
      </c>
      <c r="BB32" s="7">
        <f>IF(A32="","",IF((A32+40)&gt;Model!$B$4,0,MAX(0,Model!$B$6-IF((A32+40)&gt;=Model!$B$11,Model!$B$20,0)-IF(40&lt;Model!$B$15,Model!$B$22,0))/(1-Model!$B$9)/(1+Model!$B$18)^40))</f>
        <v/>
      </c>
      <c r="BC32" s="7">
        <f>IF(A32="","",IF((A32+41)&gt;Model!$B$4,0,MAX(0,Model!$B$6-IF((A32+41)&gt;=Model!$B$11,Model!$B$20,0)-IF(41&lt;Model!$B$15,Model!$B$22,0))/(1-Model!$B$9)/(1+Model!$B$18)^41))</f>
        <v/>
      </c>
      <c r="BD32" s="7">
        <f>IF(A32="","",IF((A32+42)&gt;Model!$B$4,0,MAX(0,Model!$B$6-IF((A32+42)&gt;=Model!$B$11,Model!$B$20,0)-IF(42&lt;Model!$B$15,Model!$B$22,0))/(1-Model!$B$9)/(1+Model!$B$18)^42))</f>
        <v/>
      </c>
      <c r="BE32" s="7">
        <f>IF(A32="","",IF((A32+43)&gt;Model!$B$4,0,MAX(0,Model!$B$6-IF((A32+43)&gt;=Model!$B$11,Model!$B$20,0)-IF(43&lt;Model!$B$15,Model!$B$22,0))/(1-Model!$B$9)/(1+Model!$B$18)^43))</f>
        <v/>
      </c>
      <c r="BF32" s="7">
        <f>IF(A32="","",IF((A32+44)&gt;Model!$B$4,0,MAX(0,Model!$B$6-IF((A32+44)&gt;=Model!$B$11,Model!$B$20,0)-IF(44&lt;Model!$B$15,Model!$B$22,0))/(1-Model!$B$9)/(1+Model!$B$18)^44))</f>
        <v/>
      </c>
      <c r="BG32" s="7">
        <f>IF(A32="","",IF((A32+45)&gt;Model!$B$4,0,MAX(0,Model!$B$6-IF((A32+45)&gt;=Model!$B$11,Model!$B$20,0)-IF(45&lt;Model!$B$15,Model!$B$22,0))/(1-Model!$B$9)/(1+Model!$B$18)^45))</f>
        <v/>
      </c>
      <c r="BH32" s="7">
        <f>IF(A32="","",IF((A32+46)&gt;Model!$B$4,0,MAX(0,Model!$B$6-IF((A32+46)&gt;=Model!$B$11,Model!$B$20,0)-IF(46&lt;Model!$B$15,Model!$B$22,0))/(1-Model!$B$9)/(1+Model!$B$18)^46))</f>
        <v/>
      </c>
      <c r="BI32" s="7">
        <f>IF(A32="","",IF((A32+47)&gt;Model!$B$4,0,MAX(0,Model!$B$6-IF((A32+47)&gt;=Model!$B$11,Model!$B$20,0)-IF(47&lt;Model!$B$15,Model!$B$22,0))/(1-Model!$B$9)/(1+Model!$B$18)^47))</f>
        <v/>
      </c>
      <c r="BJ32" s="7">
        <f>IF(A32="","",IF((A32+48)&gt;Model!$B$4,0,MAX(0,Model!$B$6-IF((A32+48)&gt;=Model!$B$11,Model!$B$20,0)-IF(48&lt;Model!$B$15,Model!$B$22,0))/(1-Model!$B$9)/(1+Model!$B$18)^48))</f>
        <v/>
      </c>
      <c r="BK32" s="7">
        <f>IF(A32="","",IF((A32+49)&gt;Model!$B$4,0,MAX(0,Model!$B$6-IF((A32+49)&gt;=Model!$B$11,Model!$B$20,0)-IF(49&lt;Model!$B$15,Model!$B$22,0))/(1-Model!$B$9)/(1+Model!$B$18)^49))</f>
        <v/>
      </c>
      <c r="BL32" s="7">
        <f>IF(A32="","",IF((A32+50)&gt;Model!$B$4,0,MAX(0,Model!$B$6-IF((A32+50)&gt;=Model!$B$11,Model!$B$20,0)-IF(50&lt;Model!$B$15,Model!$B$22,0))/(1-Model!$B$9)/(1+Model!$B$18)^50))</f>
        <v/>
      </c>
      <c r="BM32" s="7">
        <f>IF(A32="","",IF((A32+51)&gt;Model!$B$4,0,MAX(0,Model!$B$6-IF((A32+51)&gt;=Model!$B$11,Model!$B$20,0)-IF(51&lt;Model!$B$15,Model!$B$22,0))/(1-Model!$B$9)/(1+Model!$B$18)^51))</f>
        <v/>
      </c>
      <c r="BN32" s="7">
        <f>IF(A32="","",IF((A32+52)&gt;Model!$B$4,0,MAX(0,Model!$B$6-IF((A32+52)&gt;=Model!$B$11,Model!$B$20,0)-IF(52&lt;Model!$B$15,Model!$B$22,0))/(1-Model!$B$9)/(1+Model!$B$18)^52))</f>
        <v/>
      </c>
      <c r="BO32" s="7">
        <f>IF(A32="","",IF((A32+53)&gt;Model!$B$4,0,MAX(0,Model!$B$6-IF((A32+53)&gt;=Model!$B$11,Model!$B$20,0)-IF(53&lt;Model!$B$15,Model!$B$22,0))/(1-Model!$B$9)/(1+Model!$B$18)^53))</f>
        <v/>
      </c>
      <c r="BP32" s="7">
        <f>IF(A32="","",IF((A32+54)&gt;Model!$B$4,0,MAX(0,Model!$B$6-IF((A32+54)&gt;=Model!$B$11,Model!$B$20,0)-IF(54&lt;Model!$B$15,Model!$B$22,0))/(1-Model!$B$9)/(1+Model!$B$18)^54))</f>
        <v/>
      </c>
      <c r="BQ32" s="7">
        <f>IF(A32="","",IF((A32+55)&gt;Model!$B$4,0,MAX(0,Model!$B$6-IF((A32+55)&gt;=Model!$B$11,Model!$B$20,0)-IF(55&lt;Model!$B$15,Model!$B$22,0))/(1-Model!$B$9)/(1+Model!$B$18)^55))</f>
        <v/>
      </c>
      <c r="BR32" s="7">
        <f>IF(A32="","",IF((A32+56)&gt;Model!$B$4,0,MAX(0,Model!$B$6-IF((A32+56)&gt;=Model!$B$11,Model!$B$20,0)-IF(56&lt;Model!$B$15,Model!$B$22,0))/(1-Model!$B$9)/(1+Model!$B$18)^56))</f>
        <v/>
      </c>
      <c r="BS32" s="7">
        <f>IF(A32="","",IF((A32+57)&gt;Model!$B$4,0,MAX(0,Model!$B$6-IF((A32+57)&gt;=Model!$B$11,Model!$B$20,0)-IF(57&lt;Model!$B$15,Model!$B$22,0))/(1-Model!$B$9)/(1+Model!$B$18)^57))</f>
        <v/>
      </c>
      <c r="BT32" s="7">
        <f>IF(A32="","",IF((A32+58)&gt;Model!$B$4,0,MAX(0,Model!$B$6-IF((A32+58)&gt;=Model!$B$11,Model!$B$20,0)-IF(58&lt;Model!$B$15,Model!$B$22,0))/(1-Model!$B$9)/(1+Model!$B$18)^58))</f>
        <v/>
      </c>
      <c r="BU32" s="7">
        <f>IF(A32="","",IF((A32+59)&gt;Model!$B$4,0,MAX(0,Model!$B$6-IF((A32+59)&gt;=Model!$B$11,Model!$B$20,0)-IF(59&lt;Model!$B$15,Model!$B$22,0))/(1-Model!$B$9)/(1+Model!$B$18)^59))</f>
        <v/>
      </c>
      <c r="BV32" s="7">
        <f>IF(A32="","",IF((A32+60)&gt;Model!$B$4,0,MAX(0,Model!$B$6-IF((A32+60)&gt;=Model!$B$11,Model!$B$20,0)-IF(60&lt;Model!$B$15,Model!$B$22,0))/(1-Model!$B$9)/(1+Model!$B$18)^60))</f>
        <v/>
      </c>
      <c r="BW32" s="7">
        <f>IF(A32="","",IF((A32+61)&gt;Model!$B$4,0,MAX(0,Model!$B$6-IF((A32+61)&gt;=Model!$B$11,Model!$B$20,0)-IF(61&lt;Model!$B$15,Model!$B$22,0))/(1-Model!$B$9)/(1+Model!$B$18)^61))</f>
        <v/>
      </c>
      <c r="BX32" s="7">
        <f>IF(A32="","",IF((A32+62)&gt;Model!$B$4,0,MAX(0,Model!$B$6-IF((A32+62)&gt;=Model!$B$11,Model!$B$20,0)-IF(62&lt;Model!$B$15,Model!$B$22,0))/(1-Model!$B$9)/(1+Model!$B$18)^62))</f>
        <v/>
      </c>
      <c r="BY32" s="7">
        <f>IF(A32="","",IF((A32+63)&gt;Model!$B$4,0,MAX(0,Model!$B$6-IF((A32+63)&gt;=Model!$B$11,Model!$B$20,0)-IF(63&lt;Model!$B$15,Model!$B$22,0))/(1-Model!$B$9)/(1+Model!$B$18)^63))</f>
        <v/>
      </c>
      <c r="BZ32" s="7">
        <f>IF(A32="","",IF((A32+64)&gt;Model!$B$4,0,MAX(0,Model!$B$6-IF((A32+64)&gt;=Model!$B$11,Model!$B$20,0)-IF(64&lt;Model!$B$15,Model!$B$22,0))/(1-Model!$B$9)/(1+Model!$B$18)^64))</f>
        <v/>
      </c>
      <c r="CA32" s="7">
        <f>IF(A32="","",IF((A32+65)&gt;Model!$B$4,0,MAX(0,Model!$B$6-IF((A32+65)&gt;=Model!$B$11,Model!$B$20,0)-IF(65&lt;Model!$B$15,Model!$B$22,0))/(1-Model!$B$9)/(1+Model!$B$18)^65))</f>
        <v/>
      </c>
      <c r="CB32" s="7">
        <f>IF(A32="","",IF((A32+66)&gt;Model!$B$4,0,MAX(0,Model!$B$6-IF((A32+66)&gt;=Model!$B$11,Model!$B$20,0)-IF(66&lt;Model!$B$15,Model!$B$22,0))/(1-Model!$B$9)/(1+Model!$B$18)^66))</f>
        <v/>
      </c>
      <c r="CC32" s="7">
        <f>IF(A32="","",IF((A32+67)&gt;Model!$B$4,0,MAX(0,Model!$B$6-IF((A32+67)&gt;=Model!$B$11,Model!$B$20,0)-IF(67&lt;Model!$B$15,Model!$B$22,0))/(1-Model!$B$9)/(1+Model!$B$18)^67))</f>
        <v/>
      </c>
      <c r="CD32" s="7">
        <f>IF(A32="","",IF((A32+68)&gt;Model!$B$4,0,MAX(0,Model!$B$6-IF((A32+68)&gt;=Model!$B$11,Model!$B$20,0)-IF(68&lt;Model!$B$15,Model!$B$22,0))/(1-Model!$B$9)/(1+Model!$B$18)^68))</f>
        <v/>
      </c>
      <c r="CE32" s="7">
        <f>IF(A32="","",IF((A32+69)&gt;Model!$B$4,0,MAX(0,Model!$B$6-IF((A32+69)&gt;=Model!$B$11,Model!$B$20,0)-IF(69&lt;Model!$B$15,Model!$B$22,0))/(1-Model!$B$9)/(1+Model!$B$18)^69))</f>
        <v/>
      </c>
      <c r="CF32" s="7">
        <f>IF(A32="","",IF((A32+70)&gt;Model!$B$4,0,MAX(0,Model!$B$6-IF((A32+70)&gt;=Model!$B$11,Model!$B$20,0)-IF(70&lt;Model!$B$15,Model!$B$22,0))/(1-Model!$B$9)/(1+Model!$B$18)^70))</f>
        <v/>
      </c>
      <c r="CG32" s="7">
        <f>IF(A32="","",IF((A32+71)&gt;Model!$B$4,0,MAX(0,Model!$B$6-IF((A32+71)&gt;=Model!$B$11,Model!$B$20,0)-IF(71&lt;Model!$B$15,Model!$B$22,0))/(1-Model!$B$9)/(1+Model!$B$18)^71))</f>
        <v/>
      </c>
      <c r="CH32" s="7">
        <f>IF(A32="","",IF((A32+72)&gt;Model!$B$4,0,MAX(0,Model!$B$6-IF((A32+72)&gt;=Model!$B$11,Model!$B$20,0)-IF(72&lt;Model!$B$15,Model!$B$22,0))/(1-Model!$B$9)/(1+Model!$B$18)^72))</f>
        <v/>
      </c>
      <c r="CI32" s="7">
        <f>IF(A32="","",IF((A32+73)&gt;Model!$B$4,0,MAX(0,Model!$B$6-IF((A32+73)&gt;=Model!$B$11,Model!$B$20,0)-IF(73&lt;Model!$B$15,Model!$B$22,0))/(1-Model!$B$9)/(1+Model!$B$18)^73))</f>
        <v/>
      </c>
      <c r="CJ32" s="7">
        <f>IF(A32="","",IF((A32+74)&gt;Model!$B$4,0,MAX(0,Model!$B$6-IF((A32+74)&gt;=Model!$B$11,Model!$B$20,0)-IF(74&lt;Model!$B$15,Model!$B$22,0))/(1-Model!$B$9)/(1+Model!$B$18)^74))</f>
        <v/>
      </c>
      <c r="CK32" s="7">
        <f>IF(A32="","",IF((A32+75)&gt;Model!$B$4,0,MAX(0,Model!$B$6-IF((A32+75)&gt;=Model!$B$11,Model!$B$20,0)-IF(75&lt;Model!$B$15,Model!$B$22,0))/(1-Model!$B$9)/(1+Model!$B$18)^75))</f>
        <v/>
      </c>
      <c r="CL32" s="7">
        <f>IF(A32="","",IF((A32+76)&gt;Model!$B$4,0,MAX(0,Model!$B$6-IF((A32+76)&gt;=Model!$B$11,Model!$B$20,0)-IF(76&lt;Model!$B$15,Model!$B$22,0))/(1-Model!$B$9)/(1+Model!$B$18)^76))</f>
        <v/>
      </c>
      <c r="CM32" s="7">
        <f>IF(A32="","",IF((A32+77)&gt;Model!$B$4,0,MAX(0,Model!$B$6-IF((A32+77)&gt;=Model!$B$11,Model!$B$20,0)-IF(77&lt;Model!$B$15,Model!$B$22,0))/(1-Model!$B$9)/(1+Model!$B$18)^77))</f>
        <v/>
      </c>
      <c r="CN32" s="7">
        <f>IF(A32="","",IF((A32+78)&gt;Model!$B$4,0,MAX(0,Model!$B$6-IF((A32+78)&gt;=Model!$B$11,Model!$B$20,0)-IF(78&lt;Model!$B$15,Model!$B$22,0))/(1-Model!$B$9)/(1+Model!$B$18)^78))</f>
        <v/>
      </c>
      <c r="CO32" s="7">
        <f>IF(A32="","",IF((A32+79)&gt;Model!$B$4,0,MAX(0,Model!$B$6-IF((A32+79)&gt;=Model!$B$11,Model!$B$20,0)-IF(79&lt;Model!$B$15,Model!$B$22,0))/(1-Model!$B$9)/(1+Model!$B$18)^79))</f>
        <v/>
      </c>
      <c r="CP32" s="7">
        <f>IF(A32="","",IF((A32+80)&gt;Model!$B$4,0,MAX(0,Model!$B$6-IF((A32+80)&gt;=Model!$B$11,Model!$B$20,0)-IF(80&lt;Model!$B$15,Model!$B$22,0))/(1-Model!$B$9)/(1+Model!$B$18)^80))</f>
        <v/>
      </c>
      <c r="CQ32" s="7">
        <f>IF(A32="","",IF((A32+81)&gt;Model!$B$4,0,MAX(0,Model!$B$6-IF((A32+81)&gt;=Model!$B$11,Model!$B$20,0)-IF(81&lt;Model!$B$15,Model!$B$22,0))/(1-Model!$B$9)/(1+Model!$B$18)^81))</f>
        <v/>
      </c>
      <c r="CR32" s="7">
        <f>IF(A32="","",IF((A32+82)&gt;Model!$B$4,0,MAX(0,Model!$B$6-IF((A32+82)&gt;=Model!$B$11,Model!$B$20,0)-IF(82&lt;Model!$B$15,Model!$B$22,0))/(1-Model!$B$9)/(1+Model!$B$18)^82))</f>
        <v/>
      </c>
      <c r="CS32" s="7">
        <f>IF(A32="","",IF((A32+83)&gt;Model!$B$4,0,MAX(0,Model!$B$6-IF((A32+83)&gt;=Model!$B$11,Model!$B$20,0)-IF(83&lt;Model!$B$15,Model!$B$22,0))/(1-Model!$B$9)/(1+Model!$B$18)^83))</f>
        <v/>
      </c>
      <c r="CT32" s="7">
        <f>IF(A32="","",IF((A32+84)&gt;Model!$B$4,0,MAX(0,Model!$B$6-IF((A32+84)&gt;=Model!$B$11,Model!$B$20,0)-IF(84&lt;Model!$B$15,Model!$B$22,0))/(1-Model!$B$9)/(1+Model!$B$18)^84))</f>
        <v/>
      </c>
      <c r="CU32" s="7">
        <f>IF(A32="","",IF((A32+85)&gt;Model!$B$4,0,MAX(0,Model!$B$6-IF((A32+85)&gt;=Model!$B$11,Model!$B$20,0)-IF(85&lt;Model!$B$15,Model!$B$22,0))/(1-Model!$B$9)/(1+Model!$B$18)^85))</f>
        <v/>
      </c>
      <c r="CV32" s="7">
        <f>IF(A32="","",IF((A32+86)&gt;Model!$B$4,0,MAX(0,Model!$B$6-IF((A32+86)&gt;=Model!$B$11,Model!$B$20,0)-IF(86&lt;Model!$B$15,Model!$B$22,0))/(1-Model!$B$9)/(1+Model!$B$18)^86))</f>
        <v/>
      </c>
      <c r="CW32" s="7">
        <f>IF(A32="","",IF((A32+87)&gt;Model!$B$4,0,MAX(0,Model!$B$6-IF((A32+87)&gt;=Model!$B$11,Model!$B$20,0)-IF(87&lt;Model!$B$15,Model!$B$22,0))/(1-Model!$B$9)/(1+Model!$B$18)^87))</f>
        <v/>
      </c>
      <c r="CX32" s="7">
        <f>IF(A32="","",IF((A32+88)&gt;Model!$B$4,0,MAX(0,Model!$B$6-IF((A32+88)&gt;=Model!$B$11,Model!$B$20,0)-IF(88&lt;Model!$B$15,Model!$B$22,0))/(1-Model!$B$9)/(1+Model!$B$18)^88))</f>
        <v/>
      </c>
      <c r="CY32" s="7">
        <f>IF(A32="","",IF((A32+89)&gt;Model!$B$4,0,MAX(0,Model!$B$6-IF((A32+89)&gt;=Model!$B$11,Model!$B$20,0)-IF(89&lt;Model!$B$15,Model!$B$22,0))/(1-Model!$B$9)/(1+Model!$B$18)^89))</f>
        <v/>
      </c>
      <c r="CZ32" s="7">
        <f>IF(A32="","",IF((A32+90)&gt;Model!$B$4,0,MAX(0,Model!$B$6-IF((A32+90)&gt;=Model!$B$11,Model!$B$20,0)-IF(90&lt;Model!$B$15,Model!$B$22,0))/(1-Model!$B$9)/(1+Model!$B$18)^90))</f>
        <v/>
      </c>
      <c r="DA32" s="7">
        <f>IF(A32="","",IF((A32+91)&gt;Model!$B$4,0,MAX(0,Model!$B$6-IF((A32+91)&gt;=Model!$B$11,Model!$B$20,0)-IF(91&lt;Model!$B$15,Model!$B$22,0))/(1-Model!$B$9)/(1+Model!$B$18)^91))</f>
        <v/>
      </c>
      <c r="DB32" s="7">
        <f>IF(A32="","",IF((A32+92)&gt;Model!$B$4,0,MAX(0,Model!$B$6-IF((A32+92)&gt;=Model!$B$11,Model!$B$20,0)-IF(92&lt;Model!$B$15,Model!$B$22,0))/(1-Model!$B$9)/(1+Model!$B$18)^92))</f>
        <v/>
      </c>
      <c r="DC32" s="7">
        <f>IF(A32="","",IF((A32+93)&gt;Model!$B$4,0,MAX(0,Model!$B$6-IF((A32+93)&gt;=Model!$B$11,Model!$B$20,0)-IF(93&lt;Model!$B$15,Model!$B$22,0))/(1-Model!$B$9)/(1+Model!$B$18)^93))</f>
        <v/>
      </c>
      <c r="DD32" s="7">
        <f>IF(A32="","",IF((A32+94)&gt;Model!$B$4,0,MAX(0,Model!$B$6-IF((A32+94)&gt;=Model!$B$11,Model!$B$20,0)-IF(94&lt;Model!$B$15,Model!$B$22,0))/(1-Model!$B$9)/(1+Model!$B$18)^94))</f>
        <v/>
      </c>
      <c r="DE32" s="7">
        <f>IF(A32="","",IF((A32+95)&gt;Model!$B$4,0,MAX(0,Model!$B$6-IF((A32+95)&gt;=Model!$B$11,Model!$B$20,0)-IF(95&lt;Model!$B$15,Model!$B$22,0))/(1-Model!$B$9)/(1+Model!$B$18)^95))</f>
        <v/>
      </c>
      <c r="DF32" s="7">
        <f>IF(A32="","",IF((A32+96)&gt;Model!$B$4,0,MAX(0,Model!$B$6-IF((A32+96)&gt;=Model!$B$11,Model!$B$20,0)-IF(96&lt;Model!$B$15,Model!$B$22,0))/(1-Model!$B$9)/(1+Model!$B$18)^96))</f>
        <v/>
      </c>
      <c r="DG32" s="7">
        <f>IF(A32="","",IF((A32+97)&gt;Model!$B$4,0,MAX(0,Model!$B$6-IF((A32+97)&gt;=Model!$B$11,Model!$B$20,0)-IF(97&lt;Model!$B$15,Model!$B$22,0))/(1-Model!$B$9)/(1+Model!$B$18)^97))</f>
        <v/>
      </c>
      <c r="DH32" s="7">
        <f>IF(A32="","",IF((A32+98)&gt;Model!$B$4,0,MAX(0,Model!$B$6-IF((A32+98)&gt;=Model!$B$11,Model!$B$20,0)-IF(98&lt;Model!$B$15,Model!$B$22,0))/(1-Model!$B$9)/(1+Model!$B$18)^98))</f>
        <v/>
      </c>
      <c r="DI32" s="7">
        <f>IF(A32="","",IF((A32+99)&gt;Model!$B$4,0,MAX(0,Model!$B$6-IF((A32+99)&gt;=Model!$B$11,Model!$B$20,0)-IF(99&lt;Model!$B$15,Model!$B$22,0))/(1-Model!$B$9)/(1+Model!$B$18)^99))</f>
        <v/>
      </c>
      <c r="DJ32" s="7">
        <f>IF(A32="","",IF((A32+100)&gt;Model!$B$4,0,MAX(0,Model!$B$6-IF((A32+100)&gt;=Model!$B$11,Model!$B$20,0)-IF(100&lt;Model!$B$15,Model!$B$22,0))/(1-Model!$B$9)/(1+Model!$B$18)^100))</f>
        <v/>
      </c>
      <c r="DK32" s="7">
        <f>IF(A32="","",IF((A32+101)&gt;Model!$B$4,0,MAX(0,Model!$B$6-IF((A32+101)&gt;=Model!$B$11,Model!$B$20,0)-IF(101&lt;Model!$B$15,Model!$B$22,0))/(1-Model!$B$9)/(1+Model!$B$18)^101))</f>
        <v/>
      </c>
      <c r="DL32" s="7">
        <f>IF(A32="","",IF((A32+102)&gt;Model!$B$4,0,MAX(0,Model!$B$6-IF((A32+102)&gt;=Model!$B$11,Model!$B$20,0)-IF(102&lt;Model!$B$15,Model!$B$22,0))/(1-Model!$B$9)/(1+Model!$B$18)^102))</f>
        <v/>
      </c>
      <c r="DM32" s="7">
        <f>IF(A32="","",IF((A32+103)&gt;Model!$B$4,0,MAX(0,Model!$B$6-IF((A32+103)&gt;=Model!$B$11,Model!$B$20,0)-IF(103&lt;Model!$B$15,Model!$B$22,0))/(1-Model!$B$9)/(1+Model!$B$18)^103))</f>
        <v/>
      </c>
      <c r="DN32" s="7">
        <f>IF(A32="","",IF((A32+104)&gt;Model!$B$4,0,MAX(0,Model!$B$6-IF((A32+104)&gt;=Model!$B$11,Model!$B$20,0)-IF(104&lt;Model!$B$15,Model!$B$22,0))/(1-Model!$B$9)/(1+Model!$B$18)^104))</f>
        <v/>
      </c>
      <c r="DO32" s="7">
        <f>IF(A32="","",IF((A32+105)&gt;Model!$B$4,0,MAX(0,Model!$B$6-IF((A32+105)&gt;=Model!$B$11,Model!$B$20,0)-IF(105&lt;Model!$B$15,Model!$B$22,0))/(1-Model!$B$9)/(1+Model!$B$18)^105))</f>
        <v/>
      </c>
      <c r="DP32" s="7">
        <f>IF(A32="","",IF((A32+106)&gt;Model!$B$4,0,MAX(0,Model!$B$6-IF((A32+106)&gt;=Model!$B$11,Model!$B$20,0)-IF(106&lt;Model!$B$15,Model!$B$22,0))/(1-Model!$B$9)/(1+Model!$B$18)^106))</f>
        <v/>
      </c>
      <c r="DQ32" s="7">
        <f>IF(A32="","",IF((A32+107)&gt;Model!$B$4,0,MAX(0,Model!$B$6-IF((A32+107)&gt;=Model!$B$11,Model!$B$20,0)-IF(107&lt;Model!$B$15,Model!$B$22,0))/(1-Model!$B$9)/(1+Model!$B$18)^107))</f>
        <v/>
      </c>
      <c r="DR32" s="7">
        <f>IF(A32="","",IF((A32+108)&gt;Model!$B$4,0,MAX(0,Model!$B$6-IF((A32+108)&gt;=Model!$B$11,Model!$B$20,0)-IF(108&lt;Model!$B$15,Model!$B$22,0))/(1-Model!$B$9)/(1+Model!$B$18)^108))</f>
        <v/>
      </c>
      <c r="DS32" s="7">
        <f>IF(A32="","",IF((A32+109)&gt;Model!$B$4,0,MAX(0,Model!$B$6-IF((A32+109)&gt;=Model!$B$11,Model!$B$20,0)-IF(109&lt;Model!$B$15,Model!$B$22,0))/(1-Model!$B$9)/(1+Model!$B$18)^109))</f>
        <v/>
      </c>
      <c r="DT32" s="7">
        <f>IF(A32="","",IF((A32+110)&gt;Model!$B$4,0,MAX(0,Model!$B$6-IF((A32+110)&gt;=Model!$B$11,Model!$B$20,0)-IF(110&lt;Model!$B$15,Model!$B$22,0))/(1-Model!$B$9)/(1+Model!$B$18)^110))</f>
        <v/>
      </c>
      <c r="DU32" s="7">
        <f>IF(A32="","",IF((A32+111)&gt;Model!$B$4,0,MAX(0,Model!$B$6-IF((A32+111)&gt;=Model!$B$11,Model!$B$20,0)-IF(111&lt;Model!$B$15,Model!$B$22,0))/(1-Model!$B$9)/(1+Model!$B$18)^111))</f>
        <v/>
      </c>
      <c r="DV32" s="7">
        <f>IF(A32="","",IF((A32+112)&gt;Model!$B$4,0,MAX(0,Model!$B$6-IF((A32+112)&gt;=Model!$B$11,Model!$B$20,0)-IF(112&lt;Model!$B$15,Model!$B$22,0))/(1-Model!$B$9)/(1+Model!$B$18)^112))</f>
        <v/>
      </c>
      <c r="DW32" s="7">
        <f>IF(A32="","",IF((A32+113)&gt;Model!$B$4,0,MAX(0,Model!$B$6-IF((A32+113)&gt;=Model!$B$11,Model!$B$20,0)-IF(113&lt;Model!$B$15,Model!$B$22,0))/(1-Model!$B$9)/(1+Model!$B$18)^113))</f>
        <v/>
      </c>
      <c r="DX32" s="7">
        <f>IF(A32="","",IF((A32+114)&gt;Model!$B$4,0,MAX(0,Model!$B$6-IF((A32+114)&gt;=Model!$B$11,Model!$B$20,0)-IF(114&lt;Model!$B$15,Model!$B$22,0))/(1-Model!$B$9)/(1+Model!$B$18)^114))</f>
        <v/>
      </c>
      <c r="DY32" s="7">
        <f>IF(A32="","",IF((A32+115)&gt;Model!$B$4,0,MAX(0,Model!$B$6-IF((A32+115)&gt;=Model!$B$11,Model!$B$20,0)-IF(115&lt;Model!$B$15,Model!$B$22,0))/(1-Model!$B$9)/(1+Model!$B$18)^115))</f>
        <v/>
      </c>
      <c r="DZ32" s="7">
        <f>IF(A32="","",IF((A32+116)&gt;Model!$B$4,0,MAX(0,Model!$B$6-IF((A32+116)&gt;=Model!$B$11,Model!$B$20,0)-IF(116&lt;Model!$B$15,Model!$B$22,0))/(1-Model!$B$9)/(1+Model!$B$18)^116))</f>
        <v/>
      </c>
      <c r="EA32" s="7">
        <f>IF(A32="","",IF((A32+117)&gt;Model!$B$4,0,MAX(0,Model!$B$6-IF((A32+117)&gt;=Model!$B$11,Model!$B$20,0)-IF(117&lt;Model!$B$15,Model!$B$22,0))/(1-Model!$B$9)/(1+Model!$B$18)^117))</f>
        <v/>
      </c>
      <c r="EB32" s="7">
        <f>IF(A32="","",IF((A32+118)&gt;Model!$B$4,0,MAX(0,Model!$B$6-IF((A32+118)&gt;=Model!$B$11,Model!$B$20,0)-IF(118&lt;Model!$B$15,Model!$B$22,0))/(1-Model!$B$9)/(1+Model!$B$18)^118))</f>
        <v/>
      </c>
      <c r="EC32" s="7">
        <f>IF(A32="","",IF((A32+119)&gt;Model!$B$4,0,MAX(0,Model!$B$6-IF((A32+119)&gt;=Model!$B$11,Model!$B$20,0)-IF(119&lt;Model!$B$15,Model!$B$22,0))/(1-Model!$B$9)/(1+Model!$B$18)^119))</f>
        <v/>
      </c>
      <c r="ED32" s="7">
        <f>IF(A32="","",IF((A32+120)&gt;Model!$B$4,0,MAX(0,Model!$B$6-IF((A32+120)&gt;=Model!$B$11,Model!$B$20,0)-IF(120&lt;Model!$B$15,Model!$B$22,0))/(1-Model!$B$9)/(1+Model!$B$18)^120))</f>
        <v/>
      </c>
    </row>
    <row r="33">
      <c r="A33">
        <f>IF(Model!$B$10+ROW()-2&lt;=Model!$B$4,Model!$B$10+ROW()-2,"")</f>
        <v/>
      </c>
      <c r="B33">
        <f>IF(A33="","",A33-Model!$B$10)</f>
        <v/>
      </c>
      <c r="C33" s="7">
        <f>IF(A33="","",Model!$B$5*(1+Model!$B$18)^B33)</f>
        <v/>
      </c>
      <c r="D33" s="7">
        <f>IF(A33="","",SUM(N33:ED33))</f>
        <v/>
      </c>
      <c r="E33" s="7">
        <f>IF(A33="","",IF(A33&gt;=Model!$B$11,Model!$B$20,0))</f>
        <v/>
      </c>
      <c r="F33" s="7">
        <f>IF(A33="","",IF(Model!$B$15&gt;0,Model!$B$22,0))</f>
        <v/>
      </c>
      <c r="G33" s="7">
        <f>IF(A33="","",E33+F33)</f>
        <v/>
      </c>
      <c r="H33" s="7">
        <f>IF(A33="","",MAX(0,Model!$B$6-G33))</f>
        <v/>
      </c>
      <c r="I33" s="7">
        <f>IF(A33="","",H33/(1-Model!$B$9))</f>
        <v/>
      </c>
      <c r="J33" s="7">
        <f>IF(A33="","",C33-D33)</f>
        <v/>
      </c>
      <c r="K33">
        <f>IF(A33="","",C33&gt;=D33)</f>
        <v/>
      </c>
      <c r="L33" s="7">
        <f>IF(A33="","",IF(A33&gt;=Model!$B$11,Model!$B$19*(1+Model!$B$13)^B33,0))</f>
        <v/>
      </c>
      <c r="M33" s="7">
        <f>IF(A33="","",IF(Model!$B$15&gt;0,Model!$B$21*(1+Model!$B$13)^B33,0))</f>
        <v/>
      </c>
      <c r="N33" s="7">
        <f>IF(A33="","",IF((A33+0)&gt;Model!$B$4,0,MAX(0,Model!$B$6-IF((A33+0)&gt;=Model!$B$11,Model!$B$20,0)-IF(0&lt;Model!$B$15,Model!$B$22,0))/(1-Model!$B$9)/(1+Model!$B$18)^0))</f>
        <v/>
      </c>
      <c r="O33" s="7">
        <f>IF(A33="","",IF((A33+1)&gt;Model!$B$4,0,MAX(0,Model!$B$6-IF((A33+1)&gt;=Model!$B$11,Model!$B$20,0)-IF(1&lt;Model!$B$15,Model!$B$22,0))/(1-Model!$B$9)/(1+Model!$B$18)^1))</f>
        <v/>
      </c>
      <c r="P33" s="7">
        <f>IF(A33="","",IF((A33+2)&gt;Model!$B$4,0,MAX(0,Model!$B$6-IF((A33+2)&gt;=Model!$B$11,Model!$B$20,0)-IF(2&lt;Model!$B$15,Model!$B$22,0))/(1-Model!$B$9)/(1+Model!$B$18)^2))</f>
        <v/>
      </c>
      <c r="Q33" s="7">
        <f>IF(A33="","",IF((A33+3)&gt;Model!$B$4,0,MAX(0,Model!$B$6-IF((A33+3)&gt;=Model!$B$11,Model!$B$20,0)-IF(3&lt;Model!$B$15,Model!$B$22,0))/(1-Model!$B$9)/(1+Model!$B$18)^3))</f>
        <v/>
      </c>
      <c r="R33" s="7">
        <f>IF(A33="","",IF((A33+4)&gt;Model!$B$4,0,MAX(0,Model!$B$6-IF((A33+4)&gt;=Model!$B$11,Model!$B$20,0)-IF(4&lt;Model!$B$15,Model!$B$22,0))/(1-Model!$B$9)/(1+Model!$B$18)^4))</f>
        <v/>
      </c>
      <c r="S33" s="7">
        <f>IF(A33="","",IF((A33+5)&gt;Model!$B$4,0,MAX(0,Model!$B$6-IF((A33+5)&gt;=Model!$B$11,Model!$B$20,0)-IF(5&lt;Model!$B$15,Model!$B$22,0))/(1-Model!$B$9)/(1+Model!$B$18)^5))</f>
        <v/>
      </c>
      <c r="T33" s="7">
        <f>IF(A33="","",IF((A33+6)&gt;Model!$B$4,0,MAX(0,Model!$B$6-IF((A33+6)&gt;=Model!$B$11,Model!$B$20,0)-IF(6&lt;Model!$B$15,Model!$B$22,0))/(1-Model!$B$9)/(1+Model!$B$18)^6))</f>
        <v/>
      </c>
      <c r="U33" s="7">
        <f>IF(A33="","",IF((A33+7)&gt;Model!$B$4,0,MAX(0,Model!$B$6-IF((A33+7)&gt;=Model!$B$11,Model!$B$20,0)-IF(7&lt;Model!$B$15,Model!$B$22,0))/(1-Model!$B$9)/(1+Model!$B$18)^7))</f>
        <v/>
      </c>
      <c r="V33" s="7">
        <f>IF(A33="","",IF((A33+8)&gt;Model!$B$4,0,MAX(0,Model!$B$6-IF((A33+8)&gt;=Model!$B$11,Model!$B$20,0)-IF(8&lt;Model!$B$15,Model!$B$22,0))/(1-Model!$B$9)/(1+Model!$B$18)^8))</f>
        <v/>
      </c>
      <c r="W33" s="7">
        <f>IF(A33="","",IF((A33+9)&gt;Model!$B$4,0,MAX(0,Model!$B$6-IF((A33+9)&gt;=Model!$B$11,Model!$B$20,0)-IF(9&lt;Model!$B$15,Model!$B$22,0))/(1-Model!$B$9)/(1+Model!$B$18)^9))</f>
        <v/>
      </c>
      <c r="X33" s="7">
        <f>IF(A33="","",IF((A33+10)&gt;Model!$B$4,0,MAX(0,Model!$B$6-IF((A33+10)&gt;=Model!$B$11,Model!$B$20,0)-IF(10&lt;Model!$B$15,Model!$B$22,0))/(1-Model!$B$9)/(1+Model!$B$18)^10))</f>
        <v/>
      </c>
      <c r="Y33" s="7">
        <f>IF(A33="","",IF((A33+11)&gt;Model!$B$4,0,MAX(0,Model!$B$6-IF((A33+11)&gt;=Model!$B$11,Model!$B$20,0)-IF(11&lt;Model!$B$15,Model!$B$22,0))/(1-Model!$B$9)/(1+Model!$B$18)^11))</f>
        <v/>
      </c>
      <c r="Z33" s="7">
        <f>IF(A33="","",IF((A33+12)&gt;Model!$B$4,0,MAX(0,Model!$B$6-IF((A33+12)&gt;=Model!$B$11,Model!$B$20,0)-IF(12&lt;Model!$B$15,Model!$B$22,0))/(1-Model!$B$9)/(1+Model!$B$18)^12))</f>
        <v/>
      </c>
      <c r="AA33" s="7">
        <f>IF(A33="","",IF((A33+13)&gt;Model!$B$4,0,MAX(0,Model!$B$6-IF((A33+13)&gt;=Model!$B$11,Model!$B$20,0)-IF(13&lt;Model!$B$15,Model!$B$22,0))/(1-Model!$B$9)/(1+Model!$B$18)^13))</f>
        <v/>
      </c>
      <c r="AB33" s="7">
        <f>IF(A33="","",IF((A33+14)&gt;Model!$B$4,0,MAX(0,Model!$B$6-IF((A33+14)&gt;=Model!$B$11,Model!$B$20,0)-IF(14&lt;Model!$B$15,Model!$B$22,0))/(1-Model!$B$9)/(1+Model!$B$18)^14))</f>
        <v/>
      </c>
      <c r="AC33" s="7">
        <f>IF(A33="","",IF((A33+15)&gt;Model!$B$4,0,MAX(0,Model!$B$6-IF((A33+15)&gt;=Model!$B$11,Model!$B$20,0)-IF(15&lt;Model!$B$15,Model!$B$22,0))/(1-Model!$B$9)/(1+Model!$B$18)^15))</f>
        <v/>
      </c>
      <c r="AD33" s="7">
        <f>IF(A33="","",IF((A33+16)&gt;Model!$B$4,0,MAX(0,Model!$B$6-IF((A33+16)&gt;=Model!$B$11,Model!$B$20,0)-IF(16&lt;Model!$B$15,Model!$B$22,0))/(1-Model!$B$9)/(1+Model!$B$18)^16))</f>
        <v/>
      </c>
      <c r="AE33" s="7">
        <f>IF(A33="","",IF((A33+17)&gt;Model!$B$4,0,MAX(0,Model!$B$6-IF((A33+17)&gt;=Model!$B$11,Model!$B$20,0)-IF(17&lt;Model!$B$15,Model!$B$22,0))/(1-Model!$B$9)/(1+Model!$B$18)^17))</f>
        <v/>
      </c>
      <c r="AF33" s="7">
        <f>IF(A33="","",IF((A33+18)&gt;Model!$B$4,0,MAX(0,Model!$B$6-IF((A33+18)&gt;=Model!$B$11,Model!$B$20,0)-IF(18&lt;Model!$B$15,Model!$B$22,0))/(1-Model!$B$9)/(1+Model!$B$18)^18))</f>
        <v/>
      </c>
      <c r="AG33" s="7">
        <f>IF(A33="","",IF((A33+19)&gt;Model!$B$4,0,MAX(0,Model!$B$6-IF((A33+19)&gt;=Model!$B$11,Model!$B$20,0)-IF(19&lt;Model!$B$15,Model!$B$22,0))/(1-Model!$B$9)/(1+Model!$B$18)^19))</f>
        <v/>
      </c>
      <c r="AH33" s="7">
        <f>IF(A33="","",IF((A33+20)&gt;Model!$B$4,0,MAX(0,Model!$B$6-IF((A33+20)&gt;=Model!$B$11,Model!$B$20,0)-IF(20&lt;Model!$B$15,Model!$B$22,0))/(1-Model!$B$9)/(1+Model!$B$18)^20))</f>
        <v/>
      </c>
      <c r="AI33" s="7">
        <f>IF(A33="","",IF((A33+21)&gt;Model!$B$4,0,MAX(0,Model!$B$6-IF((A33+21)&gt;=Model!$B$11,Model!$B$20,0)-IF(21&lt;Model!$B$15,Model!$B$22,0))/(1-Model!$B$9)/(1+Model!$B$18)^21))</f>
        <v/>
      </c>
      <c r="AJ33" s="7">
        <f>IF(A33="","",IF((A33+22)&gt;Model!$B$4,0,MAX(0,Model!$B$6-IF((A33+22)&gt;=Model!$B$11,Model!$B$20,0)-IF(22&lt;Model!$B$15,Model!$B$22,0))/(1-Model!$B$9)/(1+Model!$B$18)^22))</f>
        <v/>
      </c>
      <c r="AK33" s="7">
        <f>IF(A33="","",IF((A33+23)&gt;Model!$B$4,0,MAX(0,Model!$B$6-IF((A33+23)&gt;=Model!$B$11,Model!$B$20,0)-IF(23&lt;Model!$B$15,Model!$B$22,0))/(1-Model!$B$9)/(1+Model!$B$18)^23))</f>
        <v/>
      </c>
      <c r="AL33" s="7">
        <f>IF(A33="","",IF((A33+24)&gt;Model!$B$4,0,MAX(0,Model!$B$6-IF((A33+24)&gt;=Model!$B$11,Model!$B$20,0)-IF(24&lt;Model!$B$15,Model!$B$22,0))/(1-Model!$B$9)/(1+Model!$B$18)^24))</f>
        <v/>
      </c>
      <c r="AM33" s="7">
        <f>IF(A33="","",IF((A33+25)&gt;Model!$B$4,0,MAX(0,Model!$B$6-IF((A33+25)&gt;=Model!$B$11,Model!$B$20,0)-IF(25&lt;Model!$B$15,Model!$B$22,0))/(1-Model!$B$9)/(1+Model!$B$18)^25))</f>
        <v/>
      </c>
      <c r="AN33" s="7">
        <f>IF(A33="","",IF((A33+26)&gt;Model!$B$4,0,MAX(0,Model!$B$6-IF((A33+26)&gt;=Model!$B$11,Model!$B$20,0)-IF(26&lt;Model!$B$15,Model!$B$22,0))/(1-Model!$B$9)/(1+Model!$B$18)^26))</f>
        <v/>
      </c>
      <c r="AO33" s="7">
        <f>IF(A33="","",IF((A33+27)&gt;Model!$B$4,0,MAX(0,Model!$B$6-IF((A33+27)&gt;=Model!$B$11,Model!$B$20,0)-IF(27&lt;Model!$B$15,Model!$B$22,0))/(1-Model!$B$9)/(1+Model!$B$18)^27))</f>
        <v/>
      </c>
      <c r="AP33" s="7">
        <f>IF(A33="","",IF((A33+28)&gt;Model!$B$4,0,MAX(0,Model!$B$6-IF((A33+28)&gt;=Model!$B$11,Model!$B$20,0)-IF(28&lt;Model!$B$15,Model!$B$22,0))/(1-Model!$B$9)/(1+Model!$B$18)^28))</f>
        <v/>
      </c>
      <c r="AQ33" s="7">
        <f>IF(A33="","",IF((A33+29)&gt;Model!$B$4,0,MAX(0,Model!$B$6-IF((A33+29)&gt;=Model!$B$11,Model!$B$20,0)-IF(29&lt;Model!$B$15,Model!$B$22,0))/(1-Model!$B$9)/(1+Model!$B$18)^29))</f>
        <v/>
      </c>
      <c r="AR33" s="7">
        <f>IF(A33="","",IF((A33+30)&gt;Model!$B$4,0,MAX(0,Model!$B$6-IF((A33+30)&gt;=Model!$B$11,Model!$B$20,0)-IF(30&lt;Model!$B$15,Model!$B$22,0))/(1-Model!$B$9)/(1+Model!$B$18)^30))</f>
        <v/>
      </c>
      <c r="AS33" s="7">
        <f>IF(A33="","",IF((A33+31)&gt;Model!$B$4,0,MAX(0,Model!$B$6-IF((A33+31)&gt;=Model!$B$11,Model!$B$20,0)-IF(31&lt;Model!$B$15,Model!$B$22,0))/(1-Model!$B$9)/(1+Model!$B$18)^31))</f>
        <v/>
      </c>
      <c r="AT33" s="7">
        <f>IF(A33="","",IF((A33+32)&gt;Model!$B$4,0,MAX(0,Model!$B$6-IF((A33+32)&gt;=Model!$B$11,Model!$B$20,0)-IF(32&lt;Model!$B$15,Model!$B$22,0))/(1-Model!$B$9)/(1+Model!$B$18)^32))</f>
        <v/>
      </c>
      <c r="AU33" s="7">
        <f>IF(A33="","",IF((A33+33)&gt;Model!$B$4,0,MAX(0,Model!$B$6-IF((A33+33)&gt;=Model!$B$11,Model!$B$20,0)-IF(33&lt;Model!$B$15,Model!$B$22,0))/(1-Model!$B$9)/(1+Model!$B$18)^33))</f>
        <v/>
      </c>
      <c r="AV33" s="7">
        <f>IF(A33="","",IF((A33+34)&gt;Model!$B$4,0,MAX(0,Model!$B$6-IF((A33+34)&gt;=Model!$B$11,Model!$B$20,0)-IF(34&lt;Model!$B$15,Model!$B$22,0))/(1-Model!$B$9)/(1+Model!$B$18)^34))</f>
        <v/>
      </c>
      <c r="AW33" s="7">
        <f>IF(A33="","",IF((A33+35)&gt;Model!$B$4,0,MAX(0,Model!$B$6-IF((A33+35)&gt;=Model!$B$11,Model!$B$20,0)-IF(35&lt;Model!$B$15,Model!$B$22,0))/(1-Model!$B$9)/(1+Model!$B$18)^35))</f>
        <v/>
      </c>
      <c r="AX33" s="7">
        <f>IF(A33="","",IF((A33+36)&gt;Model!$B$4,0,MAX(0,Model!$B$6-IF((A33+36)&gt;=Model!$B$11,Model!$B$20,0)-IF(36&lt;Model!$B$15,Model!$B$22,0))/(1-Model!$B$9)/(1+Model!$B$18)^36))</f>
        <v/>
      </c>
      <c r="AY33" s="7">
        <f>IF(A33="","",IF((A33+37)&gt;Model!$B$4,0,MAX(0,Model!$B$6-IF((A33+37)&gt;=Model!$B$11,Model!$B$20,0)-IF(37&lt;Model!$B$15,Model!$B$22,0))/(1-Model!$B$9)/(1+Model!$B$18)^37))</f>
        <v/>
      </c>
      <c r="AZ33" s="7">
        <f>IF(A33="","",IF((A33+38)&gt;Model!$B$4,0,MAX(0,Model!$B$6-IF((A33+38)&gt;=Model!$B$11,Model!$B$20,0)-IF(38&lt;Model!$B$15,Model!$B$22,0))/(1-Model!$B$9)/(1+Model!$B$18)^38))</f>
        <v/>
      </c>
      <c r="BA33" s="7">
        <f>IF(A33="","",IF((A33+39)&gt;Model!$B$4,0,MAX(0,Model!$B$6-IF((A33+39)&gt;=Model!$B$11,Model!$B$20,0)-IF(39&lt;Model!$B$15,Model!$B$22,0))/(1-Model!$B$9)/(1+Model!$B$18)^39))</f>
        <v/>
      </c>
      <c r="BB33" s="7">
        <f>IF(A33="","",IF((A33+40)&gt;Model!$B$4,0,MAX(0,Model!$B$6-IF((A33+40)&gt;=Model!$B$11,Model!$B$20,0)-IF(40&lt;Model!$B$15,Model!$B$22,0))/(1-Model!$B$9)/(1+Model!$B$18)^40))</f>
        <v/>
      </c>
      <c r="BC33" s="7">
        <f>IF(A33="","",IF((A33+41)&gt;Model!$B$4,0,MAX(0,Model!$B$6-IF((A33+41)&gt;=Model!$B$11,Model!$B$20,0)-IF(41&lt;Model!$B$15,Model!$B$22,0))/(1-Model!$B$9)/(1+Model!$B$18)^41))</f>
        <v/>
      </c>
      <c r="BD33" s="7">
        <f>IF(A33="","",IF((A33+42)&gt;Model!$B$4,0,MAX(0,Model!$B$6-IF((A33+42)&gt;=Model!$B$11,Model!$B$20,0)-IF(42&lt;Model!$B$15,Model!$B$22,0))/(1-Model!$B$9)/(1+Model!$B$18)^42))</f>
        <v/>
      </c>
      <c r="BE33" s="7">
        <f>IF(A33="","",IF((A33+43)&gt;Model!$B$4,0,MAX(0,Model!$B$6-IF((A33+43)&gt;=Model!$B$11,Model!$B$20,0)-IF(43&lt;Model!$B$15,Model!$B$22,0))/(1-Model!$B$9)/(1+Model!$B$18)^43))</f>
        <v/>
      </c>
      <c r="BF33" s="7">
        <f>IF(A33="","",IF((A33+44)&gt;Model!$B$4,0,MAX(0,Model!$B$6-IF((A33+44)&gt;=Model!$B$11,Model!$B$20,0)-IF(44&lt;Model!$B$15,Model!$B$22,0))/(1-Model!$B$9)/(1+Model!$B$18)^44))</f>
        <v/>
      </c>
      <c r="BG33" s="7">
        <f>IF(A33="","",IF((A33+45)&gt;Model!$B$4,0,MAX(0,Model!$B$6-IF((A33+45)&gt;=Model!$B$11,Model!$B$20,0)-IF(45&lt;Model!$B$15,Model!$B$22,0))/(1-Model!$B$9)/(1+Model!$B$18)^45))</f>
        <v/>
      </c>
      <c r="BH33" s="7">
        <f>IF(A33="","",IF((A33+46)&gt;Model!$B$4,0,MAX(0,Model!$B$6-IF((A33+46)&gt;=Model!$B$11,Model!$B$20,0)-IF(46&lt;Model!$B$15,Model!$B$22,0))/(1-Model!$B$9)/(1+Model!$B$18)^46))</f>
        <v/>
      </c>
      <c r="BI33" s="7">
        <f>IF(A33="","",IF((A33+47)&gt;Model!$B$4,0,MAX(0,Model!$B$6-IF((A33+47)&gt;=Model!$B$11,Model!$B$20,0)-IF(47&lt;Model!$B$15,Model!$B$22,0))/(1-Model!$B$9)/(1+Model!$B$18)^47))</f>
        <v/>
      </c>
      <c r="BJ33" s="7">
        <f>IF(A33="","",IF((A33+48)&gt;Model!$B$4,0,MAX(0,Model!$B$6-IF((A33+48)&gt;=Model!$B$11,Model!$B$20,0)-IF(48&lt;Model!$B$15,Model!$B$22,0))/(1-Model!$B$9)/(1+Model!$B$18)^48))</f>
        <v/>
      </c>
      <c r="BK33" s="7">
        <f>IF(A33="","",IF((A33+49)&gt;Model!$B$4,0,MAX(0,Model!$B$6-IF((A33+49)&gt;=Model!$B$11,Model!$B$20,0)-IF(49&lt;Model!$B$15,Model!$B$22,0))/(1-Model!$B$9)/(1+Model!$B$18)^49))</f>
        <v/>
      </c>
      <c r="BL33" s="7">
        <f>IF(A33="","",IF((A33+50)&gt;Model!$B$4,0,MAX(0,Model!$B$6-IF((A33+50)&gt;=Model!$B$11,Model!$B$20,0)-IF(50&lt;Model!$B$15,Model!$B$22,0))/(1-Model!$B$9)/(1+Model!$B$18)^50))</f>
        <v/>
      </c>
      <c r="BM33" s="7">
        <f>IF(A33="","",IF((A33+51)&gt;Model!$B$4,0,MAX(0,Model!$B$6-IF((A33+51)&gt;=Model!$B$11,Model!$B$20,0)-IF(51&lt;Model!$B$15,Model!$B$22,0))/(1-Model!$B$9)/(1+Model!$B$18)^51))</f>
        <v/>
      </c>
      <c r="BN33" s="7">
        <f>IF(A33="","",IF((A33+52)&gt;Model!$B$4,0,MAX(0,Model!$B$6-IF((A33+52)&gt;=Model!$B$11,Model!$B$20,0)-IF(52&lt;Model!$B$15,Model!$B$22,0))/(1-Model!$B$9)/(1+Model!$B$18)^52))</f>
        <v/>
      </c>
      <c r="BO33" s="7">
        <f>IF(A33="","",IF((A33+53)&gt;Model!$B$4,0,MAX(0,Model!$B$6-IF((A33+53)&gt;=Model!$B$11,Model!$B$20,0)-IF(53&lt;Model!$B$15,Model!$B$22,0))/(1-Model!$B$9)/(1+Model!$B$18)^53))</f>
        <v/>
      </c>
      <c r="BP33" s="7">
        <f>IF(A33="","",IF((A33+54)&gt;Model!$B$4,0,MAX(0,Model!$B$6-IF((A33+54)&gt;=Model!$B$11,Model!$B$20,0)-IF(54&lt;Model!$B$15,Model!$B$22,0))/(1-Model!$B$9)/(1+Model!$B$18)^54))</f>
        <v/>
      </c>
      <c r="BQ33" s="7">
        <f>IF(A33="","",IF((A33+55)&gt;Model!$B$4,0,MAX(0,Model!$B$6-IF((A33+55)&gt;=Model!$B$11,Model!$B$20,0)-IF(55&lt;Model!$B$15,Model!$B$22,0))/(1-Model!$B$9)/(1+Model!$B$18)^55))</f>
        <v/>
      </c>
      <c r="BR33" s="7">
        <f>IF(A33="","",IF((A33+56)&gt;Model!$B$4,0,MAX(0,Model!$B$6-IF((A33+56)&gt;=Model!$B$11,Model!$B$20,0)-IF(56&lt;Model!$B$15,Model!$B$22,0))/(1-Model!$B$9)/(1+Model!$B$18)^56))</f>
        <v/>
      </c>
      <c r="BS33" s="7">
        <f>IF(A33="","",IF((A33+57)&gt;Model!$B$4,0,MAX(0,Model!$B$6-IF((A33+57)&gt;=Model!$B$11,Model!$B$20,0)-IF(57&lt;Model!$B$15,Model!$B$22,0))/(1-Model!$B$9)/(1+Model!$B$18)^57))</f>
        <v/>
      </c>
      <c r="BT33" s="7">
        <f>IF(A33="","",IF((A33+58)&gt;Model!$B$4,0,MAX(0,Model!$B$6-IF((A33+58)&gt;=Model!$B$11,Model!$B$20,0)-IF(58&lt;Model!$B$15,Model!$B$22,0))/(1-Model!$B$9)/(1+Model!$B$18)^58))</f>
        <v/>
      </c>
      <c r="BU33" s="7">
        <f>IF(A33="","",IF((A33+59)&gt;Model!$B$4,0,MAX(0,Model!$B$6-IF((A33+59)&gt;=Model!$B$11,Model!$B$20,0)-IF(59&lt;Model!$B$15,Model!$B$22,0))/(1-Model!$B$9)/(1+Model!$B$18)^59))</f>
        <v/>
      </c>
      <c r="BV33" s="7">
        <f>IF(A33="","",IF((A33+60)&gt;Model!$B$4,0,MAX(0,Model!$B$6-IF((A33+60)&gt;=Model!$B$11,Model!$B$20,0)-IF(60&lt;Model!$B$15,Model!$B$22,0))/(1-Model!$B$9)/(1+Model!$B$18)^60))</f>
        <v/>
      </c>
      <c r="BW33" s="7">
        <f>IF(A33="","",IF((A33+61)&gt;Model!$B$4,0,MAX(0,Model!$B$6-IF((A33+61)&gt;=Model!$B$11,Model!$B$20,0)-IF(61&lt;Model!$B$15,Model!$B$22,0))/(1-Model!$B$9)/(1+Model!$B$18)^61))</f>
        <v/>
      </c>
      <c r="BX33" s="7">
        <f>IF(A33="","",IF((A33+62)&gt;Model!$B$4,0,MAX(0,Model!$B$6-IF((A33+62)&gt;=Model!$B$11,Model!$B$20,0)-IF(62&lt;Model!$B$15,Model!$B$22,0))/(1-Model!$B$9)/(1+Model!$B$18)^62))</f>
        <v/>
      </c>
      <c r="BY33" s="7">
        <f>IF(A33="","",IF((A33+63)&gt;Model!$B$4,0,MAX(0,Model!$B$6-IF((A33+63)&gt;=Model!$B$11,Model!$B$20,0)-IF(63&lt;Model!$B$15,Model!$B$22,0))/(1-Model!$B$9)/(1+Model!$B$18)^63))</f>
        <v/>
      </c>
      <c r="BZ33" s="7">
        <f>IF(A33="","",IF((A33+64)&gt;Model!$B$4,0,MAX(0,Model!$B$6-IF((A33+64)&gt;=Model!$B$11,Model!$B$20,0)-IF(64&lt;Model!$B$15,Model!$B$22,0))/(1-Model!$B$9)/(1+Model!$B$18)^64))</f>
        <v/>
      </c>
      <c r="CA33" s="7">
        <f>IF(A33="","",IF((A33+65)&gt;Model!$B$4,0,MAX(0,Model!$B$6-IF((A33+65)&gt;=Model!$B$11,Model!$B$20,0)-IF(65&lt;Model!$B$15,Model!$B$22,0))/(1-Model!$B$9)/(1+Model!$B$18)^65))</f>
        <v/>
      </c>
      <c r="CB33" s="7">
        <f>IF(A33="","",IF((A33+66)&gt;Model!$B$4,0,MAX(0,Model!$B$6-IF((A33+66)&gt;=Model!$B$11,Model!$B$20,0)-IF(66&lt;Model!$B$15,Model!$B$22,0))/(1-Model!$B$9)/(1+Model!$B$18)^66))</f>
        <v/>
      </c>
      <c r="CC33" s="7">
        <f>IF(A33="","",IF((A33+67)&gt;Model!$B$4,0,MAX(0,Model!$B$6-IF((A33+67)&gt;=Model!$B$11,Model!$B$20,0)-IF(67&lt;Model!$B$15,Model!$B$22,0))/(1-Model!$B$9)/(1+Model!$B$18)^67))</f>
        <v/>
      </c>
      <c r="CD33" s="7">
        <f>IF(A33="","",IF((A33+68)&gt;Model!$B$4,0,MAX(0,Model!$B$6-IF((A33+68)&gt;=Model!$B$11,Model!$B$20,0)-IF(68&lt;Model!$B$15,Model!$B$22,0))/(1-Model!$B$9)/(1+Model!$B$18)^68))</f>
        <v/>
      </c>
      <c r="CE33" s="7">
        <f>IF(A33="","",IF((A33+69)&gt;Model!$B$4,0,MAX(0,Model!$B$6-IF((A33+69)&gt;=Model!$B$11,Model!$B$20,0)-IF(69&lt;Model!$B$15,Model!$B$22,0))/(1-Model!$B$9)/(1+Model!$B$18)^69))</f>
        <v/>
      </c>
      <c r="CF33" s="7">
        <f>IF(A33="","",IF((A33+70)&gt;Model!$B$4,0,MAX(0,Model!$B$6-IF((A33+70)&gt;=Model!$B$11,Model!$B$20,0)-IF(70&lt;Model!$B$15,Model!$B$22,0))/(1-Model!$B$9)/(1+Model!$B$18)^70))</f>
        <v/>
      </c>
      <c r="CG33" s="7">
        <f>IF(A33="","",IF((A33+71)&gt;Model!$B$4,0,MAX(0,Model!$B$6-IF((A33+71)&gt;=Model!$B$11,Model!$B$20,0)-IF(71&lt;Model!$B$15,Model!$B$22,0))/(1-Model!$B$9)/(1+Model!$B$18)^71))</f>
        <v/>
      </c>
      <c r="CH33" s="7">
        <f>IF(A33="","",IF((A33+72)&gt;Model!$B$4,0,MAX(0,Model!$B$6-IF((A33+72)&gt;=Model!$B$11,Model!$B$20,0)-IF(72&lt;Model!$B$15,Model!$B$22,0))/(1-Model!$B$9)/(1+Model!$B$18)^72))</f>
        <v/>
      </c>
      <c r="CI33" s="7">
        <f>IF(A33="","",IF((A33+73)&gt;Model!$B$4,0,MAX(0,Model!$B$6-IF((A33+73)&gt;=Model!$B$11,Model!$B$20,0)-IF(73&lt;Model!$B$15,Model!$B$22,0))/(1-Model!$B$9)/(1+Model!$B$18)^73))</f>
        <v/>
      </c>
      <c r="CJ33" s="7">
        <f>IF(A33="","",IF((A33+74)&gt;Model!$B$4,0,MAX(0,Model!$B$6-IF((A33+74)&gt;=Model!$B$11,Model!$B$20,0)-IF(74&lt;Model!$B$15,Model!$B$22,0))/(1-Model!$B$9)/(1+Model!$B$18)^74))</f>
        <v/>
      </c>
      <c r="CK33" s="7">
        <f>IF(A33="","",IF((A33+75)&gt;Model!$B$4,0,MAX(0,Model!$B$6-IF((A33+75)&gt;=Model!$B$11,Model!$B$20,0)-IF(75&lt;Model!$B$15,Model!$B$22,0))/(1-Model!$B$9)/(1+Model!$B$18)^75))</f>
        <v/>
      </c>
      <c r="CL33" s="7">
        <f>IF(A33="","",IF((A33+76)&gt;Model!$B$4,0,MAX(0,Model!$B$6-IF((A33+76)&gt;=Model!$B$11,Model!$B$20,0)-IF(76&lt;Model!$B$15,Model!$B$22,0))/(1-Model!$B$9)/(1+Model!$B$18)^76))</f>
        <v/>
      </c>
      <c r="CM33" s="7">
        <f>IF(A33="","",IF((A33+77)&gt;Model!$B$4,0,MAX(0,Model!$B$6-IF((A33+77)&gt;=Model!$B$11,Model!$B$20,0)-IF(77&lt;Model!$B$15,Model!$B$22,0))/(1-Model!$B$9)/(1+Model!$B$18)^77))</f>
        <v/>
      </c>
      <c r="CN33" s="7">
        <f>IF(A33="","",IF((A33+78)&gt;Model!$B$4,0,MAX(0,Model!$B$6-IF((A33+78)&gt;=Model!$B$11,Model!$B$20,0)-IF(78&lt;Model!$B$15,Model!$B$22,0))/(1-Model!$B$9)/(1+Model!$B$18)^78))</f>
        <v/>
      </c>
      <c r="CO33" s="7">
        <f>IF(A33="","",IF((A33+79)&gt;Model!$B$4,0,MAX(0,Model!$B$6-IF((A33+79)&gt;=Model!$B$11,Model!$B$20,0)-IF(79&lt;Model!$B$15,Model!$B$22,0))/(1-Model!$B$9)/(1+Model!$B$18)^79))</f>
        <v/>
      </c>
      <c r="CP33" s="7">
        <f>IF(A33="","",IF((A33+80)&gt;Model!$B$4,0,MAX(0,Model!$B$6-IF((A33+80)&gt;=Model!$B$11,Model!$B$20,0)-IF(80&lt;Model!$B$15,Model!$B$22,0))/(1-Model!$B$9)/(1+Model!$B$18)^80))</f>
        <v/>
      </c>
      <c r="CQ33" s="7">
        <f>IF(A33="","",IF((A33+81)&gt;Model!$B$4,0,MAX(0,Model!$B$6-IF((A33+81)&gt;=Model!$B$11,Model!$B$20,0)-IF(81&lt;Model!$B$15,Model!$B$22,0))/(1-Model!$B$9)/(1+Model!$B$18)^81))</f>
        <v/>
      </c>
      <c r="CR33" s="7">
        <f>IF(A33="","",IF((A33+82)&gt;Model!$B$4,0,MAX(0,Model!$B$6-IF((A33+82)&gt;=Model!$B$11,Model!$B$20,0)-IF(82&lt;Model!$B$15,Model!$B$22,0))/(1-Model!$B$9)/(1+Model!$B$18)^82))</f>
        <v/>
      </c>
      <c r="CS33" s="7">
        <f>IF(A33="","",IF((A33+83)&gt;Model!$B$4,0,MAX(0,Model!$B$6-IF((A33+83)&gt;=Model!$B$11,Model!$B$20,0)-IF(83&lt;Model!$B$15,Model!$B$22,0))/(1-Model!$B$9)/(1+Model!$B$18)^83))</f>
        <v/>
      </c>
      <c r="CT33" s="7">
        <f>IF(A33="","",IF((A33+84)&gt;Model!$B$4,0,MAX(0,Model!$B$6-IF((A33+84)&gt;=Model!$B$11,Model!$B$20,0)-IF(84&lt;Model!$B$15,Model!$B$22,0))/(1-Model!$B$9)/(1+Model!$B$18)^84))</f>
        <v/>
      </c>
      <c r="CU33" s="7">
        <f>IF(A33="","",IF((A33+85)&gt;Model!$B$4,0,MAX(0,Model!$B$6-IF((A33+85)&gt;=Model!$B$11,Model!$B$20,0)-IF(85&lt;Model!$B$15,Model!$B$22,0))/(1-Model!$B$9)/(1+Model!$B$18)^85))</f>
        <v/>
      </c>
      <c r="CV33" s="7">
        <f>IF(A33="","",IF((A33+86)&gt;Model!$B$4,0,MAX(0,Model!$B$6-IF((A33+86)&gt;=Model!$B$11,Model!$B$20,0)-IF(86&lt;Model!$B$15,Model!$B$22,0))/(1-Model!$B$9)/(1+Model!$B$18)^86))</f>
        <v/>
      </c>
      <c r="CW33" s="7">
        <f>IF(A33="","",IF((A33+87)&gt;Model!$B$4,0,MAX(0,Model!$B$6-IF((A33+87)&gt;=Model!$B$11,Model!$B$20,0)-IF(87&lt;Model!$B$15,Model!$B$22,0))/(1-Model!$B$9)/(1+Model!$B$18)^87))</f>
        <v/>
      </c>
      <c r="CX33" s="7">
        <f>IF(A33="","",IF((A33+88)&gt;Model!$B$4,0,MAX(0,Model!$B$6-IF((A33+88)&gt;=Model!$B$11,Model!$B$20,0)-IF(88&lt;Model!$B$15,Model!$B$22,0))/(1-Model!$B$9)/(1+Model!$B$18)^88))</f>
        <v/>
      </c>
      <c r="CY33" s="7">
        <f>IF(A33="","",IF((A33+89)&gt;Model!$B$4,0,MAX(0,Model!$B$6-IF((A33+89)&gt;=Model!$B$11,Model!$B$20,0)-IF(89&lt;Model!$B$15,Model!$B$22,0))/(1-Model!$B$9)/(1+Model!$B$18)^89))</f>
        <v/>
      </c>
      <c r="CZ33" s="7">
        <f>IF(A33="","",IF((A33+90)&gt;Model!$B$4,0,MAX(0,Model!$B$6-IF((A33+90)&gt;=Model!$B$11,Model!$B$20,0)-IF(90&lt;Model!$B$15,Model!$B$22,0))/(1-Model!$B$9)/(1+Model!$B$18)^90))</f>
        <v/>
      </c>
      <c r="DA33" s="7">
        <f>IF(A33="","",IF((A33+91)&gt;Model!$B$4,0,MAX(0,Model!$B$6-IF((A33+91)&gt;=Model!$B$11,Model!$B$20,0)-IF(91&lt;Model!$B$15,Model!$B$22,0))/(1-Model!$B$9)/(1+Model!$B$18)^91))</f>
        <v/>
      </c>
      <c r="DB33" s="7">
        <f>IF(A33="","",IF((A33+92)&gt;Model!$B$4,0,MAX(0,Model!$B$6-IF((A33+92)&gt;=Model!$B$11,Model!$B$20,0)-IF(92&lt;Model!$B$15,Model!$B$22,0))/(1-Model!$B$9)/(1+Model!$B$18)^92))</f>
        <v/>
      </c>
      <c r="DC33" s="7">
        <f>IF(A33="","",IF((A33+93)&gt;Model!$B$4,0,MAX(0,Model!$B$6-IF((A33+93)&gt;=Model!$B$11,Model!$B$20,0)-IF(93&lt;Model!$B$15,Model!$B$22,0))/(1-Model!$B$9)/(1+Model!$B$18)^93))</f>
        <v/>
      </c>
      <c r="DD33" s="7">
        <f>IF(A33="","",IF((A33+94)&gt;Model!$B$4,0,MAX(0,Model!$B$6-IF((A33+94)&gt;=Model!$B$11,Model!$B$20,0)-IF(94&lt;Model!$B$15,Model!$B$22,0))/(1-Model!$B$9)/(1+Model!$B$18)^94))</f>
        <v/>
      </c>
      <c r="DE33" s="7">
        <f>IF(A33="","",IF((A33+95)&gt;Model!$B$4,0,MAX(0,Model!$B$6-IF((A33+95)&gt;=Model!$B$11,Model!$B$20,0)-IF(95&lt;Model!$B$15,Model!$B$22,0))/(1-Model!$B$9)/(1+Model!$B$18)^95))</f>
        <v/>
      </c>
      <c r="DF33" s="7">
        <f>IF(A33="","",IF((A33+96)&gt;Model!$B$4,0,MAX(0,Model!$B$6-IF((A33+96)&gt;=Model!$B$11,Model!$B$20,0)-IF(96&lt;Model!$B$15,Model!$B$22,0))/(1-Model!$B$9)/(1+Model!$B$18)^96))</f>
        <v/>
      </c>
      <c r="DG33" s="7">
        <f>IF(A33="","",IF((A33+97)&gt;Model!$B$4,0,MAX(0,Model!$B$6-IF((A33+97)&gt;=Model!$B$11,Model!$B$20,0)-IF(97&lt;Model!$B$15,Model!$B$22,0))/(1-Model!$B$9)/(1+Model!$B$18)^97))</f>
        <v/>
      </c>
      <c r="DH33" s="7">
        <f>IF(A33="","",IF((A33+98)&gt;Model!$B$4,0,MAX(0,Model!$B$6-IF((A33+98)&gt;=Model!$B$11,Model!$B$20,0)-IF(98&lt;Model!$B$15,Model!$B$22,0))/(1-Model!$B$9)/(1+Model!$B$18)^98))</f>
        <v/>
      </c>
      <c r="DI33" s="7">
        <f>IF(A33="","",IF((A33+99)&gt;Model!$B$4,0,MAX(0,Model!$B$6-IF((A33+99)&gt;=Model!$B$11,Model!$B$20,0)-IF(99&lt;Model!$B$15,Model!$B$22,0))/(1-Model!$B$9)/(1+Model!$B$18)^99))</f>
        <v/>
      </c>
      <c r="DJ33" s="7">
        <f>IF(A33="","",IF((A33+100)&gt;Model!$B$4,0,MAX(0,Model!$B$6-IF((A33+100)&gt;=Model!$B$11,Model!$B$20,0)-IF(100&lt;Model!$B$15,Model!$B$22,0))/(1-Model!$B$9)/(1+Model!$B$18)^100))</f>
        <v/>
      </c>
      <c r="DK33" s="7">
        <f>IF(A33="","",IF((A33+101)&gt;Model!$B$4,0,MAX(0,Model!$B$6-IF((A33+101)&gt;=Model!$B$11,Model!$B$20,0)-IF(101&lt;Model!$B$15,Model!$B$22,0))/(1-Model!$B$9)/(1+Model!$B$18)^101))</f>
        <v/>
      </c>
      <c r="DL33" s="7">
        <f>IF(A33="","",IF((A33+102)&gt;Model!$B$4,0,MAX(0,Model!$B$6-IF((A33+102)&gt;=Model!$B$11,Model!$B$20,0)-IF(102&lt;Model!$B$15,Model!$B$22,0))/(1-Model!$B$9)/(1+Model!$B$18)^102))</f>
        <v/>
      </c>
      <c r="DM33" s="7">
        <f>IF(A33="","",IF((A33+103)&gt;Model!$B$4,0,MAX(0,Model!$B$6-IF((A33+103)&gt;=Model!$B$11,Model!$B$20,0)-IF(103&lt;Model!$B$15,Model!$B$22,0))/(1-Model!$B$9)/(1+Model!$B$18)^103))</f>
        <v/>
      </c>
      <c r="DN33" s="7">
        <f>IF(A33="","",IF((A33+104)&gt;Model!$B$4,0,MAX(0,Model!$B$6-IF((A33+104)&gt;=Model!$B$11,Model!$B$20,0)-IF(104&lt;Model!$B$15,Model!$B$22,0))/(1-Model!$B$9)/(1+Model!$B$18)^104))</f>
        <v/>
      </c>
      <c r="DO33" s="7">
        <f>IF(A33="","",IF((A33+105)&gt;Model!$B$4,0,MAX(0,Model!$B$6-IF((A33+105)&gt;=Model!$B$11,Model!$B$20,0)-IF(105&lt;Model!$B$15,Model!$B$22,0))/(1-Model!$B$9)/(1+Model!$B$18)^105))</f>
        <v/>
      </c>
      <c r="DP33" s="7">
        <f>IF(A33="","",IF((A33+106)&gt;Model!$B$4,0,MAX(0,Model!$B$6-IF((A33+106)&gt;=Model!$B$11,Model!$B$20,0)-IF(106&lt;Model!$B$15,Model!$B$22,0))/(1-Model!$B$9)/(1+Model!$B$18)^106))</f>
        <v/>
      </c>
      <c r="DQ33" s="7">
        <f>IF(A33="","",IF((A33+107)&gt;Model!$B$4,0,MAX(0,Model!$B$6-IF((A33+107)&gt;=Model!$B$11,Model!$B$20,0)-IF(107&lt;Model!$B$15,Model!$B$22,0))/(1-Model!$B$9)/(1+Model!$B$18)^107))</f>
        <v/>
      </c>
      <c r="DR33" s="7">
        <f>IF(A33="","",IF((A33+108)&gt;Model!$B$4,0,MAX(0,Model!$B$6-IF((A33+108)&gt;=Model!$B$11,Model!$B$20,0)-IF(108&lt;Model!$B$15,Model!$B$22,0))/(1-Model!$B$9)/(1+Model!$B$18)^108))</f>
        <v/>
      </c>
      <c r="DS33" s="7">
        <f>IF(A33="","",IF((A33+109)&gt;Model!$B$4,0,MAX(0,Model!$B$6-IF((A33+109)&gt;=Model!$B$11,Model!$B$20,0)-IF(109&lt;Model!$B$15,Model!$B$22,0))/(1-Model!$B$9)/(1+Model!$B$18)^109))</f>
        <v/>
      </c>
      <c r="DT33" s="7">
        <f>IF(A33="","",IF((A33+110)&gt;Model!$B$4,0,MAX(0,Model!$B$6-IF((A33+110)&gt;=Model!$B$11,Model!$B$20,0)-IF(110&lt;Model!$B$15,Model!$B$22,0))/(1-Model!$B$9)/(1+Model!$B$18)^110))</f>
        <v/>
      </c>
      <c r="DU33" s="7">
        <f>IF(A33="","",IF((A33+111)&gt;Model!$B$4,0,MAX(0,Model!$B$6-IF((A33+111)&gt;=Model!$B$11,Model!$B$20,0)-IF(111&lt;Model!$B$15,Model!$B$22,0))/(1-Model!$B$9)/(1+Model!$B$18)^111))</f>
        <v/>
      </c>
      <c r="DV33" s="7">
        <f>IF(A33="","",IF((A33+112)&gt;Model!$B$4,0,MAX(0,Model!$B$6-IF((A33+112)&gt;=Model!$B$11,Model!$B$20,0)-IF(112&lt;Model!$B$15,Model!$B$22,0))/(1-Model!$B$9)/(1+Model!$B$18)^112))</f>
        <v/>
      </c>
      <c r="DW33" s="7">
        <f>IF(A33="","",IF((A33+113)&gt;Model!$B$4,0,MAX(0,Model!$B$6-IF((A33+113)&gt;=Model!$B$11,Model!$B$20,0)-IF(113&lt;Model!$B$15,Model!$B$22,0))/(1-Model!$B$9)/(1+Model!$B$18)^113))</f>
        <v/>
      </c>
      <c r="DX33" s="7">
        <f>IF(A33="","",IF((A33+114)&gt;Model!$B$4,0,MAX(0,Model!$B$6-IF((A33+114)&gt;=Model!$B$11,Model!$B$20,0)-IF(114&lt;Model!$B$15,Model!$B$22,0))/(1-Model!$B$9)/(1+Model!$B$18)^114))</f>
        <v/>
      </c>
      <c r="DY33" s="7">
        <f>IF(A33="","",IF((A33+115)&gt;Model!$B$4,0,MAX(0,Model!$B$6-IF((A33+115)&gt;=Model!$B$11,Model!$B$20,0)-IF(115&lt;Model!$B$15,Model!$B$22,0))/(1-Model!$B$9)/(1+Model!$B$18)^115))</f>
        <v/>
      </c>
      <c r="DZ33" s="7">
        <f>IF(A33="","",IF((A33+116)&gt;Model!$B$4,0,MAX(0,Model!$B$6-IF((A33+116)&gt;=Model!$B$11,Model!$B$20,0)-IF(116&lt;Model!$B$15,Model!$B$22,0))/(1-Model!$B$9)/(1+Model!$B$18)^116))</f>
        <v/>
      </c>
      <c r="EA33" s="7">
        <f>IF(A33="","",IF((A33+117)&gt;Model!$B$4,0,MAX(0,Model!$B$6-IF((A33+117)&gt;=Model!$B$11,Model!$B$20,0)-IF(117&lt;Model!$B$15,Model!$B$22,0))/(1-Model!$B$9)/(1+Model!$B$18)^117))</f>
        <v/>
      </c>
      <c r="EB33" s="7">
        <f>IF(A33="","",IF((A33+118)&gt;Model!$B$4,0,MAX(0,Model!$B$6-IF((A33+118)&gt;=Model!$B$11,Model!$B$20,0)-IF(118&lt;Model!$B$15,Model!$B$22,0))/(1-Model!$B$9)/(1+Model!$B$18)^118))</f>
        <v/>
      </c>
      <c r="EC33" s="7">
        <f>IF(A33="","",IF((A33+119)&gt;Model!$B$4,0,MAX(0,Model!$B$6-IF((A33+119)&gt;=Model!$B$11,Model!$B$20,0)-IF(119&lt;Model!$B$15,Model!$B$22,0))/(1-Model!$B$9)/(1+Model!$B$18)^119))</f>
        <v/>
      </c>
      <c r="ED33" s="7">
        <f>IF(A33="","",IF((A33+120)&gt;Model!$B$4,0,MAX(0,Model!$B$6-IF((A33+120)&gt;=Model!$B$11,Model!$B$20,0)-IF(120&lt;Model!$B$15,Model!$B$22,0))/(1-Model!$B$9)/(1+Model!$B$18)^120))</f>
        <v/>
      </c>
    </row>
    <row r="34">
      <c r="A34">
        <f>IF(Model!$B$10+ROW()-2&lt;=Model!$B$4,Model!$B$10+ROW()-2,"")</f>
        <v/>
      </c>
      <c r="B34">
        <f>IF(A34="","",A34-Model!$B$10)</f>
        <v/>
      </c>
      <c r="C34" s="7">
        <f>IF(A34="","",Model!$B$5*(1+Model!$B$18)^B34)</f>
        <v/>
      </c>
      <c r="D34" s="7">
        <f>IF(A34="","",SUM(N34:ED34))</f>
        <v/>
      </c>
      <c r="E34" s="7">
        <f>IF(A34="","",IF(A34&gt;=Model!$B$11,Model!$B$20,0))</f>
        <v/>
      </c>
      <c r="F34" s="7">
        <f>IF(A34="","",IF(Model!$B$15&gt;0,Model!$B$22,0))</f>
        <v/>
      </c>
      <c r="G34" s="7">
        <f>IF(A34="","",E34+F34)</f>
        <v/>
      </c>
      <c r="H34" s="7">
        <f>IF(A34="","",MAX(0,Model!$B$6-G34))</f>
        <v/>
      </c>
      <c r="I34" s="7">
        <f>IF(A34="","",H34/(1-Model!$B$9))</f>
        <v/>
      </c>
      <c r="J34" s="7">
        <f>IF(A34="","",C34-D34)</f>
        <v/>
      </c>
      <c r="K34">
        <f>IF(A34="","",C34&gt;=D34)</f>
        <v/>
      </c>
      <c r="L34" s="7">
        <f>IF(A34="","",IF(A34&gt;=Model!$B$11,Model!$B$19*(1+Model!$B$13)^B34,0))</f>
        <v/>
      </c>
      <c r="M34" s="7">
        <f>IF(A34="","",IF(Model!$B$15&gt;0,Model!$B$21*(1+Model!$B$13)^B34,0))</f>
        <v/>
      </c>
      <c r="N34" s="7">
        <f>IF(A34="","",IF((A34+0)&gt;Model!$B$4,0,MAX(0,Model!$B$6-IF((A34+0)&gt;=Model!$B$11,Model!$B$20,0)-IF(0&lt;Model!$B$15,Model!$B$22,0))/(1-Model!$B$9)/(1+Model!$B$18)^0))</f>
        <v/>
      </c>
      <c r="O34" s="7">
        <f>IF(A34="","",IF((A34+1)&gt;Model!$B$4,0,MAX(0,Model!$B$6-IF((A34+1)&gt;=Model!$B$11,Model!$B$20,0)-IF(1&lt;Model!$B$15,Model!$B$22,0))/(1-Model!$B$9)/(1+Model!$B$18)^1))</f>
        <v/>
      </c>
      <c r="P34" s="7">
        <f>IF(A34="","",IF((A34+2)&gt;Model!$B$4,0,MAX(0,Model!$B$6-IF((A34+2)&gt;=Model!$B$11,Model!$B$20,0)-IF(2&lt;Model!$B$15,Model!$B$22,0))/(1-Model!$B$9)/(1+Model!$B$18)^2))</f>
        <v/>
      </c>
      <c r="Q34" s="7">
        <f>IF(A34="","",IF((A34+3)&gt;Model!$B$4,0,MAX(0,Model!$B$6-IF((A34+3)&gt;=Model!$B$11,Model!$B$20,0)-IF(3&lt;Model!$B$15,Model!$B$22,0))/(1-Model!$B$9)/(1+Model!$B$18)^3))</f>
        <v/>
      </c>
      <c r="R34" s="7">
        <f>IF(A34="","",IF((A34+4)&gt;Model!$B$4,0,MAX(0,Model!$B$6-IF((A34+4)&gt;=Model!$B$11,Model!$B$20,0)-IF(4&lt;Model!$B$15,Model!$B$22,0))/(1-Model!$B$9)/(1+Model!$B$18)^4))</f>
        <v/>
      </c>
      <c r="S34" s="7">
        <f>IF(A34="","",IF((A34+5)&gt;Model!$B$4,0,MAX(0,Model!$B$6-IF((A34+5)&gt;=Model!$B$11,Model!$B$20,0)-IF(5&lt;Model!$B$15,Model!$B$22,0))/(1-Model!$B$9)/(1+Model!$B$18)^5))</f>
        <v/>
      </c>
      <c r="T34" s="7">
        <f>IF(A34="","",IF((A34+6)&gt;Model!$B$4,0,MAX(0,Model!$B$6-IF((A34+6)&gt;=Model!$B$11,Model!$B$20,0)-IF(6&lt;Model!$B$15,Model!$B$22,0))/(1-Model!$B$9)/(1+Model!$B$18)^6))</f>
        <v/>
      </c>
      <c r="U34" s="7">
        <f>IF(A34="","",IF((A34+7)&gt;Model!$B$4,0,MAX(0,Model!$B$6-IF((A34+7)&gt;=Model!$B$11,Model!$B$20,0)-IF(7&lt;Model!$B$15,Model!$B$22,0))/(1-Model!$B$9)/(1+Model!$B$18)^7))</f>
        <v/>
      </c>
      <c r="V34" s="7">
        <f>IF(A34="","",IF((A34+8)&gt;Model!$B$4,0,MAX(0,Model!$B$6-IF((A34+8)&gt;=Model!$B$11,Model!$B$20,0)-IF(8&lt;Model!$B$15,Model!$B$22,0))/(1-Model!$B$9)/(1+Model!$B$18)^8))</f>
        <v/>
      </c>
      <c r="W34" s="7">
        <f>IF(A34="","",IF((A34+9)&gt;Model!$B$4,0,MAX(0,Model!$B$6-IF((A34+9)&gt;=Model!$B$11,Model!$B$20,0)-IF(9&lt;Model!$B$15,Model!$B$22,0))/(1-Model!$B$9)/(1+Model!$B$18)^9))</f>
        <v/>
      </c>
      <c r="X34" s="7">
        <f>IF(A34="","",IF((A34+10)&gt;Model!$B$4,0,MAX(0,Model!$B$6-IF((A34+10)&gt;=Model!$B$11,Model!$B$20,0)-IF(10&lt;Model!$B$15,Model!$B$22,0))/(1-Model!$B$9)/(1+Model!$B$18)^10))</f>
        <v/>
      </c>
      <c r="Y34" s="7">
        <f>IF(A34="","",IF((A34+11)&gt;Model!$B$4,0,MAX(0,Model!$B$6-IF((A34+11)&gt;=Model!$B$11,Model!$B$20,0)-IF(11&lt;Model!$B$15,Model!$B$22,0))/(1-Model!$B$9)/(1+Model!$B$18)^11))</f>
        <v/>
      </c>
      <c r="Z34" s="7">
        <f>IF(A34="","",IF((A34+12)&gt;Model!$B$4,0,MAX(0,Model!$B$6-IF((A34+12)&gt;=Model!$B$11,Model!$B$20,0)-IF(12&lt;Model!$B$15,Model!$B$22,0))/(1-Model!$B$9)/(1+Model!$B$18)^12))</f>
        <v/>
      </c>
      <c r="AA34" s="7">
        <f>IF(A34="","",IF((A34+13)&gt;Model!$B$4,0,MAX(0,Model!$B$6-IF((A34+13)&gt;=Model!$B$11,Model!$B$20,0)-IF(13&lt;Model!$B$15,Model!$B$22,0))/(1-Model!$B$9)/(1+Model!$B$18)^13))</f>
        <v/>
      </c>
      <c r="AB34" s="7">
        <f>IF(A34="","",IF((A34+14)&gt;Model!$B$4,0,MAX(0,Model!$B$6-IF((A34+14)&gt;=Model!$B$11,Model!$B$20,0)-IF(14&lt;Model!$B$15,Model!$B$22,0))/(1-Model!$B$9)/(1+Model!$B$18)^14))</f>
        <v/>
      </c>
      <c r="AC34" s="7">
        <f>IF(A34="","",IF((A34+15)&gt;Model!$B$4,0,MAX(0,Model!$B$6-IF((A34+15)&gt;=Model!$B$11,Model!$B$20,0)-IF(15&lt;Model!$B$15,Model!$B$22,0))/(1-Model!$B$9)/(1+Model!$B$18)^15))</f>
        <v/>
      </c>
      <c r="AD34" s="7">
        <f>IF(A34="","",IF((A34+16)&gt;Model!$B$4,0,MAX(0,Model!$B$6-IF((A34+16)&gt;=Model!$B$11,Model!$B$20,0)-IF(16&lt;Model!$B$15,Model!$B$22,0))/(1-Model!$B$9)/(1+Model!$B$18)^16))</f>
        <v/>
      </c>
      <c r="AE34" s="7">
        <f>IF(A34="","",IF((A34+17)&gt;Model!$B$4,0,MAX(0,Model!$B$6-IF((A34+17)&gt;=Model!$B$11,Model!$B$20,0)-IF(17&lt;Model!$B$15,Model!$B$22,0))/(1-Model!$B$9)/(1+Model!$B$18)^17))</f>
        <v/>
      </c>
      <c r="AF34" s="7">
        <f>IF(A34="","",IF((A34+18)&gt;Model!$B$4,0,MAX(0,Model!$B$6-IF((A34+18)&gt;=Model!$B$11,Model!$B$20,0)-IF(18&lt;Model!$B$15,Model!$B$22,0))/(1-Model!$B$9)/(1+Model!$B$18)^18))</f>
        <v/>
      </c>
      <c r="AG34" s="7">
        <f>IF(A34="","",IF((A34+19)&gt;Model!$B$4,0,MAX(0,Model!$B$6-IF((A34+19)&gt;=Model!$B$11,Model!$B$20,0)-IF(19&lt;Model!$B$15,Model!$B$22,0))/(1-Model!$B$9)/(1+Model!$B$18)^19))</f>
        <v/>
      </c>
      <c r="AH34" s="7">
        <f>IF(A34="","",IF((A34+20)&gt;Model!$B$4,0,MAX(0,Model!$B$6-IF((A34+20)&gt;=Model!$B$11,Model!$B$20,0)-IF(20&lt;Model!$B$15,Model!$B$22,0))/(1-Model!$B$9)/(1+Model!$B$18)^20))</f>
        <v/>
      </c>
      <c r="AI34" s="7">
        <f>IF(A34="","",IF((A34+21)&gt;Model!$B$4,0,MAX(0,Model!$B$6-IF((A34+21)&gt;=Model!$B$11,Model!$B$20,0)-IF(21&lt;Model!$B$15,Model!$B$22,0))/(1-Model!$B$9)/(1+Model!$B$18)^21))</f>
        <v/>
      </c>
      <c r="AJ34" s="7">
        <f>IF(A34="","",IF((A34+22)&gt;Model!$B$4,0,MAX(0,Model!$B$6-IF((A34+22)&gt;=Model!$B$11,Model!$B$20,0)-IF(22&lt;Model!$B$15,Model!$B$22,0))/(1-Model!$B$9)/(1+Model!$B$18)^22))</f>
        <v/>
      </c>
      <c r="AK34" s="7">
        <f>IF(A34="","",IF((A34+23)&gt;Model!$B$4,0,MAX(0,Model!$B$6-IF((A34+23)&gt;=Model!$B$11,Model!$B$20,0)-IF(23&lt;Model!$B$15,Model!$B$22,0))/(1-Model!$B$9)/(1+Model!$B$18)^23))</f>
        <v/>
      </c>
      <c r="AL34" s="7">
        <f>IF(A34="","",IF((A34+24)&gt;Model!$B$4,0,MAX(0,Model!$B$6-IF((A34+24)&gt;=Model!$B$11,Model!$B$20,0)-IF(24&lt;Model!$B$15,Model!$B$22,0))/(1-Model!$B$9)/(1+Model!$B$18)^24))</f>
        <v/>
      </c>
      <c r="AM34" s="7">
        <f>IF(A34="","",IF((A34+25)&gt;Model!$B$4,0,MAX(0,Model!$B$6-IF((A34+25)&gt;=Model!$B$11,Model!$B$20,0)-IF(25&lt;Model!$B$15,Model!$B$22,0))/(1-Model!$B$9)/(1+Model!$B$18)^25))</f>
        <v/>
      </c>
      <c r="AN34" s="7">
        <f>IF(A34="","",IF((A34+26)&gt;Model!$B$4,0,MAX(0,Model!$B$6-IF((A34+26)&gt;=Model!$B$11,Model!$B$20,0)-IF(26&lt;Model!$B$15,Model!$B$22,0))/(1-Model!$B$9)/(1+Model!$B$18)^26))</f>
        <v/>
      </c>
      <c r="AO34" s="7">
        <f>IF(A34="","",IF((A34+27)&gt;Model!$B$4,0,MAX(0,Model!$B$6-IF((A34+27)&gt;=Model!$B$11,Model!$B$20,0)-IF(27&lt;Model!$B$15,Model!$B$22,0))/(1-Model!$B$9)/(1+Model!$B$18)^27))</f>
        <v/>
      </c>
      <c r="AP34" s="7">
        <f>IF(A34="","",IF((A34+28)&gt;Model!$B$4,0,MAX(0,Model!$B$6-IF((A34+28)&gt;=Model!$B$11,Model!$B$20,0)-IF(28&lt;Model!$B$15,Model!$B$22,0))/(1-Model!$B$9)/(1+Model!$B$18)^28))</f>
        <v/>
      </c>
      <c r="AQ34" s="7">
        <f>IF(A34="","",IF((A34+29)&gt;Model!$B$4,0,MAX(0,Model!$B$6-IF((A34+29)&gt;=Model!$B$11,Model!$B$20,0)-IF(29&lt;Model!$B$15,Model!$B$22,0))/(1-Model!$B$9)/(1+Model!$B$18)^29))</f>
        <v/>
      </c>
      <c r="AR34" s="7">
        <f>IF(A34="","",IF((A34+30)&gt;Model!$B$4,0,MAX(0,Model!$B$6-IF((A34+30)&gt;=Model!$B$11,Model!$B$20,0)-IF(30&lt;Model!$B$15,Model!$B$22,0))/(1-Model!$B$9)/(1+Model!$B$18)^30))</f>
        <v/>
      </c>
      <c r="AS34" s="7">
        <f>IF(A34="","",IF((A34+31)&gt;Model!$B$4,0,MAX(0,Model!$B$6-IF((A34+31)&gt;=Model!$B$11,Model!$B$20,0)-IF(31&lt;Model!$B$15,Model!$B$22,0))/(1-Model!$B$9)/(1+Model!$B$18)^31))</f>
        <v/>
      </c>
      <c r="AT34" s="7">
        <f>IF(A34="","",IF((A34+32)&gt;Model!$B$4,0,MAX(0,Model!$B$6-IF((A34+32)&gt;=Model!$B$11,Model!$B$20,0)-IF(32&lt;Model!$B$15,Model!$B$22,0))/(1-Model!$B$9)/(1+Model!$B$18)^32))</f>
        <v/>
      </c>
      <c r="AU34" s="7">
        <f>IF(A34="","",IF((A34+33)&gt;Model!$B$4,0,MAX(0,Model!$B$6-IF((A34+33)&gt;=Model!$B$11,Model!$B$20,0)-IF(33&lt;Model!$B$15,Model!$B$22,0))/(1-Model!$B$9)/(1+Model!$B$18)^33))</f>
        <v/>
      </c>
      <c r="AV34" s="7">
        <f>IF(A34="","",IF((A34+34)&gt;Model!$B$4,0,MAX(0,Model!$B$6-IF((A34+34)&gt;=Model!$B$11,Model!$B$20,0)-IF(34&lt;Model!$B$15,Model!$B$22,0))/(1-Model!$B$9)/(1+Model!$B$18)^34))</f>
        <v/>
      </c>
      <c r="AW34" s="7">
        <f>IF(A34="","",IF((A34+35)&gt;Model!$B$4,0,MAX(0,Model!$B$6-IF((A34+35)&gt;=Model!$B$11,Model!$B$20,0)-IF(35&lt;Model!$B$15,Model!$B$22,0))/(1-Model!$B$9)/(1+Model!$B$18)^35))</f>
        <v/>
      </c>
      <c r="AX34" s="7">
        <f>IF(A34="","",IF((A34+36)&gt;Model!$B$4,0,MAX(0,Model!$B$6-IF((A34+36)&gt;=Model!$B$11,Model!$B$20,0)-IF(36&lt;Model!$B$15,Model!$B$22,0))/(1-Model!$B$9)/(1+Model!$B$18)^36))</f>
        <v/>
      </c>
      <c r="AY34" s="7">
        <f>IF(A34="","",IF((A34+37)&gt;Model!$B$4,0,MAX(0,Model!$B$6-IF((A34+37)&gt;=Model!$B$11,Model!$B$20,0)-IF(37&lt;Model!$B$15,Model!$B$22,0))/(1-Model!$B$9)/(1+Model!$B$18)^37))</f>
        <v/>
      </c>
      <c r="AZ34" s="7">
        <f>IF(A34="","",IF((A34+38)&gt;Model!$B$4,0,MAX(0,Model!$B$6-IF((A34+38)&gt;=Model!$B$11,Model!$B$20,0)-IF(38&lt;Model!$B$15,Model!$B$22,0))/(1-Model!$B$9)/(1+Model!$B$18)^38))</f>
        <v/>
      </c>
      <c r="BA34" s="7">
        <f>IF(A34="","",IF((A34+39)&gt;Model!$B$4,0,MAX(0,Model!$B$6-IF((A34+39)&gt;=Model!$B$11,Model!$B$20,0)-IF(39&lt;Model!$B$15,Model!$B$22,0))/(1-Model!$B$9)/(1+Model!$B$18)^39))</f>
        <v/>
      </c>
      <c r="BB34" s="7">
        <f>IF(A34="","",IF((A34+40)&gt;Model!$B$4,0,MAX(0,Model!$B$6-IF((A34+40)&gt;=Model!$B$11,Model!$B$20,0)-IF(40&lt;Model!$B$15,Model!$B$22,0))/(1-Model!$B$9)/(1+Model!$B$18)^40))</f>
        <v/>
      </c>
      <c r="BC34" s="7">
        <f>IF(A34="","",IF((A34+41)&gt;Model!$B$4,0,MAX(0,Model!$B$6-IF((A34+41)&gt;=Model!$B$11,Model!$B$20,0)-IF(41&lt;Model!$B$15,Model!$B$22,0))/(1-Model!$B$9)/(1+Model!$B$18)^41))</f>
        <v/>
      </c>
      <c r="BD34" s="7">
        <f>IF(A34="","",IF((A34+42)&gt;Model!$B$4,0,MAX(0,Model!$B$6-IF((A34+42)&gt;=Model!$B$11,Model!$B$20,0)-IF(42&lt;Model!$B$15,Model!$B$22,0))/(1-Model!$B$9)/(1+Model!$B$18)^42))</f>
        <v/>
      </c>
      <c r="BE34" s="7">
        <f>IF(A34="","",IF((A34+43)&gt;Model!$B$4,0,MAX(0,Model!$B$6-IF((A34+43)&gt;=Model!$B$11,Model!$B$20,0)-IF(43&lt;Model!$B$15,Model!$B$22,0))/(1-Model!$B$9)/(1+Model!$B$18)^43))</f>
        <v/>
      </c>
      <c r="BF34" s="7">
        <f>IF(A34="","",IF((A34+44)&gt;Model!$B$4,0,MAX(0,Model!$B$6-IF((A34+44)&gt;=Model!$B$11,Model!$B$20,0)-IF(44&lt;Model!$B$15,Model!$B$22,0))/(1-Model!$B$9)/(1+Model!$B$18)^44))</f>
        <v/>
      </c>
      <c r="BG34" s="7">
        <f>IF(A34="","",IF((A34+45)&gt;Model!$B$4,0,MAX(0,Model!$B$6-IF((A34+45)&gt;=Model!$B$11,Model!$B$20,0)-IF(45&lt;Model!$B$15,Model!$B$22,0))/(1-Model!$B$9)/(1+Model!$B$18)^45))</f>
        <v/>
      </c>
      <c r="BH34" s="7">
        <f>IF(A34="","",IF((A34+46)&gt;Model!$B$4,0,MAX(0,Model!$B$6-IF((A34+46)&gt;=Model!$B$11,Model!$B$20,0)-IF(46&lt;Model!$B$15,Model!$B$22,0))/(1-Model!$B$9)/(1+Model!$B$18)^46))</f>
        <v/>
      </c>
      <c r="BI34" s="7">
        <f>IF(A34="","",IF((A34+47)&gt;Model!$B$4,0,MAX(0,Model!$B$6-IF((A34+47)&gt;=Model!$B$11,Model!$B$20,0)-IF(47&lt;Model!$B$15,Model!$B$22,0))/(1-Model!$B$9)/(1+Model!$B$18)^47))</f>
        <v/>
      </c>
      <c r="BJ34" s="7">
        <f>IF(A34="","",IF((A34+48)&gt;Model!$B$4,0,MAX(0,Model!$B$6-IF((A34+48)&gt;=Model!$B$11,Model!$B$20,0)-IF(48&lt;Model!$B$15,Model!$B$22,0))/(1-Model!$B$9)/(1+Model!$B$18)^48))</f>
        <v/>
      </c>
      <c r="BK34" s="7">
        <f>IF(A34="","",IF((A34+49)&gt;Model!$B$4,0,MAX(0,Model!$B$6-IF((A34+49)&gt;=Model!$B$11,Model!$B$20,0)-IF(49&lt;Model!$B$15,Model!$B$22,0))/(1-Model!$B$9)/(1+Model!$B$18)^49))</f>
        <v/>
      </c>
      <c r="BL34" s="7">
        <f>IF(A34="","",IF((A34+50)&gt;Model!$B$4,0,MAX(0,Model!$B$6-IF((A34+50)&gt;=Model!$B$11,Model!$B$20,0)-IF(50&lt;Model!$B$15,Model!$B$22,0))/(1-Model!$B$9)/(1+Model!$B$18)^50))</f>
        <v/>
      </c>
      <c r="BM34" s="7">
        <f>IF(A34="","",IF((A34+51)&gt;Model!$B$4,0,MAX(0,Model!$B$6-IF((A34+51)&gt;=Model!$B$11,Model!$B$20,0)-IF(51&lt;Model!$B$15,Model!$B$22,0))/(1-Model!$B$9)/(1+Model!$B$18)^51))</f>
        <v/>
      </c>
      <c r="BN34" s="7">
        <f>IF(A34="","",IF((A34+52)&gt;Model!$B$4,0,MAX(0,Model!$B$6-IF((A34+52)&gt;=Model!$B$11,Model!$B$20,0)-IF(52&lt;Model!$B$15,Model!$B$22,0))/(1-Model!$B$9)/(1+Model!$B$18)^52))</f>
        <v/>
      </c>
      <c r="BO34" s="7">
        <f>IF(A34="","",IF((A34+53)&gt;Model!$B$4,0,MAX(0,Model!$B$6-IF((A34+53)&gt;=Model!$B$11,Model!$B$20,0)-IF(53&lt;Model!$B$15,Model!$B$22,0))/(1-Model!$B$9)/(1+Model!$B$18)^53))</f>
        <v/>
      </c>
      <c r="BP34" s="7">
        <f>IF(A34="","",IF((A34+54)&gt;Model!$B$4,0,MAX(0,Model!$B$6-IF((A34+54)&gt;=Model!$B$11,Model!$B$20,0)-IF(54&lt;Model!$B$15,Model!$B$22,0))/(1-Model!$B$9)/(1+Model!$B$18)^54))</f>
        <v/>
      </c>
      <c r="BQ34" s="7">
        <f>IF(A34="","",IF((A34+55)&gt;Model!$B$4,0,MAX(0,Model!$B$6-IF((A34+55)&gt;=Model!$B$11,Model!$B$20,0)-IF(55&lt;Model!$B$15,Model!$B$22,0))/(1-Model!$B$9)/(1+Model!$B$18)^55))</f>
        <v/>
      </c>
      <c r="BR34" s="7">
        <f>IF(A34="","",IF((A34+56)&gt;Model!$B$4,0,MAX(0,Model!$B$6-IF((A34+56)&gt;=Model!$B$11,Model!$B$20,0)-IF(56&lt;Model!$B$15,Model!$B$22,0))/(1-Model!$B$9)/(1+Model!$B$18)^56))</f>
        <v/>
      </c>
      <c r="BS34" s="7">
        <f>IF(A34="","",IF((A34+57)&gt;Model!$B$4,0,MAX(0,Model!$B$6-IF((A34+57)&gt;=Model!$B$11,Model!$B$20,0)-IF(57&lt;Model!$B$15,Model!$B$22,0))/(1-Model!$B$9)/(1+Model!$B$18)^57))</f>
        <v/>
      </c>
      <c r="BT34" s="7">
        <f>IF(A34="","",IF((A34+58)&gt;Model!$B$4,0,MAX(0,Model!$B$6-IF((A34+58)&gt;=Model!$B$11,Model!$B$20,0)-IF(58&lt;Model!$B$15,Model!$B$22,0))/(1-Model!$B$9)/(1+Model!$B$18)^58))</f>
        <v/>
      </c>
      <c r="BU34" s="7">
        <f>IF(A34="","",IF((A34+59)&gt;Model!$B$4,0,MAX(0,Model!$B$6-IF((A34+59)&gt;=Model!$B$11,Model!$B$20,0)-IF(59&lt;Model!$B$15,Model!$B$22,0))/(1-Model!$B$9)/(1+Model!$B$18)^59))</f>
        <v/>
      </c>
      <c r="BV34" s="7">
        <f>IF(A34="","",IF((A34+60)&gt;Model!$B$4,0,MAX(0,Model!$B$6-IF((A34+60)&gt;=Model!$B$11,Model!$B$20,0)-IF(60&lt;Model!$B$15,Model!$B$22,0))/(1-Model!$B$9)/(1+Model!$B$18)^60))</f>
        <v/>
      </c>
      <c r="BW34" s="7">
        <f>IF(A34="","",IF((A34+61)&gt;Model!$B$4,0,MAX(0,Model!$B$6-IF((A34+61)&gt;=Model!$B$11,Model!$B$20,0)-IF(61&lt;Model!$B$15,Model!$B$22,0))/(1-Model!$B$9)/(1+Model!$B$18)^61))</f>
        <v/>
      </c>
      <c r="BX34" s="7">
        <f>IF(A34="","",IF((A34+62)&gt;Model!$B$4,0,MAX(0,Model!$B$6-IF((A34+62)&gt;=Model!$B$11,Model!$B$20,0)-IF(62&lt;Model!$B$15,Model!$B$22,0))/(1-Model!$B$9)/(1+Model!$B$18)^62))</f>
        <v/>
      </c>
      <c r="BY34" s="7">
        <f>IF(A34="","",IF((A34+63)&gt;Model!$B$4,0,MAX(0,Model!$B$6-IF((A34+63)&gt;=Model!$B$11,Model!$B$20,0)-IF(63&lt;Model!$B$15,Model!$B$22,0))/(1-Model!$B$9)/(1+Model!$B$18)^63))</f>
        <v/>
      </c>
      <c r="BZ34" s="7">
        <f>IF(A34="","",IF((A34+64)&gt;Model!$B$4,0,MAX(0,Model!$B$6-IF((A34+64)&gt;=Model!$B$11,Model!$B$20,0)-IF(64&lt;Model!$B$15,Model!$B$22,0))/(1-Model!$B$9)/(1+Model!$B$18)^64))</f>
        <v/>
      </c>
      <c r="CA34" s="7">
        <f>IF(A34="","",IF((A34+65)&gt;Model!$B$4,0,MAX(0,Model!$B$6-IF((A34+65)&gt;=Model!$B$11,Model!$B$20,0)-IF(65&lt;Model!$B$15,Model!$B$22,0))/(1-Model!$B$9)/(1+Model!$B$18)^65))</f>
        <v/>
      </c>
      <c r="CB34" s="7">
        <f>IF(A34="","",IF((A34+66)&gt;Model!$B$4,0,MAX(0,Model!$B$6-IF((A34+66)&gt;=Model!$B$11,Model!$B$20,0)-IF(66&lt;Model!$B$15,Model!$B$22,0))/(1-Model!$B$9)/(1+Model!$B$18)^66))</f>
        <v/>
      </c>
      <c r="CC34" s="7">
        <f>IF(A34="","",IF((A34+67)&gt;Model!$B$4,0,MAX(0,Model!$B$6-IF((A34+67)&gt;=Model!$B$11,Model!$B$20,0)-IF(67&lt;Model!$B$15,Model!$B$22,0))/(1-Model!$B$9)/(1+Model!$B$18)^67))</f>
        <v/>
      </c>
      <c r="CD34" s="7">
        <f>IF(A34="","",IF((A34+68)&gt;Model!$B$4,0,MAX(0,Model!$B$6-IF((A34+68)&gt;=Model!$B$11,Model!$B$20,0)-IF(68&lt;Model!$B$15,Model!$B$22,0))/(1-Model!$B$9)/(1+Model!$B$18)^68))</f>
        <v/>
      </c>
      <c r="CE34" s="7">
        <f>IF(A34="","",IF((A34+69)&gt;Model!$B$4,0,MAX(0,Model!$B$6-IF((A34+69)&gt;=Model!$B$11,Model!$B$20,0)-IF(69&lt;Model!$B$15,Model!$B$22,0))/(1-Model!$B$9)/(1+Model!$B$18)^69))</f>
        <v/>
      </c>
      <c r="CF34" s="7">
        <f>IF(A34="","",IF((A34+70)&gt;Model!$B$4,0,MAX(0,Model!$B$6-IF((A34+70)&gt;=Model!$B$11,Model!$B$20,0)-IF(70&lt;Model!$B$15,Model!$B$22,0))/(1-Model!$B$9)/(1+Model!$B$18)^70))</f>
        <v/>
      </c>
      <c r="CG34" s="7">
        <f>IF(A34="","",IF((A34+71)&gt;Model!$B$4,0,MAX(0,Model!$B$6-IF((A34+71)&gt;=Model!$B$11,Model!$B$20,0)-IF(71&lt;Model!$B$15,Model!$B$22,0))/(1-Model!$B$9)/(1+Model!$B$18)^71))</f>
        <v/>
      </c>
      <c r="CH34" s="7">
        <f>IF(A34="","",IF((A34+72)&gt;Model!$B$4,0,MAX(0,Model!$B$6-IF((A34+72)&gt;=Model!$B$11,Model!$B$20,0)-IF(72&lt;Model!$B$15,Model!$B$22,0))/(1-Model!$B$9)/(1+Model!$B$18)^72))</f>
        <v/>
      </c>
      <c r="CI34" s="7">
        <f>IF(A34="","",IF((A34+73)&gt;Model!$B$4,0,MAX(0,Model!$B$6-IF((A34+73)&gt;=Model!$B$11,Model!$B$20,0)-IF(73&lt;Model!$B$15,Model!$B$22,0))/(1-Model!$B$9)/(1+Model!$B$18)^73))</f>
        <v/>
      </c>
      <c r="CJ34" s="7">
        <f>IF(A34="","",IF((A34+74)&gt;Model!$B$4,0,MAX(0,Model!$B$6-IF((A34+74)&gt;=Model!$B$11,Model!$B$20,0)-IF(74&lt;Model!$B$15,Model!$B$22,0))/(1-Model!$B$9)/(1+Model!$B$18)^74))</f>
        <v/>
      </c>
      <c r="CK34" s="7">
        <f>IF(A34="","",IF((A34+75)&gt;Model!$B$4,0,MAX(0,Model!$B$6-IF((A34+75)&gt;=Model!$B$11,Model!$B$20,0)-IF(75&lt;Model!$B$15,Model!$B$22,0))/(1-Model!$B$9)/(1+Model!$B$18)^75))</f>
        <v/>
      </c>
      <c r="CL34" s="7">
        <f>IF(A34="","",IF((A34+76)&gt;Model!$B$4,0,MAX(0,Model!$B$6-IF((A34+76)&gt;=Model!$B$11,Model!$B$20,0)-IF(76&lt;Model!$B$15,Model!$B$22,0))/(1-Model!$B$9)/(1+Model!$B$18)^76))</f>
        <v/>
      </c>
      <c r="CM34" s="7">
        <f>IF(A34="","",IF((A34+77)&gt;Model!$B$4,0,MAX(0,Model!$B$6-IF((A34+77)&gt;=Model!$B$11,Model!$B$20,0)-IF(77&lt;Model!$B$15,Model!$B$22,0))/(1-Model!$B$9)/(1+Model!$B$18)^77))</f>
        <v/>
      </c>
      <c r="CN34" s="7">
        <f>IF(A34="","",IF((A34+78)&gt;Model!$B$4,0,MAX(0,Model!$B$6-IF((A34+78)&gt;=Model!$B$11,Model!$B$20,0)-IF(78&lt;Model!$B$15,Model!$B$22,0))/(1-Model!$B$9)/(1+Model!$B$18)^78))</f>
        <v/>
      </c>
      <c r="CO34" s="7">
        <f>IF(A34="","",IF((A34+79)&gt;Model!$B$4,0,MAX(0,Model!$B$6-IF((A34+79)&gt;=Model!$B$11,Model!$B$20,0)-IF(79&lt;Model!$B$15,Model!$B$22,0))/(1-Model!$B$9)/(1+Model!$B$18)^79))</f>
        <v/>
      </c>
      <c r="CP34" s="7">
        <f>IF(A34="","",IF((A34+80)&gt;Model!$B$4,0,MAX(0,Model!$B$6-IF((A34+80)&gt;=Model!$B$11,Model!$B$20,0)-IF(80&lt;Model!$B$15,Model!$B$22,0))/(1-Model!$B$9)/(1+Model!$B$18)^80))</f>
        <v/>
      </c>
      <c r="CQ34" s="7">
        <f>IF(A34="","",IF((A34+81)&gt;Model!$B$4,0,MAX(0,Model!$B$6-IF((A34+81)&gt;=Model!$B$11,Model!$B$20,0)-IF(81&lt;Model!$B$15,Model!$B$22,0))/(1-Model!$B$9)/(1+Model!$B$18)^81))</f>
        <v/>
      </c>
      <c r="CR34" s="7">
        <f>IF(A34="","",IF((A34+82)&gt;Model!$B$4,0,MAX(0,Model!$B$6-IF((A34+82)&gt;=Model!$B$11,Model!$B$20,0)-IF(82&lt;Model!$B$15,Model!$B$22,0))/(1-Model!$B$9)/(1+Model!$B$18)^82))</f>
        <v/>
      </c>
      <c r="CS34" s="7">
        <f>IF(A34="","",IF((A34+83)&gt;Model!$B$4,0,MAX(0,Model!$B$6-IF((A34+83)&gt;=Model!$B$11,Model!$B$20,0)-IF(83&lt;Model!$B$15,Model!$B$22,0))/(1-Model!$B$9)/(1+Model!$B$18)^83))</f>
        <v/>
      </c>
      <c r="CT34" s="7">
        <f>IF(A34="","",IF((A34+84)&gt;Model!$B$4,0,MAX(0,Model!$B$6-IF((A34+84)&gt;=Model!$B$11,Model!$B$20,0)-IF(84&lt;Model!$B$15,Model!$B$22,0))/(1-Model!$B$9)/(1+Model!$B$18)^84))</f>
        <v/>
      </c>
      <c r="CU34" s="7">
        <f>IF(A34="","",IF((A34+85)&gt;Model!$B$4,0,MAX(0,Model!$B$6-IF((A34+85)&gt;=Model!$B$11,Model!$B$20,0)-IF(85&lt;Model!$B$15,Model!$B$22,0))/(1-Model!$B$9)/(1+Model!$B$18)^85))</f>
        <v/>
      </c>
      <c r="CV34" s="7">
        <f>IF(A34="","",IF((A34+86)&gt;Model!$B$4,0,MAX(0,Model!$B$6-IF((A34+86)&gt;=Model!$B$11,Model!$B$20,0)-IF(86&lt;Model!$B$15,Model!$B$22,0))/(1-Model!$B$9)/(1+Model!$B$18)^86))</f>
        <v/>
      </c>
      <c r="CW34" s="7">
        <f>IF(A34="","",IF((A34+87)&gt;Model!$B$4,0,MAX(0,Model!$B$6-IF((A34+87)&gt;=Model!$B$11,Model!$B$20,0)-IF(87&lt;Model!$B$15,Model!$B$22,0))/(1-Model!$B$9)/(1+Model!$B$18)^87))</f>
        <v/>
      </c>
      <c r="CX34" s="7">
        <f>IF(A34="","",IF((A34+88)&gt;Model!$B$4,0,MAX(0,Model!$B$6-IF((A34+88)&gt;=Model!$B$11,Model!$B$20,0)-IF(88&lt;Model!$B$15,Model!$B$22,0))/(1-Model!$B$9)/(1+Model!$B$18)^88))</f>
        <v/>
      </c>
      <c r="CY34" s="7">
        <f>IF(A34="","",IF((A34+89)&gt;Model!$B$4,0,MAX(0,Model!$B$6-IF((A34+89)&gt;=Model!$B$11,Model!$B$20,0)-IF(89&lt;Model!$B$15,Model!$B$22,0))/(1-Model!$B$9)/(1+Model!$B$18)^89))</f>
        <v/>
      </c>
      <c r="CZ34" s="7">
        <f>IF(A34="","",IF((A34+90)&gt;Model!$B$4,0,MAX(0,Model!$B$6-IF((A34+90)&gt;=Model!$B$11,Model!$B$20,0)-IF(90&lt;Model!$B$15,Model!$B$22,0))/(1-Model!$B$9)/(1+Model!$B$18)^90))</f>
        <v/>
      </c>
      <c r="DA34" s="7">
        <f>IF(A34="","",IF((A34+91)&gt;Model!$B$4,0,MAX(0,Model!$B$6-IF((A34+91)&gt;=Model!$B$11,Model!$B$20,0)-IF(91&lt;Model!$B$15,Model!$B$22,0))/(1-Model!$B$9)/(1+Model!$B$18)^91))</f>
        <v/>
      </c>
      <c r="DB34" s="7">
        <f>IF(A34="","",IF((A34+92)&gt;Model!$B$4,0,MAX(0,Model!$B$6-IF((A34+92)&gt;=Model!$B$11,Model!$B$20,0)-IF(92&lt;Model!$B$15,Model!$B$22,0))/(1-Model!$B$9)/(1+Model!$B$18)^92))</f>
        <v/>
      </c>
      <c r="DC34" s="7">
        <f>IF(A34="","",IF((A34+93)&gt;Model!$B$4,0,MAX(0,Model!$B$6-IF((A34+93)&gt;=Model!$B$11,Model!$B$20,0)-IF(93&lt;Model!$B$15,Model!$B$22,0))/(1-Model!$B$9)/(1+Model!$B$18)^93))</f>
        <v/>
      </c>
      <c r="DD34" s="7">
        <f>IF(A34="","",IF((A34+94)&gt;Model!$B$4,0,MAX(0,Model!$B$6-IF((A34+94)&gt;=Model!$B$11,Model!$B$20,0)-IF(94&lt;Model!$B$15,Model!$B$22,0))/(1-Model!$B$9)/(1+Model!$B$18)^94))</f>
        <v/>
      </c>
      <c r="DE34" s="7">
        <f>IF(A34="","",IF((A34+95)&gt;Model!$B$4,0,MAX(0,Model!$B$6-IF((A34+95)&gt;=Model!$B$11,Model!$B$20,0)-IF(95&lt;Model!$B$15,Model!$B$22,0))/(1-Model!$B$9)/(1+Model!$B$18)^95))</f>
        <v/>
      </c>
      <c r="DF34" s="7">
        <f>IF(A34="","",IF((A34+96)&gt;Model!$B$4,0,MAX(0,Model!$B$6-IF((A34+96)&gt;=Model!$B$11,Model!$B$20,0)-IF(96&lt;Model!$B$15,Model!$B$22,0))/(1-Model!$B$9)/(1+Model!$B$18)^96))</f>
        <v/>
      </c>
      <c r="DG34" s="7">
        <f>IF(A34="","",IF((A34+97)&gt;Model!$B$4,0,MAX(0,Model!$B$6-IF((A34+97)&gt;=Model!$B$11,Model!$B$20,0)-IF(97&lt;Model!$B$15,Model!$B$22,0))/(1-Model!$B$9)/(1+Model!$B$18)^97))</f>
        <v/>
      </c>
      <c r="DH34" s="7">
        <f>IF(A34="","",IF((A34+98)&gt;Model!$B$4,0,MAX(0,Model!$B$6-IF((A34+98)&gt;=Model!$B$11,Model!$B$20,0)-IF(98&lt;Model!$B$15,Model!$B$22,0))/(1-Model!$B$9)/(1+Model!$B$18)^98))</f>
        <v/>
      </c>
      <c r="DI34" s="7">
        <f>IF(A34="","",IF((A34+99)&gt;Model!$B$4,0,MAX(0,Model!$B$6-IF((A34+99)&gt;=Model!$B$11,Model!$B$20,0)-IF(99&lt;Model!$B$15,Model!$B$22,0))/(1-Model!$B$9)/(1+Model!$B$18)^99))</f>
        <v/>
      </c>
      <c r="DJ34" s="7">
        <f>IF(A34="","",IF((A34+100)&gt;Model!$B$4,0,MAX(0,Model!$B$6-IF((A34+100)&gt;=Model!$B$11,Model!$B$20,0)-IF(100&lt;Model!$B$15,Model!$B$22,0))/(1-Model!$B$9)/(1+Model!$B$18)^100))</f>
        <v/>
      </c>
      <c r="DK34" s="7">
        <f>IF(A34="","",IF((A34+101)&gt;Model!$B$4,0,MAX(0,Model!$B$6-IF((A34+101)&gt;=Model!$B$11,Model!$B$20,0)-IF(101&lt;Model!$B$15,Model!$B$22,0))/(1-Model!$B$9)/(1+Model!$B$18)^101))</f>
        <v/>
      </c>
      <c r="DL34" s="7">
        <f>IF(A34="","",IF((A34+102)&gt;Model!$B$4,0,MAX(0,Model!$B$6-IF((A34+102)&gt;=Model!$B$11,Model!$B$20,0)-IF(102&lt;Model!$B$15,Model!$B$22,0))/(1-Model!$B$9)/(1+Model!$B$18)^102))</f>
        <v/>
      </c>
      <c r="DM34" s="7">
        <f>IF(A34="","",IF((A34+103)&gt;Model!$B$4,0,MAX(0,Model!$B$6-IF((A34+103)&gt;=Model!$B$11,Model!$B$20,0)-IF(103&lt;Model!$B$15,Model!$B$22,0))/(1-Model!$B$9)/(1+Model!$B$18)^103))</f>
        <v/>
      </c>
      <c r="DN34" s="7">
        <f>IF(A34="","",IF((A34+104)&gt;Model!$B$4,0,MAX(0,Model!$B$6-IF((A34+104)&gt;=Model!$B$11,Model!$B$20,0)-IF(104&lt;Model!$B$15,Model!$B$22,0))/(1-Model!$B$9)/(1+Model!$B$18)^104))</f>
        <v/>
      </c>
      <c r="DO34" s="7">
        <f>IF(A34="","",IF((A34+105)&gt;Model!$B$4,0,MAX(0,Model!$B$6-IF((A34+105)&gt;=Model!$B$11,Model!$B$20,0)-IF(105&lt;Model!$B$15,Model!$B$22,0))/(1-Model!$B$9)/(1+Model!$B$18)^105))</f>
        <v/>
      </c>
      <c r="DP34" s="7">
        <f>IF(A34="","",IF((A34+106)&gt;Model!$B$4,0,MAX(0,Model!$B$6-IF((A34+106)&gt;=Model!$B$11,Model!$B$20,0)-IF(106&lt;Model!$B$15,Model!$B$22,0))/(1-Model!$B$9)/(1+Model!$B$18)^106))</f>
        <v/>
      </c>
      <c r="DQ34" s="7">
        <f>IF(A34="","",IF((A34+107)&gt;Model!$B$4,0,MAX(0,Model!$B$6-IF((A34+107)&gt;=Model!$B$11,Model!$B$20,0)-IF(107&lt;Model!$B$15,Model!$B$22,0))/(1-Model!$B$9)/(1+Model!$B$18)^107))</f>
        <v/>
      </c>
      <c r="DR34" s="7">
        <f>IF(A34="","",IF((A34+108)&gt;Model!$B$4,0,MAX(0,Model!$B$6-IF((A34+108)&gt;=Model!$B$11,Model!$B$20,0)-IF(108&lt;Model!$B$15,Model!$B$22,0))/(1-Model!$B$9)/(1+Model!$B$18)^108))</f>
        <v/>
      </c>
      <c r="DS34" s="7">
        <f>IF(A34="","",IF((A34+109)&gt;Model!$B$4,0,MAX(0,Model!$B$6-IF((A34+109)&gt;=Model!$B$11,Model!$B$20,0)-IF(109&lt;Model!$B$15,Model!$B$22,0))/(1-Model!$B$9)/(1+Model!$B$18)^109))</f>
        <v/>
      </c>
      <c r="DT34" s="7">
        <f>IF(A34="","",IF((A34+110)&gt;Model!$B$4,0,MAX(0,Model!$B$6-IF((A34+110)&gt;=Model!$B$11,Model!$B$20,0)-IF(110&lt;Model!$B$15,Model!$B$22,0))/(1-Model!$B$9)/(1+Model!$B$18)^110))</f>
        <v/>
      </c>
      <c r="DU34" s="7">
        <f>IF(A34="","",IF((A34+111)&gt;Model!$B$4,0,MAX(0,Model!$B$6-IF((A34+111)&gt;=Model!$B$11,Model!$B$20,0)-IF(111&lt;Model!$B$15,Model!$B$22,0))/(1-Model!$B$9)/(1+Model!$B$18)^111))</f>
        <v/>
      </c>
      <c r="DV34" s="7">
        <f>IF(A34="","",IF((A34+112)&gt;Model!$B$4,0,MAX(0,Model!$B$6-IF((A34+112)&gt;=Model!$B$11,Model!$B$20,0)-IF(112&lt;Model!$B$15,Model!$B$22,0))/(1-Model!$B$9)/(1+Model!$B$18)^112))</f>
        <v/>
      </c>
      <c r="DW34" s="7">
        <f>IF(A34="","",IF((A34+113)&gt;Model!$B$4,0,MAX(0,Model!$B$6-IF((A34+113)&gt;=Model!$B$11,Model!$B$20,0)-IF(113&lt;Model!$B$15,Model!$B$22,0))/(1-Model!$B$9)/(1+Model!$B$18)^113))</f>
        <v/>
      </c>
      <c r="DX34" s="7">
        <f>IF(A34="","",IF((A34+114)&gt;Model!$B$4,0,MAX(0,Model!$B$6-IF((A34+114)&gt;=Model!$B$11,Model!$B$20,0)-IF(114&lt;Model!$B$15,Model!$B$22,0))/(1-Model!$B$9)/(1+Model!$B$18)^114))</f>
        <v/>
      </c>
      <c r="DY34" s="7">
        <f>IF(A34="","",IF((A34+115)&gt;Model!$B$4,0,MAX(0,Model!$B$6-IF((A34+115)&gt;=Model!$B$11,Model!$B$20,0)-IF(115&lt;Model!$B$15,Model!$B$22,0))/(1-Model!$B$9)/(1+Model!$B$18)^115))</f>
        <v/>
      </c>
      <c r="DZ34" s="7">
        <f>IF(A34="","",IF((A34+116)&gt;Model!$B$4,0,MAX(0,Model!$B$6-IF((A34+116)&gt;=Model!$B$11,Model!$B$20,0)-IF(116&lt;Model!$B$15,Model!$B$22,0))/(1-Model!$B$9)/(1+Model!$B$18)^116))</f>
        <v/>
      </c>
      <c r="EA34" s="7">
        <f>IF(A34="","",IF((A34+117)&gt;Model!$B$4,0,MAX(0,Model!$B$6-IF((A34+117)&gt;=Model!$B$11,Model!$B$20,0)-IF(117&lt;Model!$B$15,Model!$B$22,0))/(1-Model!$B$9)/(1+Model!$B$18)^117))</f>
        <v/>
      </c>
      <c r="EB34" s="7">
        <f>IF(A34="","",IF((A34+118)&gt;Model!$B$4,0,MAX(0,Model!$B$6-IF((A34+118)&gt;=Model!$B$11,Model!$B$20,0)-IF(118&lt;Model!$B$15,Model!$B$22,0))/(1-Model!$B$9)/(1+Model!$B$18)^118))</f>
        <v/>
      </c>
      <c r="EC34" s="7">
        <f>IF(A34="","",IF((A34+119)&gt;Model!$B$4,0,MAX(0,Model!$B$6-IF((A34+119)&gt;=Model!$B$11,Model!$B$20,0)-IF(119&lt;Model!$B$15,Model!$B$22,0))/(1-Model!$B$9)/(1+Model!$B$18)^119))</f>
        <v/>
      </c>
      <c r="ED34" s="7">
        <f>IF(A34="","",IF((A34+120)&gt;Model!$B$4,0,MAX(0,Model!$B$6-IF((A34+120)&gt;=Model!$B$11,Model!$B$20,0)-IF(120&lt;Model!$B$15,Model!$B$22,0))/(1-Model!$B$9)/(1+Model!$B$18)^120))</f>
        <v/>
      </c>
    </row>
    <row r="35">
      <c r="A35">
        <f>IF(Model!$B$10+ROW()-2&lt;=Model!$B$4,Model!$B$10+ROW()-2,"")</f>
        <v/>
      </c>
      <c r="B35">
        <f>IF(A35="","",A35-Model!$B$10)</f>
        <v/>
      </c>
      <c r="C35" s="7">
        <f>IF(A35="","",Model!$B$5*(1+Model!$B$18)^B35)</f>
        <v/>
      </c>
      <c r="D35" s="7">
        <f>IF(A35="","",SUM(N35:ED35))</f>
        <v/>
      </c>
      <c r="E35" s="7">
        <f>IF(A35="","",IF(A35&gt;=Model!$B$11,Model!$B$20,0))</f>
        <v/>
      </c>
      <c r="F35" s="7">
        <f>IF(A35="","",IF(Model!$B$15&gt;0,Model!$B$22,0))</f>
        <v/>
      </c>
      <c r="G35" s="7">
        <f>IF(A35="","",E35+F35)</f>
        <v/>
      </c>
      <c r="H35" s="7">
        <f>IF(A35="","",MAX(0,Model!$B$6-G35))</f>
        <v/>
      </c>
      <c r="I35" s="7">
        <f>IF(A35="","",H35/(1-Model!$B$9))</f>
        <v/>
      </c>
      <c r="J35" s="7">
        <f>IF(A35="","",C35-D35)</f>
        <v/>
      </c>
      <c r="K35">
        <f>IF(A35="","",C35&gt;=D35)</f>
        <v/>
      </c>
      <c r="L35" s="7">
        <f>IF(A35="","",IF(A35&gt;=Model!$B$11,Model!$B$19*(1+Model!$B$13)^B35,0))</f>
        <v/>
      </c>
      <c r="M35" s="7">
        <f>IF(A35="","",IF(Model!$B$15&gt;0,Model!$B$21*(1+Model!$B$13)^B35,0))</f>
        <v/>
      </c>
      <c r="N35" s="7">
        <f>IF(A35="","",IF((A35+0)&gt;Model!$B$4,0,MAX(0,Model!$B$6-IF((A35+0)&gt;=Model!$B$11,Model!$B$20,0)-IF(0&lt;Model!$B$15,Model!$B$22,0))/(1-Model!$B$9)/(1+Model!$B$18)^0))</f>
        <v/>
      </c>
      <c r="O35" s="7">
        <f>IF(A35="","",IF((A35+1)&gt;Model!$B$4,0,MAX(0,Model!$B$6-IF((A35+1)&gt;=Model!$B$11,Model!$B$20,0)-IF(1&lt;Model!$B$15,Model!$B$22,0))/(1-Model!$B$9)/(1+Model!$B$18)^1))</f>
        <v/>
      </c>
      <c r="P35" s="7">
        <f>IF(A35="","",IF((A35+2)&gt;Model!$B$4,0,MAX(0,Model!$B$6-IF((A35+2)&gt;=Model!$B$11,Model!$B$20,0)-IF(2&lt;Model!$B$15,Model!$B$22,0))/(1-Model!$B$9)/(1+Model!$B$18)^2))</f>
        <v/>
      </c>
      <c r="Q35" s="7">
        <f>IF(A35="","",IF((A35+3)&gt;Model!$B$4,0,MAX(0,Model!$B$6-IF((A35+3)&gt;=Model!$B$11,Model!$B$20,0)-IF(3&lt;Model!$B$15,Model!$B$22,0))/(1-Model!$B$9)/(1+Model!$B$18)^3))</f>
        <v/>
      </c>
      <c r="R35" s="7">
        <f>IF(A35="","",IF((A35+4)&gt;Model!$B$4,0,MAX(0,Model!$B$6-IF((A35+4)&gt;=Model!$B$11,Model!$B$20,0)-IF(4&lt;Model!$B$15,Model!$B$22,0))/(1-Model!$B$9)/(1+Model!$B$18)^4))</f>
        <v/>
      </c>
      <c r="S35" s="7">
        <f>IF(A35="","",IF((A35+5)&gt;Model!$B$4,0,MAX(0,Model!$B$6-IF((A35+5)&gt;=Model!$B$11,Model!$B$20,0)-IF(5&lt;Model!$B$15,Model!$B$22,0))/(1-Model!$B$9)/(1+Model!$B$18)^5))</f>
        <v/>
      </c>
      <c r="T35" s="7">
        <f>IF(A35="","",IF((A35+6)&gt;Model!$B$4,0,MAX(0,Model!$B$6-IF((A35+6)&gt;=Model!$B$11,Model!$B$20,0)-IF(6&lt;Model!$B$15,Model!$B$22,0))/(1-Model!$B$9)/(1+Model!$B$18)^6))</f>
        <v/>
      </c>
      <c r="U35" s="7">
        <f>IF(A35="","",IF((A35+7)&gt;Model!$B$4,0,MAX(0,Model!$B$6-IF((A35+7)&gt;=Model!$B$11,Model!$B$20,0)-IF(7&lt;Model!$B$15,Model!$B$22,0))/(1-Model!$B$9)/(1+Model!$B$18)^7))</f>
        <v/>
      </c>
      <c r="V35" s="7">
        <f>IF(A35="","",IF((A35+8)&gt;Model!$B$4,0,MAX(0,Model!$B$6-IF((A35+8)&gt;=Model!$B$11,Model!$B$20,0)-IF(8&lt;Model!$B$15,Model!$B$22,0))/(1-Model!$B$9)/(1+Model!$B$18)^8))</f>
        <v/>
      </c>
      <c r="W35" s="7">
        <f>IF(A35="","",IF((A35+9)&gt;Model!$B$4,0,MAX(0,Model!$B$6-IF((A35+9)&gt;=Model!$B$11,Model!$B$20,0)-IF(9&lt;Model!$B$15,Model!$B$22,0))/(1-Model!$B$9)/(1+Model!$B$18)^9))</f>
        <v/>
      </c>
      <c r="X35" s="7">
        <f>IF(A35="","",IF((A35+10)&gt;Model!$B$4,0,MAX(0,Model!$B$6-IF((A35+10)&gt;=Model!$B$11,Model!$B$20,0)-IF(10&lt;Model!$B$15,Model!$B$22,0))/(1-Model!$B$9)/(1+Model!$B$18)^10))</f>
        <v/>
      </c>
      <c r="Y35" s="7">
        <f>IF(A35="","",IF((A35+11)&gt;Model!$B$4,0,MAX(0,Model!$B$6-IF((A35+11)&gt;=Model!$B$11,Model!$B$20,0)-IF(11&lt;Model!$B$15,Model!$B$22,0))/(1-Model!$B$9)/(1+Model!$B$18)^11))</f>
        <v/>
      </c>
      <c r="Z35" s="7">
        <f>IF(A35="","",IF((A35+12)&gt;Model!$B$4,0,MAX(0,Model!$B$6-IF((A35+12)&gt;=Model!$B$11,Model!$B$20,0)-IF(12&lt;Model!$B$15,Model!$B$22,0))/(1-Model!$B$9)/(1+Model!$B$18)^12))</f>
        <v/>
      </c>
      <c r="AA35" s="7">
        <f>IF(A35="","",IF((A35+13)&gt;Model!$B$4,0,MAX(0,Model!$B$6-IF((A35+13)&gt;=Model!$B$11,Model!$B$20,0)-IF(13&lt;Model!$B$15,Model!$B$22,0))/(1-Model!$B$9)/(1+Model!$B$18)^13))</f>
        <v/>
      </c>
      <c r="AB35" s="7">
        <f>IF(A35="","",IF((A35+14)&gt;Model!$B$4,0,MAX(0,Model!$B$6-IF((A35+14)&gt;=Model!$B$11,Model!$B$20,0)-IF(14&lt;Model!$B$15,Model!$B$22,0))/(1-Model!$B$9)/(1+Model!$B$18)^14))</f>
        <v/>
      </c>
      <c r="AC35" s="7">
        <f>IF(A35="","",IF((A35+15)&gt;Model!$B$4,0,MAX(0,Model!$B$6-IF((A35+15)&gt;=Model!$B$11,Model!$B$20,0)-IF(15&lt;Model!$B$15,Model!$B$22,0))/(1-Model!$B$9)/(1+Model!$B$18)^15))</f>
        <v/>
      </c>
      <c r="AD35" s="7">
        <f>IF(A35="","",IF((A35+16)&gt;Model!$B$4,0,MAX(0,Model!$B$6-IF((A35+16)&gt;=Model!$B$11,Model!$B$20,0)-IF(16&lt;Model!$B$15,Model!$B$22,0))/(1-Model!$B$9)/(1+Model!$B$18)^16))</f>
        <v/>
      </c>
      <c r="AE35" s="7">
        <f>IF(A35="","",IF((A35+17)&gt;Model!$B$4,0,MAX(0,Model!$B$6-IF((A35+17)&gt;=Model!$B$11,Model!$B$20,0)-IF(17&lt;Model!$B$15,Model!$B$22,0))/(1-Model!$B$9)/(1+Model!$B$18)^17))</f>
        <v/>
      </c>
      <c r="AF35" s="7">
        <f>IF(A35="","",IF((A35+18)&gt;Model!$B$4,0,MAX(0,Model!$B$6-IF((A35+18)&gt;=Model!$B$11,Model!$B$20,0)-IF(18&lt;Model!$B$15,Model!$B$22,0))/(1-Model!$B$9)/(1+Model!$B$18)^18))</f>
        <v/>
      </c>
      <c r="AG35" s="7">
        <f>IF(A35="","",IF((A35+19)&gt;Model!$B$4,0,MAX(0,Model!$B$6-IF((A35+19)&gt;=Model!$B$11,Model!$B$20,0)-IF(19&lt;Model!$B$15,Model!$B$22,0))/(1-Model!$B$9)/(1+Model!$B$18)^19))</f>
        <v/>
      </c>
      <c r="AH35" s="7">
        <f>IF(A35="","",IF((A35+20)&gt;Model!$B$4,0,MAX(0,Model!$B$6-IF((A35+20)&gt;=Model!$B$11,Model!$B$20,0)-IF(20&lt;Model!$B$15,Model!$B$22,0))/(1-Model!$B$9)/(1+Model!$B$18)^20))</f>
        <v/>
      </c>
      <c r="AI35" s="7">
        <f>IF(A35="","",IF((A35+21)&gt;Model!$B$4,0,MAX(0,Model!$B$6-IF((A35+21)&gt;=Model!$B$11,Model!$B$20,0)-IF(21&lt;Model!$B$15,Model!$B$22,0))/(1-Model!$B$9)/(1+Model!$B$18)^21))</f>
        <v/>
      </c>
      <c r="AJ35" s="7">
        <f>IF(A35="","",IF((A35+22)&gt;Model!$B$4,0,MAX(0,Model!$B$6-IF((A35+22)&gt;=Model!$B$11,Model!$B$20,0)-IF(22&lt;Model!$B$15,Model!$B$22,0))/(1-Model!$B$9)/(1+Model!$B$18)^22))</f>
        <v/>
      </c>
      <c r="AK35" s="7">
        <f>IF(A35="","",IF((A35+23)&gt;Model!$B$4,0,MAX(0,Model!$B$6-IF((A35+23)&gt;=Model!$B$11,Model!$B$20,0)-IF(23&lt;Model!$B$15,Model!$B$22,0))/(1-Model!$B$9)/(1+Model!$B$18)^23))</f>
        <v/>
      </c>
      <c r="AL35" s="7">
        <f>IF(A35="","",IF((A35+24)&gt;Model!$B$4,0,MAX(0,Model!$B$6-IF((A35+24)&gt;=Model!$B$11,Model!$B$20,0)-IF(24&lt;Model!$B$15,Model!$B$22,0))/(1-Model!$B$9)/(1+Model!$B$18)^24))</f>
        <v/>
      </c>
      <c r="AM35" s="7">
        <f>IF(A35="","",IF((A35+25)&gt;Model!$B$4,0,MAX(0,Model!$B$6-IF((A35+25)&gt;=Model!$B$11,Model!$B$20,0)-IF(25&lt;Model!$B$15,Model!$B$22,0))/(1-Model!$B$9)/(1+Model!$B$18)^25))</f>
        <v/>
      </c>
      <c r="AN35" s="7">
        <f>IF(A35="","",IF((A35+26)&gt;Model!$B$4,0,MAX(0,Model!$B$6-IF((A35+26)&gt;=Model!$B$11,Model!$B$20,0)-IF(26&lt;Model!$B$15,Model!$B$22,0))/(1-Model!$B$9)/(1+Model!$B$18)^26))</f>
        <v/>
      </c>
      <c r="AO35" s="7">
        <f>IF(A35="","",IF((A35+27)&gt;Model!$B$4,0,MAX(0,Model!$B$6-IF((A35+27)&gt;=Model!$B$11,Model!$B$20,0)-IF(27&lt;Model!$B$15,Model!$B$22,0))/(1-Model!$B$9)/(1+Model!$B$18)^27))</f>
        <v/>
      </c>
      <c r="AP35" s="7">
        <f>IF(A35="","",IF((A35+28)&gt;Model!$B$4,0,MAX(0,Model!$B$6-IF((A35+28)&gt;=Model!$B$11,Model!$B$20,0)-IF(28&lt;Model!$B$15,Model!$B$22,0))/(1-Model!$B$9)/(1+Model!$B$18)^28))</f>
        <v/>
      </c>
      <c r="AQ35" s="7">
        <f>IF(A35="","",IF((A35+29)&gt;Model!$B$4,0,MAX(0,Model!$B$6-IF((A35+29)&gt;=Model!$B$11,Model!$B$20,0)-IF(29&lt;Model!$B$15,Model!$B$22,0))/(1-Model!$B$9)/(1+Model!$B$18)^29))</f>
        <v/>
      </c>
      <c r="AR35" s="7">
        <f>IF(A35="","",IF((A35+30)&gt;Model!$B$4,0,MAX(0,Model!$B$6-IF((A35+30)&gt;=Model!$B$11,Model!$B$20,0)-IF(30&lt;Model!$B$15,Model!$B$22,0))/(1-Model!$B$9)/(1+Model!$B$18)^30))</f>
        <v/>
      </c>
      <c r="AS35" s="7">
        <f>IF(A35="","",IF((A35+31)&gt;Model!$B$4,0,MAX(0,Model!$B$6-IF((A35+31)&gt;=Model!$B$11,Model!$B$20,0)-IF(31&lt;Model!$B$15,Model!$B$22,0))/(1-Model!$B$9)/(1+Model!$B$18)^31))</f>
        <v/>
      </c>
      <c r="AT35" s="7">
        <f>IF(A35="","",IF((A35+32)&gt;Model!$B$4,0,MAX(0,Model!$B$6-IF((A35+32)&gt;=Model!$B$11,Model!$B$20,0)-IF(32&lt;Model!$B$15,Model!$B$22,0))/(1-Model!$B$9)/(1+Model!$B$18)^32))</f>
        <v/>
      </c>
      <c r="AU35" s="7">
        <f>IF(A35="","",IF((A35+33)&gt;Model!$B$4,0,MAX(0,Model!$B$6-IF((A35+33)&gt;=Model!$B$11,Model!$B$20,0)-IF(33&lt;Model!$B$15,Model!$B$22,0))/(1-Model!$B$9)/(1+Model!$B$18)^33))</f>
        <v/>
      </c>
      <c r="AV35" s="7">
        <f>IF(A35="","",IF((A35+34)&gt;Model!$B$4,0,MAX(0,Model!$B$6-IF((A35+34)&gt;=Model!$B$11,Model!$B$20,0)-IF(34&lt;Model!$B$15,Model!$B$22,0))/(1-Model!$B$9)/(1+Model!$B$18)^34))</f>
        <v/>
      </c>
      <c r="AW35" s="7">
        <f>IF(A35="","",IF((A35+35)&gt;Model!$B$4,0,MAX(0,Model!$B$6-IF((A35+35)&gt;=Model!$B$11,Model!$B$20,0)-IF(35&lt;Model!$B$15,Model!$B$22,0))/(1-Model!$B$9)/(1+Model!$B$18)^35))</f>
        <v/>
      </c>
      <c r="AX35" s="7">
        <f>IF(A35="","",IF((A35+36)&gt;Model!$B$4,0,MAX(0,Model!$B$6-IF((A35+36)&gt;=Model!$B$11,Model!$B$20,0)-IF(36&lt;Model!$B$15,Model!$B$22,0))/(1-Model!$B$9)/(1+Model!$B$18)^36))</f>
        <v/>
      </c>
      <c r="AY35" s="7">
        <f>IF(A35="","",IF((A35+37)&gt;Model!$B$4,0,MAX(0,Model!$B$6-IF((A35+37)&gt;=Model!$B$11,Model!$B$20,0)-IF(37&lt;Model!$B$15,Model!$B$22,0))/(1-Model!$B$9)/(1+Model!$B$18)^37))</f>
        <v/>
      </c>
      <c r="AZ35" s="7">
        <f>IF(A35="","",IF((A35+38)&gt;Model!$B$4,0,MAX(0,Model!$B$6-IF((A35+38)&gt;=Model!$B$11,Model!$B$20,0)-IF(38&lt;Model!$B$15,Model!$B$22,0))/(1-Model!$B$9)/(1+Model!$B$18)^38))</f>
        <v/>
      </c>
      <c r="BA35" s="7">
        <f>IF(A35="","",IF((A35+39)&gt;Model!$B$4,0,MAX(0,Model!$B$6-IF((A35+39)&gt;=Model!$B$11,Model!$B$20,0)-IF(39&lt;Model!$B$15,Model!$B$22,0))/(1-Model!$B$9)/(1+Model!$B$18)^39))</f>
        <v/>
      </c>
      <c r="BB35" s="7">
        <f>IF(A35="","",IF((A35+40)&gt;Model!$B$4,0,MAX(0,Model!$B$6-IF((A35+40)&gt;=Model!$B$11,Model!$B$20,0)-IF(40&lt;Model!$B$15,Model!$B$22,0))/(1-Model!$B$9)/(1+Model!$B$18)^40))</f>
        <v/>
      </c>
      <c r="BC35" s="7">
        <f>IF(A35="","",IF((A35+41)&gt;Model!$B$4,0,MAX(0,Model!$B$6-IF((A35+41)&gt;=Model!$B$11,Model!$B$20,0)-IF(41&lt;Model!$B$15,Model!$B$22,0))/(1-Model!$B$9)/(1+Model!$B$18)^41))</f>
        <v/>
      </c>
      <c r="BD35" s="7">
        <f>IF(A35="","",IF((A35+42)&gt;Model!$B$4,0,MAX(0,Model!$B$6-IF((A35+42)&gt;=Model!$B$11,Model!$B$20,0)-IF(42&lt;Model!$B$15,Model!$B$22,0))/(1-Model!$B$9)/(1+Model!$B$18)^42))</f>
        <v/>
      </c>
      <c r="BE35" s="7">
        <f>IF(A35="","",IF((A35+43)&gt;Model!$B$4,0,MAX(0,Model!$B$6-IF((A35+43)&gt;=Model!$B$11,Model!$B$20,0)-IF(43&lt;Model!$B$15,Model!$B$22,0))/(1-Model!$B$9)/(1+Model!$B$18)^43))</f>
        <v/>
      </c>
      <c r="BF35" s="7">
        <f>IF(A35="","",IF((A35+44)&gt;Model!$B$4,0,MAX(0,Model!$B$6-IF((A35+44)&gt;=Model!$B$11,Model!$B$20,0)-IF(44&lt;Model!$B$15,Model!$B$22,0))/(1-Model!$B$9)/(1+Model!$B$18)^44))</f>
        <v/>
      </c>
      <c r="BG35" s="7">
        <f>IF(A35="","",IF((A35+45)&gt;Model!$B$4,0,MAX(0,Model!$B$6-IF((A35+45)&gt;=Model!$B$11,Model!$B$20,0)-IF(45&lt;Model!$B$15,Model!$B$22,0))/(1-Model!$B$9)/(1+Model!$B$18)^45))</f>
        <v/>
      </c>
      <c r="BH35" s="7">
        <f>IF(A35="","",IF((A35+46)&gt;Model!$B$4,0,MAX(0,Model!$B$6-IF((A35+46)&gt;=Model!$B$11,Model!$B$20,0)-IF(46&lt;Model!$B$15,Model!$B$22,0))/(1-Model!$B$9)/(1+Model!$B$18)^46))</f>
        <v/>
      </c>
      <c r="BI35" s="7">
        <f>IF(A35="","",IF((A35+47)&gt;Model!$B$4,0,MAX(0,Model!$B$6-IF((A35+47)&gt;=Model!$B$11,Model!$B$20,0)-IF(47&lt;Model!$B$15,Model!$B$22,0))/(1-Model!$B$9)/(1+Model!$B$18)^47))</f>
        <v/>
      </c>
      <c r="BJ35" s="7">
        <f>IF(A35="","",IF((A35+48)&gt;Model!$B$4,0,MAX(0,Model!$B$6-IF((A35+48)&gt;=Model!$B$11,Model!$B$20,0)-IF(48&lt;Model!$B$15,Model!$B$22,0))/(1-Model!$B$9)/(1+Model!$B$18)^48))</f>
        <v/>
      </c>
      <c r="BK35" s="7">
        <f>IF(A35="","",IF((A35+49)&gt;Model!$B$4,0,MAX(0,Model!$B$6-IF((A35+49)&gt;=Model!$B$11,Model!$B$20,0)-IF(49&lt;Model!$B$15,Model!$B$22,0))/(1-Model!$B$9)/(1+Model!$B$18)^49))</f>
        <v/>
      </c>
      <c r="BL35" s="7">
        <f>IF(A35="","",IF((A35+50)&gt;Model!$B$4,0,MAX(0,Model!$B$6-IF((A35+50)&gt;=Model!$B$11,Model!$B$20,0)-IF(50&lt;Model!$B$15,Model!$B$22,0))/(1-Model!$B$9)/(1+Model!$B$18)^50))</f>
        <v/>
      </c>
      <c r="BM35" s="7">
        <f>IF(A35="","",IF((A35+51)&gt;Model!$B$4,0,MAX(0,Model!$B$6-IF((A35+51)&gt;=Model!$B$11,Model!$B$20,0)-IF(51&lt;Model!$B$15,Model!$B$22,0))/(1-Model!$B$9)/(1+Model!$B$18)^51))</f>
        <v/>
      </c>
      <c r="BN35" s="7">
        <f>IF(A35="","",IF((A35+52)&gt;Model!$B$4,0,MAX(0,Model!$B$6-IF((A35+52)&gt;=Model!$B$11,Model!$B$20,0)-IF(52&lt;Model!$B$15,Model!$B$22,0))/(1-Model!$B$9)/(1+Model!$B$18)^52))</f>
        <v/>
      </c>
      <c r="BO35" s="7">
        <f>IF(A35="","",IF((A35+53)&gt;Model!$B$4,0,MAX(0,Model!$B$6-IF((A35+53)&gt;=Model!$B$11,Model!$B$20,0)-IF(53&lt;Model!$B$15,Model!$B$22,0))/(1-Model!$B$9)/(1+Model!$B$18)^53))</f>
        <v/>
      </c>
      <c r="BP35" s="7">
        <f>IF(A35="","",IF((A35+54)&gt;Model!$B$4,0,MAX(0,Model!$B$6-IF((A35+54)&gt;=Model!$B$11,Model!$B$20,0)-IF(54&lt;Model!$B$15,Model!$B$22,0))/(1-Model!$B$9)/(1+Model!$B$18)^54))</f>
        <v/>
      </c>
      <c r="BQ35" s="7">
        <f>IF(A35="","",IF((A35+55)&gt;Model!$B$4,0,MAX(0,Model!$B$6-IF((A35+55)&gt;=Model!$B$11,Model!$B$20,0)-IF(55&lt;Model!$B$15,Model!$B$22,0))/(1-Model!$B$9)/(1+Model!$B$18)^55))</f>
        <v/>
      </c>
      <c r="BR35" s="7">
        <f>IF(A35="","",IF((A35+56)&gt;Model!$B$4,0,MAX(0,Model!$B$6-IF((A35+56)&gt;=Model!$B$11,Model!$B$20,0)-IF(56&lt;Model!$B$15,Model!$B$22,0))/(1-Model!$B$9)/(1+Model!$B$18)^56))</f>
        <v/>
      </c>
      <c r="BS35" s="7">
        <f>IF(A35="","",IF((A35+57)&gt;Model!$B$4,0,MAX(0,Model!$B$6-IF((A35+57)&gt;=Model!$B$11,Model!$B$20,0)-IF(57&lt;Model!$B$15,Model!$B$22,0))/(1-Model!$B$9)/(1+Model!$B$18)^57))</f>
        <v/>
      </c>
      <c r="BT35" s="7">
        <f>IF(A35="","",IF((A35+58)&gt;Model!$B$4,0,MAX(0,Model!$B$6-IF((A35+58)&gt;=Model!$B$11,Model!$B$20,0)-IF(58&lt;Model!$B$15,Model!$B$22,0))/(1-Model!$B$9)/(1+Model!$B$18)^58))</f>
        <v/>
      </c>
      <c r="BU35" s="7">
        <f>IF(A35="","",IF((A35+59)&gt;Model!$B$4,0,MAX(0,Model!$B$6-IF((A35+59)&gt;=Model!$B$11,Model!$B$20,0)-IF(59&lt;Model!$B$15,Model!$B$22,0))/(1-Model!$B$9)/(1+Model!$B$18)^59))</f>
        <v/>
      </c>
      <c r="BV35" s="7">
        <f>IF(A35="","",IF((A35+60)&gt;Model!$B$4,0,MAX(0,Model!$B$6-IF((A35+60)&gt;=Model!$B$11,Model!$B$20,0)-IF(60&lt;Model!$B$15,Model!$B$22,0))/(1-Model!$B$9)/(1+Model!$B$18)^60))</f>
        <v/>
      </c>
      <c r="BW35" s="7">
        <f>IF(A35="","",IF((A35+61)&gt;Model!$B$4,0,MAX(0,Model!$B$6-IF((A35+61)&gt;=Model!$B$11,Model!$B$20,0)-IF(61&lt;Model!$B$15,Model!$B$22,0))/(1-Model!$B$9)/(1+Model!$B$18)^61))</f>
        <v/>
      </c>
      <c r="BX35" s="7">
        <f>IF(A35="","",IF((A35+62)&gt;Model!$B$4,0,MAX(0,Model!$B$6-IF((A35+62)&gt;=Model!$B$11,Model!$B$20,0)-IF(62&lt;Model!$B$15,Model!$B$22,0))/(1-Model!$B$9)/(1+Model!$B$18)^62))</f>
        <v/>
      </c>
      <c r="BY35" s="7">
        <f>IF(A35="","",IF((A35+63)&gt;Model!$B$4,0,MAX(0,Model!$B$6-IF((A35+63)&gt;=Model!$B$11,Model!$B$20,0)-IF(63&lt;Model!$B$15,Model!$B$22,0))/(1-Model!$B$9)/(1+Model!$B$18)^63))</f>
        <v/>
      </c>
      <c r="BZ35" s="7">
        <f>IF(A35="","",IF((A35+64)&gt;Model!$B$4,0,MAX(0,Model!$B$6-IF((A35+64)&gt;=Model!$B$11,Model!$B$20,0)-IF(64&lt;Model!$B$15,Model!$B$22,0))/(1-Model!$B$9)/(1+Model!$B$18)^64))</f>
        <v/>
      </c>
      <c r="CA35" s="7">
        <f>IF(A35="","",IF((A35+65)&gt;Model!$B$4,0,MAX(0,Model!$B$6-IF((A35+65)&gt;=Model!$B$11,Model!$B$20,0)-IF(65&lt;Model!$B$15,Model!$B$22,0))/(1-Model!$B$9)/(1+Model!$B$18)^65))</f>
        <v/>
      </c>
      <c r="CB35" s="7">
        <f>IF(A35="","",IF((A35+66)&gt;Model!$B$4,0,MAX(0,Model!$B$6-IF((A35+66)&gt;=Model!$B$11,Model!$B$20,0)-IF(66&lt;Model!$B$15,Model!$B$22,0))/(1-Model!$B$9)/(1+Model!$B$18)^66))</f>
        <v/>
      </c>
      <c r="CC35" s="7">
        <f>IF(A35="","",IF((A35+67)&gt;Model!$B$4,0,MAX(0,Model!$B$6-IF((A35+67)&gt;=Model!$B$11,Model!$B$20,0)-IF(67&lt;Model!$B$15,Model!$B$22,0))/(1-Model!$B$9)/(1+Model!$B$18)^67))</f>
        <v/>
      </c>
      <c r="CD35" s="7">
        <f>IF(A35="","",IF((A35+68)&gt;Model!$B$4,0,MAX(0,Model!$B$6-IF((A35+68)&gt;=Model!$B$11,Model!$B$20,0)-IF(68&lt;Model!$B$15,Model!$B$22,0))/(1-Model!$B$9)/(1+Model!$B$18)^68))</f>
        <v/>
      </c>
      <c r="CE35" s="7">
        <f>IF(A35="","",IF((A35+69)&gt;Model!$B$4,0,MAX(0,Model!$B$6-IF((A35+69)&gt;=Model!$B$11,Model!$B$20,0)-IF(69&lt;Model!$B$15,Model!$B$22,0))/(1-Model!$B$9)/(1+Model!$B$18)^69))</f>
        <v/>
      </c>
      <c r="CF35" s="7">
        <f>IF(A35="","",IF((A35+70)&gt;Model!$B$4,0,MAX(0,Model!$B$6-IF((A35+70)&gt;=Model!$B$11,Model!$B$20,0)-IF(70&lt;Model!$B$15,Model!$B$22,0))/(1-Model!$B$9)/(1+Model!$B$18)^70))</f>
        <v/>
      </c>
      <c r="CG35" s="7">
        <f>IF(A35="","",IF((A35+71)&gt;Model!$B$4,0,MAX(0,Model!$B$6-IF((A35+71)&gt;=Model!$B$11,Model!$B$20,0)-IF(71&lt;Model!$B$15,Model!$B$22,0))/(1-Model!$B$9)/(1+Model!$B$18)^71))</f>
        <v/>
      </c>
      <c r="CH35" s="7">
        <f>IF(A35="","",IF((A35+72)&gt;Model!$B$4,0,MAX(0,Model!$B$6-IF((A35+72)&gt;=Model!$B$11,Model!$B$20,0)-IF(72&lt;Model!$B$15,Model!$B$22,0))/(1-Model!$B$9)/(1+Model!$B$18)^72))</f>
        <v/>
      </c>
      <c r="CI35" s="7">
        <f>IF(A35="","",IF((A35+73)&gt;Model!$B$4,0,MAX(0,Model!$B$6-IF((A35+73)&gt;=Model!$B$11,Model!$B$20,0)-IF(73&lt;Model!$B$15,Model!$B$22,0))/(1-Model!$B$9)/(1+Model!$B$18)^73))</f>
        <v/>
      </c>
      <c r="CJ35" s="7">
        <f>IF(A35="","",IF((A35+74)&gt;Model!$B$4,0,MAX(0,Model!$B$6-IF((A35+74)&gt;=Model!$B$11,Model!$B$20,0)-IF(74&lt;Model!$B$15,Model!$B$22,0))/(1-Model!$B$9)/(1+Model!$B$18)^74))</f>
        <v/>
      </c>
      <c r="CK35" s="7">
        <f>IF(A35="","",IF((A35+75)&gt;Model!$B$4,0,MAX(0,Model!$B$6-IF((A35+75)&gt;=Model!$B$11,Model!$B$20,0)-IF(75&lt;Model!$B$15,Model!$B$22,0))/(1-Model!$B$9)/(1+Model!$B$18)^75))</f>
        <v/>
      </c>
      <c r="CL35" s="7">
        <f>IF(A35="","",IF((A35+76)&gt;Model!$B$4,0,MAX(0,Model!$B$6-IF((A35+76)&gt;=Model!$B$11,Model!$B$20,0)-IF(76&lt;Model!$B$15,Model!$B$22,0))/(1-Model!$B$9)/(1+Model!$B$18)^76))</f>
        <v/>
      </c>
      <c r="CM35" s="7">
        <f>IF(A35="","",IF((A35+77)&gt;Model!$B$4,0,MAX(0,Model!$B$6-IF((A35+77)&gt;=Model!$B$11,Model!$B$20,0)-IF(77&lt;Model!$B$15,Model!$B$22,0))/(1-Model!$B$9)/(1+Model!$B$18)^77))</f>
        <v/>
      </c>
      <c r="CN35" s="7">
        <f>IF(A35="","",IF((A35+78)&gt;Model!$B$4,0,MAX(0,Model!$B$6-IF((A35+78)&gt;=Model!$B$11,Model!$B$20,0)-IF(78&lt;Model!$B$15,Model!$B$22,0))/(1-Model!$B$9)/(1+Model!$B$18)^78))</f>
        <v/>
      </c>
      <c r="CO35" s="7">
        <f>IF(A35="","",IF((A35+79)&gt;Model!$B$4,0,MAX(0,Model!$B$6-IF((A35+79)&gt;=Model!$B$11,Model!$B$20,0)-IF(79&lt;Model!$B$15,Model!$B$22,0))/(1-Model!$B$9)/(1+Model!$B$18)^79))</f>
        <v/>
      </c>
      <c r="CP35" s="7">
        <f>IF(A35="","",IF((A35+80)&gt;Model!$B$4,0,MAX(0,Model!$B$6-IF((A35+80)&gt;=Model!$B$11,Model!$B$20,0)-IF(80&lt;Model!$B$15,Model!$B$22,0))/(1-Model!$B$9)/(1+Model!$B$18)^80))</f>
        <v/>
      </c>
      <c r="CQ35" s="7">
        <f>IF(A35="","",IF((A35+81)&gt;Model!$B$4,0,MAX(0,Model!$B$6-IF((A35+81)&gt;=Model!$B$11,Model!$B$20,0)-IF(81&lt;Model!$B$15,Model!$B$22,0))/(1-Model!$B$9)/(1+Model!$B$18)^81))</f>
        <v/>
      </c>
      <c r="CR35" s="7">
        <f>IF(A35="","",IF((A35+82)&gt;Model!$B$4,0,MAX(0,Model!$B$6-IF((A35+82)&gt;=Model!$B$11,Model!$B$20,0)-IF(82&lt;Model!$B$15,Model!$B$22,0))/(1-Model!$B$9)/(1+Model!$B$18)^82))</f>
        <v/>
      </c>
      <c r="CS35" s="7">
        <f>IF(A35="","",IF((A35+83)&gt;Model!$B$4,0,MAX(0,Model!$B$6-IF((A35+83)&gt;=Model!$B$11,Model!$B$20,0)-IF(83&lt;Model!$B$15,Model!$B$22,0))/(1-Model!$B$9)/(1+Model!$B$18)^83))</f>
        <v/>
      </c>
      <c r="CT35" s="7">
        <f>IF(A35="","",IF((A35+84)&gt;Model!$B$4,0,MAX(0,Model!$B$6-IF((A35+84)&gt;=Model!$B$11,Model!$B$20,0)-IF(84&lt;Model!$B$15,Model!$B$22,0))/(1-Model!$B$9)/(1+Model!$B$18)^84))</f>
        <v/>
      </c>
      <c r="CU35" s="7">
        <f>IF(A35="","",IF((A35+85)&gt;Model!$B$4,0,MAX(0,Model!$B$6-IF((A35+85)&gt;=Model!$B$11,Model!$B$20,0)-IF(85&lt;Model!$B$15,Model!$B$22,0))/(1-Model!$B$9)/(1+Model!$B$18)^85))</f>
        <v/>
      </c>
      <c r="CV35" s="7">
        <f>IF(A35="","",IF((A35+86)&gt;Model!$B$4,0,MAX(0,Model!$B$6-IF((A35+86)&gt;=Model!$B$11,Model!$B$20,0)-IF(86&lt;Model!$B$15,Model!$B$22,0))/(1-Model!$B$9)/(1+Model!$B$18)^86))</f>
        <v/>
      </c>
      <c r="CW35" s="7">
        <f>IF(A35="","",IF((A35+87)&gt;Model!$B$4,0,MAX(0,Model!$B$6-IF((A35+87)&gt;=Model!$B$11,Model!$B$20,0)-IF(87&lt;Model!$B$15,Model!$B$22,0))/(1-Model!$B$9)/(1+Model!$B$18)^87))</f>
        <v/>
      </c>
      <c r="CX35" s="7">
        <f>IF(A35="","",IF((A35+88)&gt;Model!$B$4,0,MAX(0,Model!$B$6-IF((A35+88)&gt;=Model!$B$11,Model!$B$20,0)-IF(88&lt;Model!$B$15,Model!$B$22,0))/(1-Model!$B$9)/(1+Model!$B$18)^88))</f>
        <v/>
      </c>
      <c r="CY35" s="7">
        <f>IF(A35="","",IF((A35+89)&gt;Model!$B$4,0,MAX(0,Model!$B$6-IF((A35+89)&gt;=Model!$B$11,Model!$B$20,0)-IF(89&lt;Model!$B$15,Model!$B$22,0))/(1-Model!$B$9)/(1+Model!$B$18)^89))</f>
        <v/>
      </c>
      <c r="CZ35" s="7">
        <f>IF(A35="","",IF((A35+90)&gt;Model!$B$4,0,MAX(0,Model!$B$6-IF((A35+90)&gt;=Model!$B$11,Model!$B$20,0)-IF(90&lt;Model!$B$15,Model!$B$22,0))/(1-Model!$B$9)/(1+Model!$B$18)^90))</f>
        <v/>
      </c>
      <c r="DA35" s="7">
        <f>IF(A35="","",IF((A35+91)&gt;Model!$B$4,0,MAX(0,Model!$B$6-IF((A35+91)&gt;=Model!$B$11,Model!$B$20,0)-IF(91&lt;Model!$B$15,Model!$B$22,0))/(1-Model!$B$9)/(1+Model!$B$18)^91))</f>
        <v/>
      </c>
      <c r="DB35" s="7">
        <f>IF(A35="","",IF((A35+92)&gt;Model!$B$4,0,MAX(0,Model!$B$6-IF((A35+92)&gt;=Model!$B$11,Model!$B$20,0)-IF(92&lt;Model!$B$15,Model!$B$22,0))/(1-Model!$B$9)/(1+Model!$B$18)^92))</f>
        <v/>
      </c>
      <c r="DC35" s="7">
        <f>IF(A35="","",IF((A35+93)&gt;Model!$B$4,0,MAX(0,Model!$B$6-IF((A35+93)&gt;=Model!$B$11,Model!$B$20,0)-IF(93&lt;Model!$B$15,Model!$B$22,0))/(1-Model!$B$9)/(1+Model!$B$18)^93))</f>
        <v/>
      </c>
      <c r="DD35" s="7">
        <f>IF(A35="","",IF((A35+94)&gt;Model!$B$4,0,MAX(0,Model!$B$6-IF((A35+94)&gt;=Model!$B$11,Model!$B$20,0)-IF(94&lt;Model!$B$15,Model!$B$22,0))/(1-Model!$B$9)/(1+Model!$B$18)^94))</f>
        <v/>
      </c>
      <c r="DE35" s="7">
        <f>IF(A35="","",IF((A35+95)&gt;Model!$B$4,0,MAX(0,Model!$B$6-IF((A35+95)&gt;=Model!$B$11,Model!$B$20,0)-IF(95&lt;Model!$B$15,Model!$B$22,0))/(1-Model!$B$9)/(1+Model!$B$18)^95))</f>
        <v/>
      </c>
      <c r="DF35" s="7">
        <f>IF(A35="","",IF((A35+96)&gt;Model!$B$4,0,MAX(0,Model!$B$6-IF((A35+96)&gt;=Model!$B$11,Model!$B$20,0)-IF(96&lt;Model!$B$15,Model!$B$22,0))/(1-Model!$B$9)/(1+Model!$B$18)^96))</f>
        <v/>
      </c>
      <c r="DG35" s="7">
        <f>IF(A35="","",IF((A35+97)&gt;Model!$B$4,0,MAX(0,Model!$B$6-IF((A35+97)&gt;=Model!$B$11,Model!$B$20,0)-IF(97&lt;Model!$B$15,Model!$B$22,0))/(1-Model!$B$9)/(1+Model!$B$18)^97))</f>
        <v/>
      </c>
      <c r="DH35" s="7">
        <f>IF(A35="","",IF((A35+98)&gt;Model!$B$4,0,MAX(0,Model!$B$6-IF((A35+98)&gt;=Model!$B$11,Model!$B$20,0)-IF(98&lt;Model!$B$15,Model!$B$22,0))/(1-Model!$B$9)/(1+Model!$B$18)^98))</f>
        <v/>
      </c>
      <c r="DI35" s="7">
        <f>IF(A35="","",IF((A35+99)&gt;Model!$B$4,0,MAX(0,Model!$B$6-IF((A35+99)&gt;=Model!$B$11,Model!$B$20,0)-IF(99&lt;Model!$B$15,Model!$B$22,0))/(1-Model!$B$9)/(1+Model!$B$18)^99))</f>
        <v/>
      </c>
      <c r="DJ35" s="7">
        <f>IF(A35="","",IF((A35+100)&gt;Model!$B$4,0,MAX(0,Model!$B$6-IF((A35+100)&gt;=Model!$B$11,Model!$B$20,0)-IF(100&lt;Model!$B$15,Model!$B$22,0))/(1-Model!$B$9)/(1+Model!$B$18)^100))</f>
        <v/>
      </c>
      <c r="DK35" s="7">
        <f>IF(A35="","",IF((A35+101)&gt;Model!$B$4,0,MAX(0,Model!$B$6-IF((A35+101)&gt;=Model!$B$11,Model!$B$20,0)-IF(101&lt;Model!$B$15,Model!$B$22,0))/(1-Model!$B$9)/(1+Model!$B$18)^101))</f>
        <v/>
      </c>
      <c r="DL35" s="7">
        <f>IF(A35="","",IF((A35+102)&gt;Model!$B$4,0,MAX(0,Model!$B$6-IF((A35+102)&gt;=Model!$B$11,Model!$B$20,0)-IF(102&lt;Model!$B$15,Model!$B$22,0))/(1-Model!$B$9)/(1+Model!$B$18)^102))</f>
        <v/>
      </c>
      <c r="DM35" s="7">
        <f>IF(A35="","",IF((A35+103)&gt;Model!$B$4,0,MAX(0,Model!$B$6-IF((A35+103)&gt;=Model!$B$11,Model!$B$20,0)-IF(103&lt;Model!$B$15,Model!$B$22,0))/(1-Model!$B$9)/(1+Model!$B$18)^103))</f>
        <v/>
      </c>
      <c r="DN35" s="7">
        <f>IF(A35="","",IF((A35+104)&gt;Model!$B$4,0,MAX(0,Model!$B$6-IF((A35+104)&gt;=Model!$B$11,Model!$B$20,0)-IF(104&lt;Model!$B$15,Model!$B$22,0))/(1-Model!$B$9)/(1+Model!$B$18)^104))</f>
        <v/>
      </c>
      <c r="DO35" s="7">
        <f>IF(A35="","",IF((A35+105)&gt;Model!$B$4,0,MAX(0,Model!$B$6-IF((A35+105)&gt;=Model!$B$11,Model!$B$20,0)-IF(105&lt;Model!$B$15,Model!$B$22,0))/(1-Model!$B$9)/(1+Model!$B$18)^105))</f>
        <v/>
      </c>
      <c r="DP35" s="7">
        <f>IF(A35="","",IF((A35+106)&gt;Model!$B$4,0,MAX(0,Model!$B$6-IF((A35+106)&gt;=Model!$B$11,Model!$B$20,0)-IF(106&lt;Model!$B$15,Model!$B$22,0))/(1-Model!$B$9)/(1+Model!$B$18)^106))</f>
        <v/>
      </c>
      <c r="DQ35" s="7">
        <f>IF(A35="","",IF((A35+107)&gt;Model!$B$4,0,MAX(0,Model!$B$6-IF((A35+107)&gt;=Model!$B$11,Model!$B$20,0)-IF(107&lt;Model!$B$15,Model!$B$22,0))/(1-Model!$B$9)/(1+Model!$B$18)^107))</f>
        <v/>
      </c>
      <c r="DR35" s="7">
        <f>IF(A35="","",IF((A35+108)&gt;Model!$B$4,0,MAX(0,Model!$B$6-IF((A35+108)&gt;=Model!$B$11,Model!$B$20,0)-IF(108&lt;Model!$B$15,Model!$B$22,0))/(1-Model!$B$9)/(1+Model!$B$18)^108))</f>
        <v/>
      </c>
      <c r="DS35" s="7">
        <f>IF(A35="","",IF((A35+109)&gt;Model!$B$4,0,MAX(0,Model!$B$6-IF((A35+109)&gt;=Model!$B$11,Model!$B$20,0)-IF(109&lt;Model!$B$15,Model!$B$22,0))/(1-Model!$B$9)/(1+Model!$B$18)^109))</f>
        <v/>
      </c>
      <c r="DT35" s="7">
        <f>IF(A35="","",IF((A35+110)&gt;Model!$B$4,0,MAX(0,Model!$B$6-IF((A35+110)&gt;=Model!$B$11,Model!$B$20,0)-IF(110&lt;Model!$B$15,Model!$B$22,0))/(1-Model!$B$9)/(1+Model!$B$18)^110))</f>
        <v/>
      </c>
      <c r="DU35" s="7">
        <f>IF(A35="","",IF((A35+111)&gt;Model!$B$4,0,MAX(0,Model!$B$6-IF((A35+111)&gt;=Model!$B$11,Model!$B$20,0)-IF(111&lt;Model!$B$15,Model!$B$22,0))/(1-Model!$B$9)/(1+Model!$B$18)^111))</f>
        <v/>
      </c>
      <c r="DV35" s="7">
        <f>IF(A35="","",IF((A35+112)&gt;Model!$B$4,0,MAX(0,Model!$B$6-IF((A35+112)&gt;=Model!$B$11,Model!$B$20,0)-IF(112&lt;Model!$B$15,Model!$B$22,0))/(1-Model!$B$9)/(1+Model!$B$18)^112))</f>
        <v/>
      </c>
      <c r="DW35" s="7">
        <f>IF(A35="","",IF((A35+113)&gt;Model!$B$4,0,MAX(0,Model!$B$6-IF((A35+113)&gt;=Model!$B$11,Model!$B$20,0)-IF(113&lt;Model!$B$15,Model!$B$22,0))/(1-Model!$B$9)/(1+Model!$B$18)^113))</f>
        <v/>
      </c>
      <c r="DX35" s="7">
        <f>IF(A35="","",IF((A35+114)&gt;Model!$B$4,0,MAX(0,Model!$B$6-IF((A35+114)&gt;=Model!$B$11,Model!$B$20,0)-IF(114&lt;Model!$B$15,Model!$B$22,0))/(1-Model!$B$9)/(1+Model!$B$18)^114))</f>
        <v/>
      </c>
      <c r="DY35" s="7">
        <f>IF(A35="","",IF((A35+115)&gt;Model!$B$4,0,MAX(0,Model!$B$6-IF((A35+115)&gt;=Model!$B$11,Model!$B$20,0)-IF(115&lt;Model!$B$15,Model!$B$22,0))/(1-Model!$B$9)/(1+Model!$B$18)^115))</f>
        <v/>
      </c>
      <c r="DZ35" s="7">
        <f>IF(A35="","",IF((A35+116)&gt;Model!$B$4,0,MAX(0,Model!$B$6-IF((A35+116)&gt;=Model!$B$11,Model!$B$20,0)-IF(116&lt;Model!$B$15,Model!$B$22,0))/(1-Model!$B$9)/(1+Model!$B$18)^116))</f>
        <v/>
      </c>
      <c r="EA35" s="7">
        <f>IF(A35="","",IF((A35+117)&gt;Model!$B$4,0,MAX(0,Model!$B$6-IF((A35+117)&gt;=Model!$B$11,Model!$B$20,0)-IF(117&lt;Model!$B$15,Model!$B$22,0))/(1-Model!$B$9)/(1+Model!$B$18)^117))</f>
        <v/>
      </c>
      <c r="EB35" s="7">
        <f>IF(A35="","",IF((A35+118)&gt;Model!$B$4,0,MAX(0,Model!$B$6-IF((A35+118)&gt;=Model!$B$11,Model!$B$20,0)-IF(118&lt;Model!$B$15,Model!$B$22,0))/(1-Model!$B$9)/(1+Model!$B$18)^118))</f>
        <v/>
      </c>
      <c r="EC35" s="7">
        <f>IF(A35="","",IF((A35+119)&gt;Model!$B$4,0,MAX(0,Model!$B$6-IF((A35+119)&gt;=Model!$B$11,Model!$B$20,0)-IF(119&lt;Model!$B$15,Model!$B$22,0))/(1-Model!$B$9)/(1+Model!$B$18)^119))</f>
        <v/>
      </c>
      <c r="ED35" s="7">
        <f>IF(A35="","",IF((A35+120)&gt;Model!$B$4,0,MAX(0,Model!$B$6-IF((A35+120)&gt;=Model!$B$11,Model!$B$20,0)-IF(120&lt;Model!$B$15,Model!$B$22,0))/(1-Model!$B$9)/(1+Model!$B$18)^120))</f>
        <v/>
      </c>
    </row>
    <row r="36">
      <c r="A36">
        <f>IF(Model!$B$10+ROW()-2&lt;=Model!$B$4,Model!$B$10+ROW()-2,"")</f>
        <v/>
      </c>
      <c r="B36">
        <f>IF(A36="","",A36-Model!$B$10)</f>
        <v/>
      </c>
      <c r="C36" s="7">
        <f>IF(A36="","",Model!$B$5*(1+Model!$B$18)^B36)</f>
        <v/>
      </c>
      <c r="D36" s="7">
        <f>IF(A36="","",SUM(N36:ED36))</f>
        <v/>
      </c>
      <c r="E36" s="7">
        <f>IF(A36="","",IF(A36&gt;=Model!$B$11,Model!$B$20,0))</f>
        <v/>
      </c>
      <c r="F36" s="7">
        <f>IF(A36="","",IF(Model!$B$15&gt;0,Model!$B$22,0))</f>
        <v/>
      </c>
      <c r="G36" s="7">
        <f>IF(A36="","",E36+F36)</f>
        <v/>
      </c>
      <c r="H36" s="7">
        <f>IF(A36="","",MAX(0,Model!$B$6-G36))</f>
        <v/>
      </c>
      <c r="I36" s="7">
        <f>IF(A36="","",H36/(1-Model!$B$9))</f>
        <v/>
      </c>
      <c r="J36" s="7">
        <f>IF(A36="","",C36-D36)</f>
        <v/>
      </c>
      <c r="K36">
        <f>IF(A36="","",C36&gt;=D36)</f>
        <v/>
      </c>
      <c r="L36" s="7">
        <f>IF(A36="","",IF(A36&gt;=Model!$B$11,Model!$B$19*(1+Model!$B$13)^B36,0))</f>
        <v/>
      </c>
      <c r="M36" s="7">
        <f>IF(A36="","",IF(Model!$B$15&gt;0,Model!$B$21*(1+Model!$B$13)^B36,0))</f>
        <v/>
      </c>
      <c r="N36" s="7">
        <f>IF(A36="","",IF((A36+0)&gt;Model!$B$4,0,MAX(0,Model!$B$6-IF((A36+0)&gt;=Model!$B$11,Model!$B$20,0)-IF(0&lt;Model!$B$15,Model!$B$22,0))/(1-Model!$B$9)/(1+Model!$B$18)^0))</f>
        <v/>
      </c>
      <c r="O36" s="7">
        <f>IF(A36="","",IF((A36+1)&gt;Model!$B$4,0,MAX(0,Model!$B$6-IF((A36+1)&gt;=Model!$B$11,Model!$B$20,0)-IF(1&lt;Model!$B$15,Model!$B$22,0))/(1-Model!$B$9)/(1+Model!$B$18)^1))</f>
        <v/>
      </c>
      <c r="P36" s="7">
        <f>IF(A36="","",IF((A36+2)&gt;Model!$B$4,0,MAX(0,Model!$B$6-IF((A36+2)&gt;=Model!$B$11,Model!$B$20,0)-IF(2&lt;Model!$B$15,Model!$B$22,0))/(1-Model!$B$9)/(1+Model!$B$18)^2))</f>
        <v/>
      </c>
      <c r="Q36" s="7">
        <f>IF(A36="","",IF((A36+3)&gt;Model!$B$4,0,MAX(0,Model!$B$6-IF((A36+3)&gt;=Model!$B$11,Model!$B$20,0)-IF(3&lt;Model!$B$15,Model!$B$22,0))/(1-Model!$B$9)/(1+Model!$B$18)^3))</f>
        <v/>
      </c>
      <c r="R36" s="7">
        <f>IF(A36="","",IF((A36+4)&gt;Model!$B$4,0,MAX(0,Model!$B$6-IF((A36+4)&gt;=Model!$B$11,Model!$B$20,0)-IF(4&lt;Model!$B$15,Model!$B$22,0))/(1-Model!$B$9)/(1+Model!$B$18)^4))</f>
        <v/>
      </c>
      <c r="S36" s="7">
        <f>IF(A36="","",IF((A36+5)&gt;Model!$B$4,0,MAX(0,Model!$B$6-IF((A36+5)&gt;=Model!$B$11,Model!$B$20,0)-IF(5&lt;Model!$B$15,Model!$B$22,0))/(1-Model!$B$9)/(1+Model!$B$18)^5))</f>
        <v/>
      </c>
      <c r="T36" s="7">
        <f>IF(A36="","",IF((A36+6)&gt;Model!$B$4,0,MAX(0,Model!$B$6-IF((A36+6)&gt;=Model!$B$11,Model!$B$20,0)-IF(6&lt;Model!$B$15,Model!$B$22,0))/(1-Model!$B$9)/(1+Model!$B$18)^6))</f>
        <v/>
      </c>
      <c r="U36" s="7">
        <f>IF(A36="","",IF((A36+7)&gt;Model!$B$4,0,MAX(0,Model!$B$6-IF((A36+7)&gt;=Model!$B$11,Model!$B$20,0)-IF(7&lt;Model!$B$15,Model!$B$22,0))/(1-Model!$B$9)/(1+Model!$B$18)^7))</f>
        <v/>
      </c>
      <c r="V36" s="7">
        <f>IF(A36="","",IF((A36+8)&gt;Model!$B$4,0,MAX(0,Model!$B$6-IF((A36+8)&gt;=Model!$B$11,Model!$B$20,0)-IF(8&lt;Model!$B$15,Model!$B$22,0))/(1-Model!$B$9)/(1+Model!$B$18)^8))</f>
        <v/>
      </c>
      <c r="W36" s="7">
        <f>IF(A36="","",IF((A36+9)&gt;Model!$B$4,0,MAX(0,Model!$B$6-IF((A36+9)&gt;=Model!$B$11,Model!$B$20,0)-IF(9&lt;Model!$B$15,Model!$B$22,0))/(1-Model!$B$9)/(1+Model!$B$18)^9))</f>
        <v/>
      </c>
      <c r="X36" s="7">
        <f>IF(A36="","",IF((A36+10)&gt;Model!$B$4,0,MAX(0,Model!$B$6-IF((A36+10)&gt;=Model!$B$11,Model!$B$20,0)-IF(10&lt;Model!$B$15,Model!$B$22,0))/(1-Model!$B$9)/(1+Model!$B$18)^10))</f>
        <v/>
      </c>
      <c r="Y36" s="7">
        <f>IF(A36="","",IF((A36+11)&gt;Model!$B$4,0,MAX(0,Model!$B$6-IF((A36+11)&gt;=Model!$B$11,Model!$B$20,0)-IF(11&lt;Model!$B$15,Model!$B$22,0))/(1-Model!$B$9)/(1+Model!$B$18)^11))</f>
        <v/>
      </c>
      <c r="Z36" s="7">
        <f>IF(A36="","",IF((A36+12)&gt;Model!$B$4,0,MAX(0,Model!$B$6-IF((A36+12)&gt;=Model!$B$11,Model!$B$20,0)-IF(12&lt;Model!$B$15,Model!$B$22,0))/(1-Model!$B$9)/(1+Model!$B$18)^12))</f>
        <v/>
      </c>
      <c r="AA36" s="7">
        <f>IF(A36="","",IF((A36+13)&gt;Model!$B$4,0,MAX(0,Model!$B$6-IF((A36+13)&gt;=Model!$B$11,Model!$B$20,0)-IF(13&lt;Model!$B$15,Model!$B$22,0))/(1-Model!$B$9)/(1+Model!$B$18)^13))</f>
        <v/>
      </c>
      <c r="AB36" s="7">
        <f>IF(A36="","",IF((A36+14)&gt;Model!$B$4,0,MAX(0,Model!$B$6-IF((A36+14)&gt;=Model!$B$11,Model!$B$20,0)-IF(14&lt;Model!$B$15,Model!$B$22,0))/(1-Model!$B$9)/(1+Model!$B$18)^14))</f>
        <v/>
      </c>
      <c r="AC36" s="7">
        <f>IF(A36="","",IF((A36+15)&gt;Model!$B$4,0,MAX(0,Model!$B$6-IF((A36+15)&gt;=Model!$B$11,Model!$B$20,0)-IF(15&lt;Model!$B$15,Model!$B$22,0))/(1-Model!$B$9)/(1+Model!$B$18)^15))</f>
        <v/>
      </c>
      <c r="AD36" s="7">
        <f>IF(A36="","",IF((A36+16)&gt;Model!$B$4,0,MAX(0,Model!$B$6-IF((A36+16)&gt;=Model!$B$11,Model!$B$20,0)-IF(16&lt;Model!$B$15,Model!$B$22,0))/(1-Model!$B$9)/(1+Model!$B$18)^16))</f>
        <v/>
      </c>
      <c r="AE36" s="7">
        <f>IF(A36="","",IF((A36+17)&gt;Model!$B$4,0,MAX(0,Model!$B$6-IF((A36+17)&gt;=Model!$B$11,Model!$B$20,0)-IF(17&lt;Model!$B$15,Model!$B$22,0))/(1-Model!$B$9)/(1+Model!$B$18)^17))</f>
        <v/>
      </c>
      <c r="AF36" s="7">
        <f>IF(A36="","",IF((A36+18)&gt;Model!$B$4,0,MAX(0,Model!$B$6-IF((A36+18)&gt;=Model!$B$11,Model!$B$20,0)-IF(18&lt;Model!$B$15,Model!$B$22,0))/(1-Model!$B$9)/(1+Model!$B$18)^18))</f>
        <v/>
      </c>
      <c r="AG36" s="7">
        <f>IF(A36="","",IF((A36+19)&gt;Model!$B$4,0,MAX(0,Model!$B$6-IF((A36+19)&gt;=Model!$B$11,Model!$B$20,0)-IF(19&lt;Model!$B$15,Model!$B$22,0))/(1-Model!$B$9)/(1+Model!$B$18)^19))</f>
        <v/>
      </c>
      <c r="AH36" s="7">
        <f>IF(A36="","",IF((A36+20)&gt;Model!$B$4,0,MAX(0,Model!$B$6-IF((A36+20)&gt;=Model!$B$11,Model!$B$20,0)-IF(20&lt;Model!$B$15,Model!$B$22,0))/(1-Model!$B$9)/(1+Model!$B$18)^20))</f>
        <v/>
      </c>
      <c r="AI36" s="7">
        <f>IF(A36="","",IF((A36+21)&gt;Model!$B$4,0,MAX(0,Model!$B$6-IF((A36+21)&gt;=Model!$B$11,Model!$B$20,0)-IF(21&lt;Model!$B$15,Model!$B$22,0))/(1-Model!$B$9)/(1+Model!$B$18)^21))</f>
        <v/>
      </c>
      <c r="AJ36" s="7">
        <f>IF(A36="","",IF((A36+22)&gt;Model!$B$4,0,MAX(0,Model!$B$6-IF((A36+22)&gt;=Model!$B$11,Model!$B$20,0)-IF(22&lt;Model!$B$15,Model!$B$22,0))/(1-Model!$B$9)/(1+Model!$B$18)^22))</f>
        <v/>
      </c>
      <c r="AK36" s="7">
        <f>IF(A36="","",IF((A36+23)&gt;Model!$B$4,0,MAX(0,Model!$B$6-IF((A36+23)&gt;=Model!$B$11,Model!$B$20,0)-IF(23&lt;Model!$B$15,Model!$B$22,0))/(1-Model!$B$9)/(1+Model!$B$18)^23))</f>
        <v/>
      </c>
      <c r="AL36" s="7">
        <f>IF(A36="","",IF((A36+24)&gt;Model!$B$4,0,MAX(0,Model!$B$6-IF((A36+24)&gt;=Model!$B$11,Model!$B$20,0)-IF(24&lt;Model!$B$15,Model!$B$22,0))/(1-Model!$B$9)/(1+Model!$B$18)^24))</f>
        <v/>
      </c>
      <c r="AM36" s="7">
        <f>IF(A36="","",IF((A36+25)&gt;Model!$B$4,0,MAX(0,Model!$B$6-IF((A36+25)&gt;=Model!$B$11,Model!$B$20,0)-IF(25&lt;Model!$B$15,Model!$B$22,0))/(1-Model!$B$9)/(1+Model!$B$18)^25))</f>
        <v/>
      </c>
      <c r="AN36" s="7">
        <f>IF(A36="","",IF((A36+26)&gt;Model!$B$4,0,MAX(0,Model!$B$6-IF((A36+26)&gt;=Model!$B$11,Model!$B$20,0)-IF(26&lt;Model!$B$15,Model!$B$22,0))/(1-Model!$B$9)/(1+Model!$B$18)^26))</f>
        <v/>
      </c>
      <c r="AO36" s="7">
        <f>IF(A36="","",IF((A36+27)&gt;Model!$B$4,0,MAX(0,Model!$B$6-IF((A36+27)&gt;=Model!$B$11,Model!$B$20,0)-IF(27&lt;Model!$B$15,Model!$B$22,0))/(1-Model!$B$9)/(1+Model!$B$18)^27))</f>
        <v/>
      </c>
      <c r="AP36" s="7">
        <f>IF(A36="","",IF((A36+28)&gt;Model!$B$4,0,MAX(0,Model!$B$6-IF((A36+28)&gt;=Model!$B$11,Model!$B$20,0)-IF(28&lt;Model!$B$15,Model!$B$22,0))/(1-Model!$B$9)/(1+Model!$B$18)^28))</f>
        <v/>
      </c>
      <c r="AQ36" s="7">
        <f>IF(A36="","",IF((A36+29)&gt;Model!$B$4,0,MAX(0,Model!$B$6-IF((A36+29)&gt;=Model!$B$11,Model!$B$20,0)-IF(29&lt;Model!$B$15,Model!$B$22,0))/(1-Model!$B$9)/(1+Model!$B$18)^29))</f>
        <v/>
      </c>
      <c r="AR36" s="7">
        <f>IF(A36="","",IF((A36+30)&gt;Model!$B$4,0,MAX(0,Model!$B$6-IF((A36+30)&gt;=Model!$B$11,Model!$B$20,0)-IF(30&lt;Model!$B$15,Model!$B$22,0))/(1-Model!$B$9)/(1+Model!$B$18)^30))</f>
        <v/>
      </c>
      <c r="AS36" s="7">
        <f>IF(A36="","",IF((A36+31)&gt;Model!$B$4,0,MAX(0,Model!$B$6-IF((A36+31)&gt;=Model!$B$11,Model!$B$20,0)-IF(31&lt;Model!$B$15,Model!$B$22,0))/(1-Model!$B$9)/(1+Model!$B$18)^31))</f>
        <v/>
      </c>
      <c r="AT36" s="7">
        <f>IF(A36="","",IF((A36+32)&gt;Model!$B$4,0,MAX(0,Model!$B$6-IF((A36+32)&gt;=Model!$B$11,Model!$B$20,0)-IF(32&lt;Model!$B$15,Model!$B$22,0))/(1-Model!$B$9)/(1+Model!$B$18)^32))</f>
        <v/>
      </c>
      <c r="AU36" s="7">
        <f>IF(A36="","",IF((A36+33)&gt;Model!$B$4,0,MAX(0,Model!$B$6-IF((A36+33)&gt;=Model!$B$11,Model!$B$20,0)-IF(33&lt;Model!$B$15,Model!$B$22,0))/(1-Model!$B$9)/(1+Model!$B$18)^33))</f>
        <v/>
      </c>
      <c r="AV36" s="7">
        <f>IF(A36="","",IF((A36+34)&gt;Model!$B$4,0,MAX(0,Model!$B$6-IF((A36+34)&gt;=Model!$B$11,Model!$B$20,0)-IF(34&lt;Model!$B$15,Model!$B$22,0))/(1-Model!$B$9)/(1+Model!$B$18)^34))</f>
        <v/>
      </c>
      <c r="AW36" s="7">
        <f>IF(A36="","",IF((A36+35)&gt;Model!$B$4,0,MAX(0,Model!$B$6-IF((A36+35)&gt;=Model!$B$11,Model!$B$20,0)-IF(35&lt;Model!$B$15,Model!$B$22,0))/(1-Model!$B$9)/(1+Model!$B$18)^35))</f>
        <v/>
      </c>
      <c r="AX36" s="7">
        <f>IF(A36="","",IF((A36+36)&gt;Model!$B$4,0,MAX(0,Model!$B$6-IF((A36+36)&gt;=Model!$B$11,Model!$B$20,0)-IF(36&lt;Model!$B$15,Model!$B$22,0))/(1-Model!$B$9)/(1+Model!$B$18)^36))</f>
        <v/>
      </c>
      <c r="AY36" s="7">
        <f>IF(A36="","",IF((A36+37)&gt;Model!$B$4,0,MAX(0,Model!$B$6-IF((A36+37)&gt;=Model!$B$11,Model!$B$20,0)-IF(37&lt;Model!$B$15,Model!$B$22,0))/(1-Model!$B$9)/(1+Model!$B$18)^37))</f>
        <v/>
      </c>
      <c r="AZ36" s="7">
        <f>IF(A36="","",IF((A36+38)&gt;Model!$B$4,0,MAX(0,Model!$B$6-IF((A36+38)&gt;=Model!$B$11,Model!$B$20,0)-IF(38&lt;Model!$B$15,Model!$B$22,0))/(1-Model!$B$9)/(1+Model!$B$18)^38))</f>
        <v/>
      </c>
      <c r="BA36" s="7">
        <f>IF(A36="","",IF((A36+39)&gt;Model!$B$4,0,MAX(0,Model!$B$6-IF((A36+39)&gt;=Model!$B$11,Model!$B$20,0)-IF(39&lt;Model!$B$15,Model!$B$22,0))/(1-Model!$B$9)/(1+Model!$B$18)^39))</f>
        <v/>
      </c>
      <c r="BB36" s="7">
        <f>IF(A36="","",IF((A36+40)&gt;Model!$B$4,0,MAX(0,Model!$B$6-IF((A36+40)&gt;=Model!$B$11,Model!$B$20,0)-IF(40&lt;Model!$B$15,Model!$B$22,0))/(1-Model!$B$9)/(1+Model!$B$18)^40))</f>
        <v/>
      </c>
      <c r="BC36" s="7">
        <f>IF(A36="","",IF((A36+41)&gt;Model!$B$4,0,MAX(0,Model!$B$6-IF((A36+41)&gt;=Model!$B$11,Model!$B$20,0)-IF(41&lt;Model!$B$15,Model!$B$22,0))/(1-Model!$B$9)/(1+Model!$B$18)^41))</f>
        <v/>
      </c>
      <c r="BD36" s="7">
        <f>IF(A36="","",IF((A36+42)&gt;Model!$B$4,0,MAX(0,Model!$B$6-IF((A36+42)&gt;=Model!$B$11,Model!$B$20,0)-IF(42&lt;Model!$B$15,Model!$B$22,0))/(1-Model!$B$9)/(1+Model!$B$18)^42))</f>
        <v/>
      </c>
      <c r="BE36" s="7">
        <f>IF(A36="","",IF((A36+43)&gt;Model!$B$4,0,MAX(0,Model!$B$6-IF((A36+43)&gt;=Model!$B$11,Model!$B$20,0)-IF(43&lt;Model!$B$15,Model!$B$22,0))/(1-Model!$B$9)/(1+Model!$B$18)^43))</f>
        <v/>
      </c>
      <c r="BF36" s="7">
        <f>IF(A36="","",IF((A36+44)&gt;Model!$B$4,0,MAX(0,Model!$B$6-IF((A36+44)&gt;=Model!$B$11,Model!$B$20,0)-IF(44&lt;Model!$B$15,Model!$B$22,0))/(1-Model!$B$9)/(1+Model!$B$18)^44))</f>
        <v/>
      </c>
      <c r="BG36" s="7">
        <f>IF(A36="","",IF((A36+45)&gt;Model!$B$4,0,MAX(0,Model!$B$6-IF((A36+45)&gt;=Model!$B$11,Model!$B$20,0)-IF(45&lt;Model!$B$15,Model!$B$22,0))/(1-Model!$B$9)/(1+Model!$B$18)^45))</f>
        <v/>
      </c>
      <c r="BH36" s="7">
        <f>IF(A36="","",IF((A36+46)&gt;Model!$B$4,0,MAX(0,Model!$B$6-IF((A36+46)&gt;=Model!$B$11,Model!$B$20,0)-IF(46&lt;Model!$B$15,Model!$B$22,0))/(1-Model!$B$9)/(1+Model!$B$18)^46))</f>
        <v/>
      </c>
      <c r="BI36" s="7">
        <f>IF(A36="","",IF((A36+47)&gt;Model!$B$4,0,MAX(0,Model!$B$6-IF((A36+47)&gt;=Model!$B$11,Model!$B$20,0)-IF(47&lt;Model!$B$15,Model!$B$22,0))/(1-Model!$B$9)/(1+Model!$B$18)^47))</f>
        <v/>
      </c>
      <c r="BJ36" s="7">
        <f>IF(A36="","",IF((A36+48)&gt;Model!$B$4,0,MAX(0,Model!$B$6-IF((A36+48)&gt;=Model!$B$11,Model!$B$20,0)-IF(48&lt;Model!$B$15,Model!$B$22,0))/(1-Model!$B$9)/(1+Model!$B$18)^48))</f>
        <v/>
      </c>
      <c r="BK36" s="7">
        <f>IF(A36="","",IF((A36+49)&gt;Model!$B$4,0,MAX(0,Model!$B$6-IF((A36+49)&gt;=Model!$B$11,Model!$B$20,0)-IF(49&lt;Model!$B$15,Model!$B$22,0))/(1-Model!$B$9)/(1+Model!$B$18)^49))</f>
        <v/>
      </c>
      <c r="BL36" s="7">
        <f>IF(A36="","",IF((A36+50)&gt;Model!$B$4,0,MAX(0,Model!$B$6-IF((A36+50)&gt;=Model!$B$11,Model!$B$20,0)-IF(50&lt;Model!$B$15,Model!$B$22,0))/(1-Model!$B$9)/(1+Model!$B$18)^50))</f>
        <v/>
      </c>
      <c r="BM36" s="7">
        <f>IF(A36="","",IF((A36+51)&gt;Model!$B$4,0,MAX(0,Model!$B$6-IF((A36+51)&gt;=Model!$B$11,Model!$B$20,0)-IF(51&lt;Model!$B$15,Model!$B$22,0))/(1-Model!$B$9)/(1+Model!$B$18)^51))</f>
        <v/>
      </c>
      <c r="BN36" s="7">
        <f>IF(A36="","",IF((A36+52)&gt;Model!$B$4,0,MAX(0,Model!$B$6-IF((A36+52)&gt;=Model!$B$11,Model!$B$20,0)-IF(52&lt;Model!$B$15,Model!$B$22,0))/(1-Model!$B$9)/(1+Model!$B$18)^52))</f>
        <v/>
      </c>
      <c r="BO36" s="7">
        <f>IF(A36="","",IF((A36+53)&gt;Model!$B$4,0,MAX(0,Model!$B$6-IF((A36+53)&gt;=Model!$B$11,Model!$B$20,0)-IF(53&lt;Model!$B$15,Model!$B$22,0))/(1-Model!$B$9)/(1+Model!$B$18)^53))</f>
        <v/>
      </c>
      <c r="BP36" s="7">
        <f>IF(A36="","",IF((A36+54)&gt;Model!$B$4,0,MAX(0,Model!$B$6-IF((A36+54)&gt;=Model!$B$11,Model!$B$20,0)-IF(54&lt;Model!$B$15,Model!$B$22,0))/(1-Model!$B$9)/(1+Model!$B$18)^54))</f>
        <v/>
      </c>
      <c r="BQ36" s="7">
        <f>IF(A36="","",IF((A36+55)&gt;Model!$B$4,0,MAX(0,Model!$B$6-IF((A36+55)&gt;=Model!$B$11,Model!$B$20,0)-IF(55&lt;Model!$B$15,Model!$B$22,0))/(1-Model!$B$9)/(1+Model!$B$18)^55))</f>
        <v/>
      </c>
      <c r="BR36" s="7">
        <f>IF(A36="","",IF((A36+56)&gt;Model!$B$4,0,MAX(0,Model!$B$6-IF((A36+56)&gt;=Model!$B$11,Model!$B$20,0)-IF(56&lt;Model!$B$15,Model!$B$22,0))/(1-Model!$B$9)/(1+Model!$B$18)^56))</f>
        <v/>
      </c>
      <c r="BS36" s="7">
        <f>IF(A36="","",IF((A36+57)&gt;Model!$B$4,0,MAX(0,Model!$B$6-IF((A36+57)&gt;=Model!$B$11,Model!$B$20,0)-IF(57&lt;Model!$B$15,Model!$B$22,0))/(1-Model!$B$9)/(1+Model!$B$18)^57))</f>
        <v/>
      </c>
      <c r="BT36" s="7">
        <f>IF(A36="","",IF((A36+58)&gt;Model!$B$4,0,MAX(0,Model!$B$6-IF((A36+58)&gt;=Model!$B$11,Model!$B$20,0)-IF(58&lt;Model!$B$15,Model!$B$22,0))/(1-Model!$B$9)/(1+Model!$B$18)^58))</f>
        <v/>
      </c>
      <c r="BU36" s="7">
        <f>IF(A36="","",IF((A36+59)&gt;Model!$B$4,0,MAX(0,Model!$B$6-IF((A36+59)&gt;=Model!$B$11,Model!$B$20,0)-IF(59&lt;Model!$B$15,Model!$B$22,0))/(1-Model!$B$9)/(1+Model!$B$18)^59))</f>
        <v/>
      </c>
      <c r="BV36" s="7">
        <f>IF(A36="","",IF((A36+60)&gt;Model!$B$4,0,MAX(0,Model!$B$6-IF((A36+60)&gt;=Model!$B$11,Model!$B$20,0)-IF(60&lt;Model!$B$15,Model!$B$22,0))/(1-Model!$B$9)/(1+Model!$B$18)^60))</f>
        <v/>
      </c>
      <c r="BW36" s="7">
        <f>IF(A36="","",IF((A36+61)&gt;Model!$B$4,0,MAX(0,Model!$B$6-IF((A36+61)&gt;=Model!$B$11,Model!$B$20,0)-IF(61&lt;Model!$B$15,Model!$B$22,0))/(1-Model!$B$9)/(1+Model!$B$18)^61))</f>
        <v/>
      </c>
      <c r="BX36" s="7">
        <f>IF(A36="","",IF((A36+62)&gt;Model!$B$4,0,MAX(0,Model!$B$6-IF((A36+62)&gt;=Model!$B$11,Model!$B$20,0)-IF(62&lt;Model!$B$15,Model!$B$22,0))/(1-Model!$B$9)/(1+Model!$B$18)^62))</f>
        <v/>
      </c>
      <c r="BY36" s="7">
        <f>IF(A36="","",IF((A36+63)&gt;Model!$B$4,0,MAX(0,Model!$B$6-IF((A36+63)&gt;=Model!$B$11,Model!$B$20,0)-IF(63&lt;Model!$B$15,Model!$B$22,0))/(1-Model!$B$9)/(1+Model!$B$18)^63))</f>
        <v/>
      </c>
      <c r="BZ36" s="7">
        <f>IF(A36="","",IF((A36+64)&gt;Model!$B$4,0,MAX(0,Model!$B$6-IF((A36+64)&gt;=Model!$B$11,Model!$B$20,0)-IF(64&lt;Model!$B$15,Model!$B$22,0))/(1-Model!$B$9)/(1+Model!$B$18)^64))</f>
        <v/>
      </c>
      <c r="CA36" s="7">
        <f>IF(A36="","",IF((A36+65)&gt;Model!$B$4,0,MAX(0,Model!$B$6-IF((A36+65)&gt;=Model!$B$11,Model!$B$20,0)-IF(65&lt;Model!$B$15,Model!$B$22,0))/(1-Model!$B$9)/(1+Model!$B$18)^65))</f>
        <v/>
      </c>
      <c r="CB36" s="7">
        <f>IF(A36="","",IF((A36+66)&gt;Model!$B$4,0,MAX(0,Model!$B$6-IF((A36+66)&gt;=Model!$B$11,Model!$B$20,0)-IF(66&lt;Model!$B$15,Model!$B$22,0))/(1-Model!$B$9)/(1+Model!$B$18)^66))</f>
        <v/>
      </c>
      <c r="CC36" s="7">
        <f>IF(A36="","",IF((A36+67)&gt;Model!$B$4,0,MAX(0,Model!$B$6-IF((A36+67)&gt;=Model!$B$11,Model!$B$20,0)-IF(67&lt;Model!$B$15,Model!$B$22,0))/(1-Model!$B$9)/(1+Model!$B$18)^67))</f>
        <v/>
      </c>
      <c r="CD36" s="7">
        <f>IF(A36="","",IF((A36+68)&gt;Model!$B$4,0,MAX(0,Model!$B$6-IF((A36+68)&gt;=Model!$B$11,Model!$B$20,0)-IF(68&lt;Model!$B$15,Model!$B$22,0))/(1-Model!$B$9)/(1+Model!$B$18)^68))</f>
        <v/>
      </c>
      <c r="CE36" s="7">
        <f>IF(A36="","",IF((A36+69)&gt;Model!$B$4,0,MAX(0,Model!$B$6-IF((A36+69)&gt;=Model!$B$11,Model!$B$20,0)-IF(69&lt;Model!$B$15,Model!$B$22,0))/(1-Model!$B$9)/(1+Model!$B$18)^69))</f>
        <v/>
      </c>
      <c r="CF36" s="7">
        <f>IF(A36="","",IF((A36+70)&gt;Model!$B$4,0,MAX(0,Model!$B$6-IF((A36+70)&gt;=Model!$B$11,Model!$B$20,0)-IF(70&lt;Model!$B$15,Model!$B$22,0))/(1-Model!$B$9)/(1+Model!$B$18)^70))</f>
        <v/>
      </c>
      <c r="CG36" s="7">
        <f>IF(A36="","",IF((A36+71)&gt;Model!$B$4,0,MAX(0,Model!$B$6-IF((A36+71)&gt;=Model!$B$11,Model!$B$20,0)-IF(71&lt;Model!$B$15,Model!$B$22,0))/(1-Model!$B$9)/(1+Model!$B$18)^71))</f>
        <v/>
      </c>
      <c r="CH36" s="7">
        <f>IF(A36="","",IF((A36+72)&gt;Model!$B$4,0,MAX(0,Model!$B$6-IF((A36+72)&gt;=Model!$B$11,Model!$B$20,0)-IF(72&lt;Model!$B$15,Model!$B$22,0))/(1-Model!$B$9)/(1+Model!$B$18)^72))</f>
        <v/>
      </c>
      <c r="CI36" s="7">
        <f>IF(A36="","",IF((A36+73)&gt;Model!$B$4,0,MAX(0,Model!$B$6-IF((A36+73)&gt;=Model!$B$11,Model!$B$20,0)-IF(73&lt;Model!$B$15,Model!$B$22,0))/(1-Model!$B$9)/(1+Model!$B$18)^73))</f>
        <v/>
      </c>
      <c r="CJ36" s="7">
        <f>IF(A36="","",IF((A36+74)&gt;Model!$B$4,0,MAX(0,Model!$B$6-IF((A36+74)&gt;=Model!$B$11,Model!$B$20,0)-IF(74&lt;Model!$B$15,Model!$B$22,0))/(1-Model!$B$9)/(1+Model!$B$18)^74))</f>
        <v/>
      </c>
      <c r="CK36" s="7">
        <f>IF(A36="","",IF((A36+75)&gt;Model!$B$4,0,MAX(0,Model!$B$6-IF((A36+75)&gt;=Model!$B$11,Model!$B$20,0)-IF(75&lt;Model!$B$15,Model!$B$22,0))/(1-Model!$B$9)/(1+Model!$B$18)^75))</f>
        <v/>
      </c>
      <c r="CL36" s="7">
        <f>IF(A36="","",IF((A36+76)&gt;Model!$B$4,0,MAX(0,Model!$B$6-IF((A36+76)&gt;=Model!$B$11,Model!$B$20,0)-IF(76&lt;Model!$B$15,Model!$B$22,0))/(1-Model!$B$9)/(1+Model!$B$18)^76))</f>
        <v/>
      </c>
      <c r="CM36" s="7">
        <f>IF(A36="","",IF((A36+77)&gt;Model!$B$4,0,MAX(0,Model!$B$6-IF((A36+77)&gt;=Model!$B$11,Model!$B$20,0)-IF(77&lt;Model!$B$15,Model!$B$22,0))/(1-Model!$B$9)/(1+Model!$B$18)^77))</f>
        <v/>
      </c>
      <c r="CN36" s="7">
        <f>IF(A36="","",IF((A36+78)&gt;Model!$B$4,0,MAX(0,Model!$B$6-IF((A36+78)&gt;=Model!$B$11,Model!$B$20,0)-IF(78&lt;Model!$B$15,Model!$B$22,0))/(1-Model!$B$9)/(1+Model!$B$18)^78))</f>
        <v/>
      </c>
      <c r="CO36" s="7">
        <f>IF(A36="","",IF((A36+79)&gt;Model!$B$4,0,MAX(0,Model!$B$6-IF((A36+79)&gt;=Model!$B$11,Model!$B$20,0)-IF(79&lt;Model!$B$15,Model!$B$22,0))/(1-Model!$B$9)/(1+Model!$B$18)^79))</f>
        <v/>
      </c>
      <c r="CP36" s="7">
        <f>IF(A36="","",IF((A36+80)&gt;Model!$B$4,0,MAX(0,Model!$B$6-IF((A36+80)&gt;=Model!$B$11,Model!$B$20,0)-IF(80&lt;Model!$B$15,Model!$B$22,0))/(1-Model!$B$9)/(1+Model!$B$18)^80))</f>
        <v/>
      </c>
      <c r="CQ36" s="7">
        <f>IF(A36="","",IF((A36+81)&gt;Model!$B$4,0,MAX(0,Model!$B$6-IF((A36+81)&gt;=Model!$B$11,Model!$B$20,0)-IF(81&lt;Model!$B$15,Model!$B$22,0))/(1-Model!$B$9)/(1+Model!$B$18)^81))</f>
        <v/>
      </c>
      <c r="CR36" s="7">
        <f>IF(A36="","",IF((A36+82)&gt;Model!$B$4,0,MAX(0,Model!$B$6-IF((A36+82)&gt;=Model!$B$11,Model!$B$20,0)-IF(82&lt;Model!$B$15,Model!$B$22,0))/(1-Model!$B$9)/(1+Model!$B$18)^82))</f>
        <v/>
      </c>
      <c r="CS36" s="7">
        <f>IF(A36="","",IF((A36+83)&gt;Model!$B$4,0,MAX(0,Model!$B$6-IF((A36+83)&gt;=Model!$B$11,Model!$B$20,0)-IF(83&lt;Model!$B$15,Model!$B$22,0))/(1-Model!$B$9)/(1+Model!$B$18)^83))</f>
        <v/>
      </c>
      <c r="CT36" s="7">
        <f>IF(A36="","",IF((A36+84)&gt;Model!$B$4,0,MAX(0,Model!$B$6-IF((A36+84)&gt;=Model!$B$11,Model!$B$20,0)-IF(84&lt;Model!$B$15,Model!$B$22,0))/(1-Model!$B$9)/(1+Model!$B$18)^84))</f>
        <v/>
      </c>
      <c r="CU36" s="7">
        <f>IF(A36="","",IF((A36+85)&gt;Model!$B$4,0,MAX(0,Model!$B$6-IF((A36+85)&gt;=Model!$B$11,Model!$B$20,0)-IF(85&lt;Model!$B$15,Model!$B$22,0))/(1-Model!$B$9)/(1+Model!$B$18)^85))</f>
        <v/>
      </c>
      <c r="CV36" s="7">
        <f>IF(A36="","",IF((A36+86)&gt;Model!$B$4,0,MAX(0,Model!$B$6-IF((A36+86)&gt;=Model!$B$11,Model!$B$20,0)-IF(86&lt;Model!$B$15,Model!$B$22,0))/(1-Model!$B$9)/(1+Model!$B$18)^86))</f>
        <v/>
      </c>
      <c r="CW36" s="7">
        <f>IF(A36="","",IF((A36+87)&gt;Model!$B$4,0,MAX(0,Model!$B$6-IF((A36+87)&gt;=Model!$B$11,Model!$B$20,0)-IF(87&lt;Model!$B$15,Model!$B$22,0))/(1-Model!$B$9)/(1+Model!$B$18)^87))</f>
        <v/>
      </c>
      <c r="CX36" s="7">
        <f>IF(A36="","",IF((A36+88)&gt;Model!$B$4,0,MAX(0,Model!$B$6-IF((A36+88)&gt;=Model!$B$11,Model!$B$20,0)-IF(88&lt;Model!$B$15,Model!$B$22,0))/(1-Model!$B$9)/(1+Model!$B$18)^88))</f>
        <v/>
      </c>
      <c r="CY36" s="7">
        <f>IF(A36="","",IF((A36+89)&gt;Model!$B$4,0,MAX(0,Model!$B$6-IF((A36+89)&gt;=Model!$B$11,Model!$B$20,0)-IF(89&lt;Model!$B$15,Model!$B$22,0))/(1-Model!$B$9)/(1+Model!$B$18)^89))</f>
        <v/>
      </c>
      <c r="CZ36" s="7">
        <f>IF(A36="","",IF((A36+90)&gt;Model!$B$4,0,MAX(0,Model!$B$6-IF((A36+90)&gt;=Model!$B$11,Model!$B$20,0)-IF(90&lt;Model!$B$15,Model!$B$22,0))/(1-Model!$B$9)/(1+Model!$B$18)^90))</f>
        <v/>
      </c>
      <c r="DA36" s="7">
        <f>IF(A36="","",IF((A36+91)&gt;Model!$B$4,0,MAX(0,Model!$B$6-IF((A36+91)&gt;=Model!$B$11,Model!$B$20,0)-IF(91&lt;Model!$B$15,Model!$B$22,0))/(1-Model!$B$9)/(1+Model!$B$18)^91))</f>
        <v/>
      </c>
      <c r="DB36" s="7">
        <f>IF(A36="","",IF((A36+92)&gt;Model!$B$4,0,MAX(0,Model!$B$6-IF((A36+92)&gt;=Model!$B$11,Model!$B$20,0)-IF(92&lt;Model!$B$15,Model!$B$22,0))/(1-Model!$B$9)/(1+Model!$B$18)^92))</f>
        <v/>
      </c>
      <c r="DC36" s="7">
        <f>IF(A36="","",IF((A36+93)&gt;Model!$B$4,0,MAX(0,Model!$B$6-IF((A36+93)&gt;=Model!$B$11,Model!$B$20,0)-IF(93&lt;Model!$B$15,Model!$B$22,0))/(1-Model!$B$9)/(1+Model!$B$18)^93))</f>
        <v/>
      </c>
      <c r="DD36" s="7">
        <f>IF(A36="","",IF((A36+94)&gt;Model!$B$4,0,MAX(0,Model!$B$6-IF((A36+94)&gt;=Model!$B$11,Model!$B$20,0)-IF(94&lt;Model!$B$15,Model!$B$22,0))/(1-Model!$B$9)/(1+Model!$B$18)^94))</f>
        <v/>
      </c>
      <c r="DE36" s="7">
        <f>IF(A36="","",IF((A36+95)&gt;Model!$B$4,0,MAX(0,Model!$B$6-IF((A36+95)&gt;=Model!$B$11,Model!$B$20,0)-IF(95&lt;Model!$B$15,Model!$B$22,0))/(1-Model!$B$9)/(1+Model!$B$18)^95))</f>
        <v/>
      </c>
      <c r="DF36" s="7">
        <f>IF(A36="","",IF((A36+96)&gt;Model!$B$4,0,MAX(0,Model!$B$6-IF((A36+96)&gt;=Model!$B$11,Model!$B$20,0)-IF(96&lt;Model!$B$15,Model!$B$22,0))/(1-Model!$B$9)/(1+Model!$B$18)^96))</f>
        <v/>
      </c>
      <c r="DG36" s="7">
        <f>IF(A36="","",IF((A36+97)&gt;Model!$B$4,0,MAX(0,Model!$B$6-IF((A36+97)&gt;=Model!$B$11,Model!$B$20,0)-IF(97&lt;Model!$B$15,Model!$B$22,0))/(1-Model!$B$9)/(1+Model!$B$18)^97))</f>
        <v/>
      </c>
      <c r="DH36" s="7">
        <f>IF(A36="","",IF((A36+98)&gt;Model!$B$4,0,MAX(0,Model!$B$6-IF((A36+98)&gt;=Model!$B$11,Model!$B$20,0)-IF(98&lt;Model!$B$15,Model!$B$22,0))/(1-Model!$B$9)/(1+Model!$B$18)^98))</f>
        <v/>
      </c>
      <c r="DI36" s="7">
        <f>IF(A36="","",IF((A36+99)&gt;Model!$B$4,0,MAX(0,Model!$B$6-IF((A36+99)&gt;=Model!$B$11,Model!$B$20,0)-IF(99&lt;Model!$B$15,Model!$B$22,0))/(1-Model!$B$9)/(1+Model!$B$18)^99))</f>
        <v/>
      </c>
      <c r="DJ36" s="7">
        <f>IF(A36="","",IF((A36+100)&gt;Model!$B$4,0,MAX(0,Model!$B$6-IF((A36+100)&gt;=Model!$B$11,Model!$B$20,0)-IF(100&lt;Model!$B$15,Model!$B$22,0))/(1-Model!$B$9)/(1+Model!$B$18)^100))</f>
        <v/>
      </c>
      <c r="DK36" s="7">
        <f>IF(A36="","",IF((A36+101)&gt;Model!$B$4,0,MAX(0,Model!$B$6-IF((A36+101)&gt;=Model!$B$11,Model!$B$20,0)-IF(101&lt;Model!$B$15,Model!$B$22,0))/(1-Model!$B$9)/(1+Model!$B$18)^101))</f>
        <v/>
      </c>
      <c r="DL36" s="7">
        <f>IF(A36="","",IF((A36+102)&gt;Model!$B$4,0,MAX(0,Model!$B$6-IF((A36+102)&gt;=Model!$B$11,Model!$B$20,0)-IF(102&lt;Model!$B$15,Model!$B$22,0))/(1-Model!$B$9)/(1+Model!$B$18)^102))</f>
        <v/>
      </c>
      <c r="DM36" s="7">
        <f>IF(A36="","",IF((A36+103)&gt;Model!$B$4,0,MAX(0,Model!$B$6-IF((A36+103)&gt;=Model!$B$11,Model!$B$20,0)-IF(103&lt;Model!$B$15,Model!$B$22,0))/(1-Model!$B$9)/(1+Model!$B$18)^103))</f>
        <v/>
      </c>
      <c r="DN36" s="7">
        <f>IF(A36="","",IF((A36+104)&gt;Model!$B$4,0,MAX(0,Model!$B$6-IF((A36+104)&gt;=Model!$B$11,Model!$B$20,0)-IF(104&lt;Model!$B$15,Model!$B$22,0))/(1-Model!$B$9)/(1+Model!$B$18)^104))</f>
        <v/>
      </c>
      <c r="DO36" s="7">
        <f>IF(A36="","",IF((A36+105)&gt;Model!$B$4,0,MAX(0,Model!$B$6-IF((A36+105)&gt;=Model!$B$11,Model!$B$20,0)-IF(105&lt;Model!$B$15,Model!$B$22,0))/(1-Model!$B$9)/(1+Model!$B$18)^105))</f>
        <v/>
      </c>
      <c r="DP36" s="7">
        <f>IF(A36="","",IF((A36+106)&gt;Model!$B$4,0,MAX(0,Model!$B$6-IF((A36+106)&gt;=Model!$B$11,Model!$B$20,0)-IF(106&lt;Model!$B$15,Model!$B$22,0))/(1-Model!$B$9)/(1+Model!$B$18)^106))</f>
        <v/>
      </c>
      <c r="DQ36" s="7">
        <f>IF(A36="","",IF((A36+107)&gt;Model!$B$4,0,MAX(0,Model!$B$6-IF((A36+107)&gt;=Model!$B$11,Model!$B$20,0)-IF(107&lt;Model!$B$15,Model!$B$22,0))/(1-Model!$B$9)/(1+Model!$B$18)^107))</f>
        <v/>
      </c>
      <c r="DR36" s="7">
        <f>IF(A36="","",IF((A36+108)&gt;Model!$B$4,0,MAX(0,Model!$B$6-IF((A36+108)&gt;=Model!$B$11,Model!$B$20,0)-IF(108&lt;Model!$B$15,Model!$B$22,0))/(1-Model!$B$9)/(1+Model!$B$18)^108))</f>
        <v/>
      </c>
      <c r="DS36" s="7">
        <f>IF(A36="","",IF((A36+109)&gt;Model!$B$4,0,MAX(0,Model!$B$6-IF((A36+109)&gt;=Model!$B$11,Model!$B$20,0)-IF(109&lt;Model!$B$15,Model!$B$22,0))/(1-Model!$B$9)/(1+Model!$B$18)^109))</f>
        <v/>
      </c>
      <c r="DT36" s="7">
        <f>IF(A36="","",IF((A36+110)&gt;Model!$B$4,0,MAX(0,Model!$B$6-IF((A36+110)&gt;=Model!$B$11,Model!$B$20,0)-IF(110&lt;Model!$B$15,Model!$B$22,0))/(1-Model!$B$9)/(1+Model!$B$18)^110))</f>
        <v/>
      </c>
      <c r="DU36" s="7">
        <f>IF(A36="","",IF((A36+111)&gt;Model!$B$4,0,MAX(0,Model!$B$6-IF((A36+111)&gt;=Model!$B$11,Model!$B$20,0)-IF(111&lt;Model!$B$15,Model!$B$22,0))/(1-Model!$B$9)/(1+Model!$B$18)^111))</f>
        <v/>
      </c>
      <c r="DV36" s="7">
        <f>IF(A36="","",IF((A36+112)&gt;Model!$B$4,0,MAX(0,Model!$B$6-IF((A36+112)&gt;=Model!$B$11,Model!$B$20,0)-IF(112&lt;Model!$B$15,Model!$B$22,0))/(1-Model!$B$9)/(1+Model!$B$18)^112))</f>
        <v/>
      </c>
      <c r="DW36" s="7">
        <f>IF(A36="","",IF((A36+113)&gt;Model!$B$4,0,MAX(0,Model!$B$6-IF((A36+113)&gt;=Model!$B$11,Model!$B$20,0)-IF(113&lt;Model!$B$15,Model!$B$22,0))/(1-Model!$B$9)/(1+Model!$B$18)^113))</f>
        <v/>
      </c>
      <c r="DX36" s="7">
        <f>IF(A36="","",IF((A36+114)&gt;Model!$B$4,0,MAX(0,Model!$B$6-IF((A36+114)&gt;=Model!$B$11,Model!$B$20,0)-IF(114&lt;Model!$B$15,Model!$B$22,0))/(1-Model!$B$9)/(1+Model!$B$18)^114))</f>
        <v/>
      </c>
      <c r="DY36" s="7">
        <f>IF(A36="","",IF((A36+115)&gt;Model!$B$4,0,MAX(0,Model!$B$6-IF((A36+115)&gt;=Model!$B$11,Model!$B$20,0)-IF(115&lt;Model!$B$15,Model!$B$22,0))/(1-Model!$B$9)/(1+Model!$B$18)^115))</f>
        <v/>
      </c>
      <c r="DZ36" s="7">
        <f>IF(A36="","",IF((A36+116)&gt;Model!$B$4,0,MAX(0,Model!$B$6-IF((A36+116)&gt;=Model!$B$11,Model!$B$20,0)-IF(116&lt;Model!$B$15,Model!$B$22,0))/(1-Model!$B$9)/(1+Model!$B$18)^116))</f>
        <v/>
      </c>
      <c r="EA36" s="7">
        <f>IF(A36="","",IF((A36+117)&gt;Model!$B$4,0,MAX(0,Model!$B$6-IF((A36+117)&gt;=Model!$B$11,Model!$B$20,0)-IF(117&lt;Model!$B$15,Model!$B$22,0))/(1-Model!$B$9)/(1+Model!$B$18)^117))</f>
        <v/>
      </c>
      <c r="EB36" s="7">
        <f>IF(A36="","",IF((A36+118)&gt;Model!$B$4,0,MAX(0,Model!$B$6-IF((A36+118)&gt;=Model!$B$11,Model!$B$20,0)-IF(118&lt;Model!$B$15,Model!$B$22,0))/(1-Model!$B$9)/(1+Model!$B$18)^118))</f>
        <v/>
      </c>
      <c r="EC36" s="7">
        <f>IF(A36="","",IF((A36+119)&gt;Model!$B$4,0,MAX(0,Model!$B$6-IF((A36+119)&gt;=Model!$B$11,Model!$B$20,0)-IF(119&lt;Model!$B$15,Model!$B$22,0))/(1-Model!$B$9)/(1+Model!$B$18)^119))</f>
        <v/>
      </c>
      <c r="ED36" s="7">
        <f>IF(A36="","",IF((A36+120)&gt;Model!$B$4,0,MAX(0,Model!$B$6-IF((A36+120)&gt;=Model!$B$11,Model!$B$20,0)-IF(120&lt;Model!$B$15,Model!$B$22,0))/(1-Model!$B$9)/(1+Model!$B$18)^120))</f>
        <v/>
      </c>
    </row>
    <row r="37">
      <c r="A37">
        <f>IF(Model!$B$10+ROW()-2&lt;=Model!$B$4,Model!$B$10+ROW()-2,"")</f>
        <v/>
      </c>
      <c r="B37">
        <f>IF(A37="","",A37-Model!$B$10)</f>
        <v/>
      </c>
      <c r="C37" s="7">
        <f>IF(A37="","",Model!$B$5*(1+Model!$B$18)^B37)</f>
        <v/>
      </c>
      <c r="D37" s="7">
        <f>IF(A37="","",SUM(N37:ED37))</f>
        <v/>
      </c>
      <c r="E37" s="7">
        <f>IF(A37="","",IF(A37&gt;=Model!$B$11,Model!$B$20,0))</f>
        <v/>
      </c>
      <c r="F37" s="7">
        <f>IF(A37="","",IF(Model!$B$15&gt;0,Model!$B$22,0))</f>
        <v/>
      </c>
      <c r="G37" s="7">
        <f>IF(A37="","",E37+F37)</f>
        <v/>
      </c>
      <c r="H37" s="7">
        <f>IF(A37="","",MAX(0,Model!$B$6-G37))</f>
        <v/>
      </c>
      <c r="I37" s="7">
        <f>IF(A37="","",H37/(1-Model!$B$9))</f>
        <v/>
      </c>
      <c r="J37" s="7">
        <f>IF(A37="","",C37-D37)</f>
        <v/>
      </c>
      <c r="K37">
        <f>IF(A37="","",C37&gt;=D37)</f>
        <v/>
      </c>
      <c r="L37" s="7">
        <f>IF(A37="","",IF(A37&gt;=Model!$B$11,Model!$B$19*(1+Model!$B$13)^B37,0))</f>
        <v/>
      </c>
      <c r="M37" s="7">
        <f>IF(A37="","",IF(Model!$B$15&gt;0,Model!$B$21*(1+Model!$B$13)^B37,0))</f>
        <v/>
      </c>
      <c r="N37" s="7">
        <f>IF(A37="","",IF((A37+0)&gt;Model!$B$4,0,MAX(0,Model!$B$6-IF((A37+0)&gt;=Model!$B$11,Model!$B$20,0)-IF(0&lt;Model!$B$15,Model!$B$22,0))/(1-Model!$B$9)/(1+Model!$B$18)^0))</f>
        <v/>
      </c>
      <c r="O37" s="7">
        <f>IF(A37="","",IF((A37+1)&gt;Model!$B$4,0,MAX(0,Model!$B$6-IF((A37+1)&gt;=Model!$B$11,Model!$B$20,0)-IF(1&lt;Model!$B$15,Model!$B$22,0))/(1-Model!$B$9)/(1+Model!$B$18)^1))</f>
        <v/>
      </c>
      <c r="P37" s="7">
        <f>IF(A37="","",IF((A37+2)&gt;Model!$B$4,0,MAX(0,Model!$B$6-IF((A37+2)&gt;=Model!$B$11,Model!$B$20,0)-IF(2&lt;Model!$B$15,Model!$B$22,0))/(1-Model!$B$9)/(1+Model!$B$18)^2))</f>
        <v/>
      </c>
      <c r="Q37" s="7">
        <f>IF(A37="","",IF((A37+3)&gt;Model!$B$4,0,MAX(0,Model!$B$6-IF((A37+3)&gt;=Model!$B$11,Model!$B$20,0)-IF(3&lt;Model!$B$15,Model!$B$22,0))/(1-Model!$B$9)/(1+Model!$B$18)^3))</f>
        <v/>
      </c>
      <c r="R37" s="7">
        <f>IF(A37="","",IF((A37+4)&gt;Model!$B$4,0,MAX(0,Model!$B$6-IF((A37+4)&gt;=Model!$B$11,Model!$B$20,0)-IF(4&lt;Model!$B$15,Model!$B$22,0))/(1-Model!$B$9)/(1+Model!$B$18)^4))</f>
        <v/>
      </c>
      <c r="S37" s="7">
        <f>IF(A37="","",IF((A37+5)&gt;Model!$B$4,0,MAX(0,Model!$B$6-IF((A37+5)&gt;=Model!$B$11,Model!$B$20,0)-IF(5&lt;Model!$B$15,Model!$B$22,0))/(1-Model!$B$9)/(1+Model!$B$18)^5))</f>
        <v/>
      </c>
      <c r="T37" s="7">
        <f>IF(A37="","",IF((A37+6)&gt;Model!$B$4,0,MAX(0,Model!$B$6-IF((A37+6)&gt;=Model!$B$11,Model!$B$20,0)-IF(6&lt;Model!$B$15,Model!$B$22,0))/(1-Model!$B$9)/(1+Model!$B$18)^6))</f>
        <v/>
      </c>
      <c r="U37" s="7">
        <f>IF(A37="","",IF((A37+7)&gt;Model!$B$4,0,MAX(0,Model!$B$6-IF((A37+7)&gt;=Model!$B$11,Model!$B$20,0)-IF(7&lt;Model!$B$15,Model!$B$22,0))/(1-Model!$B$9)/(1+Model!$B$18)^7))</f>
        <v/>
      </c>
      <c r="V37" s="7">
        <f>IF(A37="","",IF((A37+8)&gt;Model!$B$4,0,MAX(0,Model!$B$6-IF((A37+8)&gt;=Model!$B$11,Model!$B$20,0)-IF(8&lt;Model!$B$15,Model!$B$22,0))/(1-Model!$B$9)/(1+Model!$B$18)^8))</f>
        <v/>
      </c>
      <c r="W37" s="7">
        <f>IF(A37="","",IF((A37+9)&gt;Model!$B$4,0,MAX(0,Model!$B$6-IF((A37+9)&gt;=Model!$B$11,Model!$B$20,0)-IF(9&lt;Model!$B$15,Model!$B$22,0))/(1-Model!$B$9)/(1+Model!$B$18)^9))</f>
        <v/>
      </c>
      <c r="X37" s="7">
        <f>IF(A37="","",IF((A37+10)&gt;Model!$B$4,0,MAX(0,Model!$B$6-IF((A37+10)&gt;=Model!$B$11,Model!$B$20,0)-IF(10&lt;Model!$B$15,Model!$B$22,0))/(1-Model!$B$9)/(1+Model!$B$18)^10))</f>
        <v/>
      </c>
      <c r="Y37" s="7">
        <f>IF(A37="","",IF((A37+11)&gt;Model!$B$4,0,MAX(0,Model!$B$6-IF((A37+11)&gt;=Model!$B$11,Model!$B$20,0)-IF(11&lt;Model!$B$15,Model!$B$22,0))/(1-Model!$B$9)/(1+Model!$B$18)^11))</f>
        <v/>
      </c>
      <c r="Z37" s="7">
        <f>IF(A37="","",IF((A37+12)&gt;Model!$B$4,0,MAX(0,Model!$B$6-IF((A37+12)&gt;=Model!$B$11,Model!$B$20,0)-IF(12&lt;Model!$B$15,Model!$B$22,0))/(1-Model!$B$9)/(1+Model!$B$18)^12))</f>
        <v/>
      </c>
      <c r="AA37" s="7">
        <f>IF(A37="","",IF((A37+13)&gt;Model!$B$4,0,MAX(0,Model!$B$6-IF((A37+13)&gt;=Model!$B$11,Model!$B$20,0)-IF(13&lt;Model!$B$15,Model!$B$22,0))/(1-Model!$B$9)/(1+Model!$B$18)^13))</f>
        <v/>
      </c>
      <c r="AB37" s="7">
        <f>IF(A37="","",IF((A37+14)&gt;Model!$B$4,0,MAX(0,Model!$B$6-IF((A37+14)&gt;=Model!$B$11,Model!$B$20,0)-IF(14&lt;Model!$B$15,Model!$B$22,0))/(1-Model!$B$9)/(1+Model!$B$18)^14))</f>
        <v/>
      </c>
      <c r="AC37" s="7">
        <f>IF(A37="","",IF((A37+15)&gt;Model!$B$4,0,MAX(0,Model!$B$6-IF((A37+15)&gt;=Model!$B$11,Model!$B$20,0)-IF(15&lt;Model!$B$15,Model!$B$22,0))/(1-Model!$B$9)/(1+Model!$B$18)^15))</f>
        <v/>
      </c>
      <c r="AD37" s="7">
        <f>IF(A37="","",IF((A37+16)&gt;Model!$B$4,0,MAX(0,Model!$B$6-IF((A37+16)&gt;=Model!$B$11,Model!$B$20,0)-IF(16&lt;Model!$B$15,Model!$B$22,0))/(1-Model!$B$9)/(1+Model!$B$18)^16))</f>
        <v/>
      </c>
      <c r="AE37" s="7">
        <f>IF(A37="","",IF((A37+17)&gt;Model!$B$4,0,MAX(0,Model!$B$6-IF((A37+17)&gt;=Model!$B$11,Model!$B$20,0)-IF(17&lt;Model!$B$15,Model!$B$22,0))/(1-Model!$B$9)/(1+Model!$B$18)^17))</f>
        <v/>
      </c>
      <c r="AF37" s="7">
        <f>IF(A37="","",IF((A37+18)&gt;Model!$B$4,0,MAX(0,Model!$B$6-IF((A37+18)&gt;=Model!$B$11,Model!$B$20,0)-IF(18&lt;Model!$B$15,Model!$B$22,0))/(1-Model!$B$9)/(1+Model!$B$18)^18))</f>
        <v/>
      </c>
      <c r="AG37" s="7">
        <f>IF(A37="","",IF((A37+19)&gt;Model!$B$4,0,MAX(0,Model!$B$6-IF((A37+19)&gt;=Model!$B$11,Model!$B$20,0)-IF(19&lt;Model!$B$15,Model!$B$22,0))/(1-Model!$B$9)/(1+Model!$B$18)^19))</f>
        <v/>
      </c>
      <c r="AH37" s="7">
        <f>IF(A37="","",IF((A37+20)&gt;Model!$B$4,0,MAX(0,Model!$B$6-IF((A37+20)&gt;=Model!$B$11,Model!$B$20,0)-IF(20&lt;Model!$B$15,Model!$B$22,0))/(1-Model!$B$9)/(1+Model!$B$18)^20))</f>
        <v/>
      </c>
      <c r="AI37" s="7">
        <f>IF(A37="","",IF((A37+21)&gt;Model!$B$4,0,MAX(0,Model!$B$6-IF((A37+21)&gt;=Model!$B$11,Model!$B$20,0)-IF(21&lt;Model!$B$15,Model!$B$22,0))/(1-Model!$B$9)/(1+Model!$B$18)^21))</f>
        <v/>
      </c>
      <c r="AJ37" s="7">
        <f>IF(A37="","",IF((A37+22)&gt;Model!$B$4,0,MAX(0,Model!$B$6-IF((A37+22)&gt;=Model!$B$11,Model!$B$20,0)-IF(22&lt;Model!$B$15,Model!$B$22,0))/(1-Model!$B$9)/(1+Model!$B$18)^22))</f>
        <v/>
      </c>
      <c r="AK37" s="7">
        <f>IF(A37="","",IF((A37+23)&gt;Model!$B$4,0,MAX(0,Model!$B$6-IF((A37+23)&gt;=Model!$B$11,Model!$B$20,0)-IF(23&lt;Model!$B$15,Model!$B$22,0))/(1-Model!$B$9)/(1+Model!$B$18)^23))</f>
        <v/>
      </c>
      <c r="AL37" s="7">
        <f>IF(A37="","",IF((A37+24)&gt;Model!$B$4,0,MAX(0,Model!$B$6-IF((A37+24)&gt;=Model!$B$11,Model!$B$20,0)-IF(24&lt;Model!$B$15,Model!$B$22,0))/(1-Model!$B$9)/(1+Model!$B$18)^24))</f>
        <v/>
      </c>
      <c r="AM37" s="7">
        <f>IF(A37="","",IF((A37+25)&gt;Model!$B$4,0,MAX(0,Model!$B$6-IF((A37+25)&gt;=Model!$B$11,Model!$B$20,0)-IF(25&lt;Model!$B$15,Model!$B$22,0))/(1-Model!$B$9)/(1+Model!$B$18)^25))</f>
        <v/>
      </c>
      <c r="AN37" s="7">
        <f>IF(A37="","",IF((A37+26)&gt;Model!$B$4,0,MAX(0,Model!$B$6-IF((A37+26)&gt;=Model!$B$11,Model!$B$20,0)-IF(26&lt;Model!$B$15,Model!$B$22,0))/(1-Model!$B$9)/(1+Model!$B$18)^26))</f>
        <v/>
      </c>
      <c r="AO37" s="7">
        <f>IF(A37="","",IF((A37+27)&gt;Model!$B$4,0,MAX(0,Model!$B$6-IF((A37+27)&gt;=Model!$B$11,Model!$B$20,0)-IF(27&lt;Model!$B$15,Model!$B$22,0))/(1-Model!$B$9)/(1+Model!$B$18)^27))</f>
        <v/>
      </c>
      <c r="AP37" s="7">
        <f>IF(A37="","",IF((A37+28)&gt;Model!$B$4,0,MAX(0,Model!$B$6-IF((A37+28)&gt;=Model!$B$11,Model!$B$20,0)-IF(28&lt;Model!$B$15,Model!$B$22,0))/(1-Model!$B$9)/(1+Model!$B$18)^28))</f>
        <v/>
      </c>
      <c r="AQ37" s="7">
        <f>IF(A37="","",IF((A37+29)&gt;Model!$B$4,0,MAX(0,Model!$B$6-IF((A37+29)&gt;=Model!$B$11,Model!$B$20,0)-IF(29&lt;Model!$B$15,Model!$B$22,0))/(1-Model!$B$9)/(1+Model!$B$18)^29))</f>
        <v/>
      </c>
      <c r="AR37" s="7">
        <f>IF(A37="","",IF((A37+30)&gt;Model!$B$4,0,MAX(0,Model!$B$6-IF((A37+30)&gt;=Model!$B$11,Model!$B$20,0)-IF(30&lt;Model!$B$15,Model!$B$22,0))/(1-Model!$B$9)/(1+Model!$B$18)^30))</f>
        <v/>
      </c>
      <c r="AS37" s="7">
        <f>IF(A37="","",IF((A37+31)&gt;Model!$B$4,0,MAX(0,Model!$B$6-IF((A37+31)&gt;=Model!$B$11,Model!$B$20,0)-IF(31&lt;Model!$B$15,Model!$B$22,0))/(1-Model!$B$9)/(1+Model!$B$18)^31))</f>
        <v/>
      </c>
      <c r="AT37" s="7">
        <f>IF(A37="","",IF((A37+32)&gt;Model!$B$4,0,MAX(0,Model!$B$6-IF((A37+32)&gt;=Model!$B$11,Model!$B$20,0)-IF(32&lt;Model!$B$15,Model!$B$22,0))/(1-Model!$B$9)/(1+Model!$B$18)^32))</f>
        <v/>
      </c>
      <c r="AU37" s="7">
        <f>IF(A37="","",IF((A37+33)&gt;Model!$B$4,0,MAX(0,Model!$B$6-IF((A37+33)&gt;=Model!$B$11,Model!$B$20,0)-IF(33&lt;Model!$B$15,Model!$B$22,0))/(1-Model!$B$9)/(1+Model!$B$18)^33))</f>
        <v/>
      </c>
      <c r="AV37" s="7">
        <f>IF(A37="","",IF((A37+34)&gt;Model!$B$4,0,MAX(0,Model!$B$6-IF((A37+34)&gt;=Model!$B$11,Model!$B$20,0)-IF(34&lt;Model!$B$15,Model!$B$22,0))/(1-Model!$B$9)/(1+Model!$B$18)^34))</f>
        <v/>
      </c>
      <c r="AW37" s="7">
        <f>IF(A37="","",IF((A37+35)&gt;Model!$B$4,0,MAX(0,Model!$B$6-IF((A37+35)&gt;=Model!$B$11,Model!$B$20,0)-IF(35&lt;Model!$B$15,Model!$B$22,0))/(1-Model!$B$9)/(1+Model!$B$18)^35))</f>
        <v/>
      </c>
      <c r="AX37" s="7">
        <f>IF(A37="","",IF((A37+36)&gt;Model!$B$4,0,MAX(0,Model!$B$6-IF((A37+36)&gt;=Model!$B$11,Model!$B$20,0)-IF(36&lt;Model!$B$15,Model!$B$22,0))/(1-Model!$B$9)/(1+Model!$B$18)^36))</f>
        <v/>
      </c>
      <c r="AY37" s="7">
        <f>IF(A37="","",IF((A37+37)&gt;Model!$B$4,0,MAX(0,Model!$B$6-IF((A37+37)&gt;=Model!$B$11,Model!$B$20,0)-IF(37&lt;Model!$B$15,Model!$B$22,0))/(1-Model!$B$9)/(1+Model!$B$18)^37))</f>
        <v/>
      </c>
      <c r="AZ37" s="7">
        <f>IF(A37="","",IF((A37+38)&gt;Model!$B$4,0,MAX(0,Model!$B$6-IF((A37+38)&gt;=Model!$B$11,Model!$B$20,0)-IF(38&lt;Model!$B$15,Model!$B$22,0))/(1-Model!$B$9)/(1+Model!$B$18)^38))</f>
        <v/>
      </c>
      <c r="BA37" s="7">
        <f>IF(A37="","",IF((A37+39)&gt;Model!$B$4,0,MAX(0,Model!$B$6-IF((A37+39)&gt;=Model!$B$11,Model!$B$20,0)-IF(39&lt;Model!$B$15,Model!$B$22,0))/(1-Model!$B$9)/(1+Model!$B$18)^39))</f>
        <v/>
      </c>
      <c r="BB37" s="7">
        <f>IF(A37="","",IF((A37+40)&gt;Model!$B$4,0,MAX(0,Model!$B$6-IF((A37+40)&gt;=Model!$B$11,Model!$B$20,0)-IF(40&lt;Model!$B$15,Model!$B$22,0))/(1-Model!$B$9)/(1+Model!$B$18)^40))</f>
        <v/>
      </c>
      <c r="BC37" s="7">
        <f>IF(A37="","",IF((A37+41)&gt;Model!$B$4,0,MAX(0,Model!$B$6-IF((A37+41)&gt;=Model!$B$11,Model!$B$20,0)-IF(41&lt;Model!$B$15,Model!$B$22,0))/(1-Model!$B$9)/(1+Model!$B$18)^41))</f>
        <v/>
      </c>
      <c r="BD37" s="7">
        <f>IF(A37="","",IF((A37+42)&gt;Model!$B$4,0,MAX(0,Model!$B$6-IF((A37+42)&gt;=Model!$B$11,Model!$B$20,0)-IF(42&lt;Model!$B$15,Model!$B$22,0))/(1-Model!$B$9)/(1+Model!$B$18)^42))</f>
        <v/>
      </c>
      <c r="BE37" s="7">
        <f>IF(A37="","",IF((A37+43)&gt;Model!$B$4,0,MAX(0,Model!$B$6-IF((A37+43)&gt;=Model!$B$11,Model!$B$20,0)-IF(43&lt;Model!$B$15,Model!$B$22,0))/(1-Model!$B$9)/(1+Model!$B$18)^43))</f>
        <v/>
      </c>
      <c r="BF37" s="7">
        <f>IF(A37="","",IF((A37+44)&gt;Model!$B$4,0,MAX(0,Model!$B$6-IF((A37+44)&gt;=Model!$B$11,Model!$B$20,0)-IF(44&lt;Model!$B$15,Model!$B$22,0))/(1-Model!$B$9)/(1+Model!$B$18)^44))</f>
        <v/>
      </c>
      <c r="BG37" s="7">
        <f>IF(A37="","",IF((A37+45)&gt;Model!$B$4,0,MAX(0,Model!$B$6-IF((A37+45)&gt;=Model!$B$11,Model!$B$20,0)-IF(45&lt;Model!$B$15,Model!$B$22,0))/(1-Model!$B$9)/(1+Model!$B$18)^45))</f>
        <v/>
      </c>
      <c r="BH37" s="7">
        <f>IF(A37="","",IF((A37+46)&gt;Model!$B$4,0,MAX(0,Model!$B$6-IF((A37+46)&gt;=Model!$B$11,Model!$B$20,0)-IF(46&lt;Model!$B$15,Model!$B$22,0))/(1-Model!$B$9)/(1+Model!$B$18)^46))</f>
        <v/>
      </c>
      <c r="BI37" s="7">
        <f>IF(A37="","",IF((A37+47)&gt;Model!$B$4,0,MAX(0,Model!$B$6-IF((A37+47)&gt;=Model!$B$11,Model!$B$20,0)-IF(47&lt;Model!$B$15,Model!$B$22,0))/(1-Model!$B$9)/(1+Model!$B$18)^47))</f>
        <v/>
      </c>
      <c r="BJ37" s="7">
        <f>IF(A37="","",IF((A37+48)&gt;Model!$B$4,0,MAX(0,Model!$B$6-IF((A37+48)&gt;=Model!$B$11,Model!$B$20,0)-IF(48&lt;Model!$B$15,Model!$B$22,0))/(1-Model!$B$9)/(1+Model!$B$18)^48))</f>
        <v/>
      </c>
      <c r="BK37" s="7">
        <f>IF(A37="","",IF((A37+49)&gt;Model!$B$4,0,MAX(0,Model!$B$6-IF((A37+49)&gt;=Model!$B$11,Model!$B$20,0)-IF(49&lt;Model!$B$15,Model!$B$22,0))/(1-Model!$B$9)/(1+Model!$B$18)^49))</f>
        <v/>
      </c>
      <c r="BL37" s="7">
        <f>IF(A37="","",IF((A37+50)&gt;Model!$B$4,0,MAX(0,Model!$B$6-IF((A37+50)&gt;=Model!$B$11,Model!$B$20,0)-IF(50&lt;Model!$B$15,Model!$B$22,0))/(1-Model!$B$9)/(1+Model!$B$18)^50))</f>
        <v/>
      </c>
      <c r="BM37" s="7">
        <f>IF(A37="","",IF((A37+51)&gt;Model!$B$4,0,MAX(0,Model!$B$6-IF((A37+51)&gt;=Model!$B$11,Model!$B$20,0)-IF(51&lt;Model!$B$15,Model!$B$22,0))/(1-Model!$B$9)/(1+Model!$B$18)^51))</f>
        <v/>
      </c>
      <c r="BN37" s="7">
        <f>IF(A37="","",IF((A37+52)&gt;Model!$B$4,0,MAX(0,Model!$B$6-IF((A37+52)&gt;=Model!$B$11,Model!$B$20,0)-IF(52&lt;Model!$B$15,Model!$B$22,0))/(1-Model!$B$9)/(1+Model!$B$18)^52))</f>
        <v/>
      </c>
      <c r="BO37" s="7">
        <f>IF(A37="","",IF((A37+53)&gt;Model!$B$4,0,MAX(0,Model!$B$6-IF((A37+53)&gt;=Model!$B$11,Model!$B$20,0)-IF(53&lt;Model!$B$15,Model!$B$22,0))/(1-Model!$B$9)/(1+Model!$B$18)^53))</f>
        <v/>
      </c>
      <c r="BP37" s="7">
        <f>IF(A37="","",IF((A37+54)&gt;Model!$B$4,0,MAX(0,Model!$B$6-IF((A37+54)&gt;=Model!$B$11,Model!$B$20,0)-IF(54&lt;Model!$B$15,Model!$B$22,0))/(1-Model!$B$9)/(1+Model!$B$18)^54))</f>
        <v/>
      </c>
      <c r="BQ37" s="7">
        <f>IF(A37="","",IF((A37+55)&gt;Model!$B$4,0,MAX(0,Model!$B$6-IF((A37+55)&gt;=Model!$B$11,Model!$B$20,0)-IF(55&lt;Model!$B$15,Model!$B$22,0))/(1-Model!$B$9)/(1+Model!$B$18)^55))</f>
        <v/>
      </c>
      <c r="BR37" s="7">
        <f>IF(A37="","",IF((A37+56)&gt;Model!$B$4,0,MAX(0,Model!$B$6-IF((A37+56)&gt;=Model!$B$11,Model!$B$20,0)-IF(56&lt;Model!$B$15,Model!$B$22,0))/(1-Model!$B$9)/(1+Model!$B$18)^56))</f>
        <v/>
      </c>
      <c r="BS37" s="7">
        <f>IF(A37="","",IF((A37+57)&gt;Model!$B$4,0,MAX(0,Model!$B$6-IF((A37+57)&gt;=Model!$B$11,Model!$B$20,0)-IF(57&lt;Model!$B$15,Model!$B$22,0))/(1-Model!$B$9)/(1+Model!$B$18)^57))</f>
        <v/>
      </c>
      <c r="BT37" s="7">
        <f>IF(A37="","",IF((A37+58)&gt;Model!$B$4,0,MAX(0,Model!$B$6-IF((A37+58)&gt;=Model!$B$11,Model!$B$20,0)-IF(58&lt;Model!$B$15,Model!$B$22,0))/(1-Model!$B$9)/(1+Model!$B$18)^58))</f>
        <v/>
      </c>
      <c r="BU37" s="7">
        <f>IF(A37="","",IF((A37+59)&gt;Model!$B$4,0,MAX(0,Model!$B$6-IF((A37+59)&gt;=Model!$B$11,Model!$B$20,0)-IF(59&lt;Model!$B$15,Model!$B$22,0))/(1-Model!$B$9)/(1+Model!$B$18)^59))</f>
        <v/>
      </c>
      <c r="BV37" s="7">
        <f>IF(A37="","",IF((A37+60)&gt;Model!$B$4,0,MAX(0,Model!$B$6-IF((A37+60)&gt;=Model!$B$11,Model!$B$20,0)-IF(60&lt;Model!$B$15,Model!$B$22,0))/(1-Model!$B$9)/(1+Model!$B$18)^60))</f>
        <v/>
      </c>
      <c r="BW37" s="7">
        <f>IF(A37="","",IF((A37+61)&gt;Model!$B$4,0,MAX(0,Model!$B$6-IF((A37+61)&gt;=Model!$B$11,Model!$B$20,0)-IF(61&lt;Model!$B$15,Model!$B$22,0))/(1-Model!$B$9)/(1+Model!$B$18)^61))</f>
        <v/>
      </c>
      <c r="BX37" s="7">
        <f>IF(A37="","",IF((A37+62)&gt;Model!$B$4,0,MAX(0,Model!$B$6-IF((A37+62)&gt;=Model!$B$11,Model!$B$20,0)-IF(62&lt;Model!$B$15,Model!$B$22,0))/(1-Model!$B$9)/(1+Model!$B$18)^62))</f>
        <v/>
      </c>
      <c r="BY37" s="7">
        <f>IF(A37="","",IF((A37+63)&gt;Model!$B$4,0,MAX(0,Model!$B$6-IF((A37+63)&gt;=Model!$B$11,Model!$B$20,0)-IF(63&lt;Model!$B$15,Model!$B$22,0))/(1-Model!$B$9)/(1+Model!$B$18)^63))</f>
        <v/>
      </c>
      <c r="BZ37" s="7">
        <f>IF(A37="","",IF((A37+64)&gt;Model!$B$4,0,MAX(0,Model!$B$6-IF((A37+64)&gt;=Model!$B$11,Model!$B$20,0)-IF(64&lt;Model!$B$15,Model!$B$22,0))/(1-Model!$B$9)/(1+Model!$B$18)^64))</f>
        <v/>
      </c>
      <c r="CA37" s="7">
        <f>IF(A37="","",IF((A37+65)&gt;Model!$B$4,0,MAX(0,Model!$B$6-IF((A37+65)&gt;=Model!$B$11,Model!$B$20,0)-IF(65&lt;Model!$B$15,Model!$B$22,0))/(1-Model!$B$9)/(1+Model!$B$18)^65))</f>
        <v/>
      </c>
      <c r="CB37" s="7">
        <f>IF(A37="","",IF((A37+66)&gt;Model!$B$4,0,MAX(0,Model!$B$6-IF((A37+66)&gt;=Model!$B$11,Model!$B$20,0)-IF(66&lt;Model!$B$15,Model!$B$22,0))/(1-Model!$B$9)/(1+Model!$B$18)^66))</f>
        <v/>
      </c>
      <c r="CC37" s="7">
        <f>IF(A37="","",IF((A37+67)&gt;Model!$B$4,0,MAX(0,Model!$B$6-IF((A37+67)&gt;=Model!$B$11,Model!$B$20,0)-IF(67&lt;Model!$B$15,Model!$B$22,0))/(1-Model!$B$9)/(1+Model!$B$18)^67))</f>
        <v/>
      </c>
      <c r="CD37" s="7">
        <f>IF(A37="","",IF((A37+68)&gt;Model!$B$4,0,MAX(0,Model!$B$6-IF((A37+68)&gt;=Model!$B$11,Model!$B$20,0)-IF(68&lt;Model!$B$15,Model!$B$22,0))/(1-Model!$B$9)/(1+Model!$B$18)^68))</f>
        <v/>
      </c>
      <c r="CE37" s="7">
        <f>IF(A37="","",IF((A37+69)&gt;Model!$B$4,0,MAX(0,Model!$B$6-IF((A37+69)&gt;=Model!$B$11,Model!$B$20,0)-IF(69&lt;Model!$B$15,Model!$B$22,0))/(1-Model!$B$9)/(1+Model!$B$18)^69))</f>
        <v/>
      </c>
      <c r="CF37" s="7">
        <f>IF(A37="","",IF((A37+70)&gt;Model!$B$4,0,MAX(0,Model!$B$6-IF((A37+70)&gt;=Model!$B$11,Model!$B$20,0)-IF(70&lt;Model!$B$15,Model!$B$22,0))/(1-Model!$B$9)/(1+Model!$B$18)^70))</f>
        <v/>
      </c>
      <c r="CG37" s="7">
        <f>IF(A37="","",IF((A37+71)&gt;Model!$B$4,0,MAX(0,Model!$B$6-IF((A37+71)&gt;=Model!$B$11,Model!$B$20,0)-IF(71&lt;Model!$B$15,Model!$B$22,0))/(1-Model!$B$9)/(1+Model!$B$18)^71))</f>
        <v/>
      </c>
      <c r="CH37" s="7">
        <f>IF(A37="","",IF((A37+72)&gt;Model!$B$4,0,MAX(0,Model!$B$6-IF((A37+72)&gt;=Model!$B$11,Model!$B$20,0)-IF(72&lt;Model!$B$15,Model!$B$22,0))/(1-Model!$B$9)/(1+Model!$B$18)^72))</f>
        <v/>
      </c>
      <c r="CI37" s="7">
        <f>IF(A37="","",IF((A37+73)&gt;Model!$B$4,0,MAX(0,Model!$B$6-IF((A37+73)&gt;=Model!$B$11,Model!$B$20,0)-IF(73&lt;Model!$B$15,Model!$B$22,0))/(1-Model!$B$9)/(1+Model!$B$18)^73))</f>
        <v/>
      </c>
      <c r="CJ37" s="7">
        <f>IF(A37="","",IF((A37+74)&gt;Model!$B$4,0,MAX(0,Model!$B$6-IF((A37+74)&gt;=Model!$B$11,Model!$B$20,0)-IF(74&lt;Model!$B$15,Model!$B$22,0))/(1-Model!$B$9)/(1+Model!$B$18)^74))</f>
        <v/>
      </c>
      <c r="CK37" s="7">
        <f>IF(A37="","",IF((A37+75)&gt;Model!$B$4,0,MAX(0,Model!$B$6-IF((A37+75)&gt;=Model!$B$11,Model!$B$20,0)-IF(75&lt;Model!$B$15,Model!$B$22,0))/(1-Model!$B$9)/(1+Model!$B$18)^75))</f>
        <v/>
      </c>
      <c r="CL37" s="7">
        <f>IF(A37="","",IF((A37+76)&gt;Model!$B$4,0,MAX(0,Model!$B$6-IF((A37+76)&gt;=Model!$B$11,Model!$B$20,0)-IF(76&lt;Model!$B$15,Model!$B$22,0))/(1-Model!$B$9)/(1+Model!$B$18)^76))</f>
        <v/>
      </c>
      <c r="CM37" s="7">
        <f>IF(A37="","",IF((A37+77)&gt;Model!$B$4,0,MAX(0,Model!$B$6-IF((A37+77)&gt;=Model!$B$11,Model!$B$20,0)-IF(77&lt;Model!$B$15,Model!$B$22,0))/(1-Model!$B$9)/(1+Model!$B$18)^77))</f>
        <v/>
      </c>
      <c r="CN37" s="7">
        <f>IF(A37="","",IF((A37+78)&gt;Model!$B$4,0,MAX(0,Model!$B$6-IF((A37+78)&gt;=Model!$B$11,Model!$B$20,0)-IF(78&lt;Model!$B$15,Model!$B$22,0))/(1-Model!$B$9)/(1+Model!$B$18)^78))</f>
        <v/>
      </c>
      <c r="CO37" s="7">
        <f>IF(A37="","",IF((A37+79)&gt;Model!$B$4,0,MAX(0,Model!$B$6-IF((A37+79)&gt;=Model!$B$11,Model!$B$20,0)-IF(79&lt;Model!$B$15,Model!$B$22,0))/(1-Model!$B$9)/(1+Model!$B$18)^79))</f>
        <v/>
      </c>
      <c r="CP37" s="7">
        <f>IF(A37="","",IF((A37+80)&gt;Model!$B$4,0,MAX(0,Model!$B$6-IF((A37+80)&gt;=Model!$B$11,Model!$B$20,0)-IF(80&lt;Model!$B$15,Model!$B$22,0))/(1-Model!$B$9)/(1+Model!$B$18)^80))</f>
        <v/>
      </c>
      <c r="CQ37" s="7">
        <f>IF(A37="","",IF((A37+81)&gt;Model!$B$4,0,MAX(0,Model!$B$6-IF((A37+81)&gt;=Model!$B$11,Model!$B$20,0)-IF(81&lt;Model!$B$15,Model!$B$22,0))/(1-Model!$B$9)/(1+Model!$B$18)^81))</f>
        <v/>
      </c>
      <c r="CR37" s="7">
        <f>IF(A37="","",IF((A37+82)&gt;Model!$B$4,0,MAX(0,Model!$B$6-IF((A37+82)&gt;=Model!$B$11,Model!$B$20,0)-IF(82&lt;Model!$B$15,Model!$B$22,0))/(1-Model!$B$9)/(1+Model!$B$18)^82))</f>
        <v/>
      </c>
      <c r="CS37" s="7">
        <f>IF(A37="","",IF((A37+83)&gt;Model!$B$4,0,MAX(0,Model!$B$6-IF((A37+83)&gt;=Model!$B$11,Model!$B$20,0)-IF(83&lt;Model!$B$15,Model!$B$22,0))/(1-Model!$B$9)/(1+Model!$B$18)^83))</f>
        <v/>
      </c>
      <c r="CT37" s="7">
        <f>IF(A37="","",IF((A37+84)&gt;Model!$B$4,0,MAX(0,Model!$B$6-IF((A37+84)&gt;=Model!$B$11,Model!$B$20,0)-IF(84&lt;Model!$B$15,Model!$B$22,0))/(1-Model!$B$9)/(1+Model!$B$18)^84))</f>
        <v/>
      </c>
      <c r="CU37" s="7">
        <f>IF(A37="","",IF((A37+85)&gt;Model!$B$4,0,MAX(0,Model!$B$6-IF((A37+85)&gt;=Model!$B$11,Model!$B$20,0)-IF(85&lt;Model!$B$15,Model!$B$22,0))/(1-Model!$B$9)/(1+Model!$B$18)^85))</f>
        <v/>
      </c>
      <c r="CV37" s="7">
        <f>IF(A37="","",IF((A37+86)&gt;Model!$B$4,0,MAX(0,Model!$B$6-IF((A37+86)&gt;=Model!$B$11,Model!$B$20,0)-IF(86&lt;Model!$B$15,Model!$B$22,0))/(1-Model!$B$9)/(1+Model!$B$18)^86))</f>
        <v/>
      </c>
      <c r="CW37" s="7">
        <f>IF(A37="","",IF((A37+87)&gt;Model!$B$4,0,MAX(0,Model!$B$6-IF((A37+87)&gt;=Model!$B$11,Model!$B$20,0)-IF(87&lt;Model!$B$15,Model!$B$22,0))/(1-Model!$B$9)/(1+Model!$B$18)^87))</f>
        <v/>
      </c>
      <c r="CX37" s="7">
        <f>IF(A37="","",IF((A37+88)&gt;Model!$B$4,0,MAX(0,Model!$B$6-IF((A37+88)&gt;=Model!$B$11,Model!$B$20,0)-IF(88&lt;Model!$B$15,Model!$B$22,0))/(1-Model!$B$9)/(1+Model!$B$18)^88))</f>
        <v/>
      </c>
      <c r="CY37" s="7">
        <f>IF(A37="","",IF((A37+89)&gt;Model!$B$4,0,MAX(0,Model!$B$6-IF((A37+89)&gt;=Model!$B$11,Model!$B$20,0)-IF(89&lt;Model!$B$15,Model!$B$22,0))/(1-Model!$B$9)/(1+Model!$B$18)^89))</f>
        <v/>
      </c>
      <c r="CZ37" s="7">
        <f>IF(A37="","",IF((A37+90)&gt;Model!$B$4,0,MAX(0,Model!$B$6-IF((A37+90)&gt;=Model!$B$11,Model!$B$20,0)-IF(90&lt;Model!$B$15,Model!$B$22,0))/(1-Model!$B$9)/(1+Model!$B$18)^90))</f>
        <v/>
      </c>
      <c r="DA37" s="7">
        <f>IF(A37="","",IF((A37+91)&gt;Model!$B$4,0,MAX(0,Model!$B$6-IF((A37+91)&gt;=Model!$B$11,Model!$B$20,0)-IF(91&lt;Model!$B$15,Model!$B$22,0))/(1-Model!$B$9)/(1+Model!$B$18)^91))</f>
        <v/>
      </c>
      <c r="DB37" s="7">
        <f>IF(A37="","",IF((A37+92)&gt;Model!$B$4,0,MAX(0,Model!$B$6-IF((A37+92)&gt;=Model!$B$11,Model!$B$20,0)-IF(92&lt;Model!$B$15,Model!$B$22,0))/(1-Model!$B$9)/(1+Model!$B$18)^92))</f>
        <v/>
      </c>
      <c r="DC37" s="7">
        <f>IF(A37="","",IF((A37+93)&gt;Model!$B$4,0,MAX(0,Model!$B$6-IF((A37+93)&gt;=Model!$B$11,Model!$B$20,0)-IF(93&lt;Model!$B$15,Model!$B$22,0))/(1-Model!$B$9)/(1+Model!$B$18)^93))</f>
        <v/>
      </c>
      <c r="DD37" s="7">
        <f>IF(A37="","",IF((A37+94)&gt;Model!$B$4,0,MAX(0,Model!$B$6-IF((A37+94)&gt;=Model!$B$11,Model!$B$20,0)-IF(94&lt;Model!$B$15,Model!$B$22,0))/(1-Model!$B$9)/(1+Model!$B$18)^94))</f>
        <v/>
      </c>
      <c r="DE37" s="7">
        <f>IF(A37="","",IF((A37+95)&gt;Model!$B$4,0,MAX(0,Model!$B$6-IF((A37+95)&gt;=Model!$B$11,Model!$B$20,0)-IF(95&lt;Model!$B$15,Model!$B$22,0))/(1-Model!$B$9)/(1+Model!$B$18)^95))</f>
        <v/>
      </c>
      <c r="DF37" s="7">
        <f>IF(A37="","",IF((A37+96)&gt;Model!$B$4,0,MAX(0,Model!$B$6-IF((A37+96)&gt;=Model!$B$11,Model!$B$20,0)-IF(96&lt;Model!$B$15,Model!$B$22,0))/(1-Model!$B$9)/(1+Model!$B$18)^96))</f>
        <v/>
      </c>
      <c r="DG37" s="7">
        <f>IF(A37="","",IF((A37+97)&gt;Model!$B$4,0,MAX(0,Model!$B$6-IF((A37+97)&gt;=Model!$B$11,Model!$B$20,0)-IF(97&lt;Model!$B$15,Model!$B$22,0))/(1-Model!$B$9)/(1+Model!$B$18)^97))</f>
        <v/>
      </c>
      <c r="DH37" s="7">
        <f>IF(A37="","",IF((A37+98)&gt;Model!$B$4,0,MAX(0,Model!$B$6-IF((A37+98)&gt;=Model!$B$11,Model!$B$20,0)-IF(98&lt;Model!$B$15,Model!$B$22,0))/(1-Model!$B$9)/(1+Model!$B$18)^98))</f>
        <v/>
      </c>
      <c r="DI37" s="7">
        <f>IF(A37="","",IF((A37+99)&gt;Model!$B$4,0,MAX(0,Model!$B$6-IF((A37+99)&gt;=Model!$B$11,Model!$B$20,0)-IF(99&lt;Model!$B$15,Model!$B$22,0))/(1-Model!$B$9)/(1+Model!$B$18)^99))</f>
        <v/>
      </c>
      <c r="DJ37" s="7">
        <f>IF(A37="","",IF((A37+100)&gt;Model!$B$4,0,MAX(0,Model!$B$6-IF((A37+100)&gt;=Model!$B$11,Model!$B$20,0)-IF(100&lt;Model!$B$15,Model!$B$22,0))/(1-Model!$B$9)/(1+Model!$B$18)^100))</f>
        <v/>
      </c>
      <c r="DK37" s="7">
        <f>IF(A37="","",IF((A37+101)&gt;Model!$B$4,0,MAX(0,Model!$B$6-IF((A37+101)&gt;=Model!$B$11,Model!$B$20,0)-IF(101&lt;Model!$B$15,Model!$B$22,0))/(1-Model!$B$9)/(1+Model!$B$18)^101))</f>
        <v/>
      </c>
      <c r="DL37" s="7">
        <f>IF(A37="","",IF((A37+102)&gt;Model!$B$4,0,MAX(0,Model!$B$6-IF((A37+102)&gt;=Model!$B$11,Model!$B$20,0)-IF(102&lt;Model!$B$15,Model!$B$22,0))/(1-Model!$B$9)/(1+Model!$B$18)^102))</f>
        <v/>
      </c>
      <c r="DM37" s="7">
        <f>IF(A37="","",IF((A37+103)&gt;Model!$B$4,0,MAX(0,Model!$B$6-IF((A37+103)&gt;=Model!$B$11,Model!$B$20,0)-IF(103&lt;Model!$B$15,Model!$B$22,0))/(1-Model!$B$9)/(1+Model!$B$18)^103))</f>
        <v/>
      </c>
      <c r="DN37" s="7">
        <f>IF(A37="","",IF((A37+104)&gt;Model!$B$4,0,MAX(0,Model!$B$6-IF((A37+104)&gt;=Model!$B$11,Model!$B$20,0)-IF(104&lt;Model!$B$15,Model!$B$22,0))/(1-Model!$B$9)/(1+Model!$B$18)^104))</f>
        <v/>
      </c>
      <c r="DO37" s="7">
        <f>IF(A37="","",IF((A37+105)&gt;Model!$B$4,0,MAX(0,Model!$B$6-IF((A37+105)&gt;=Model!$B$11,Model!$B$20,0)-IF(105&lt;Model!$B$15,Model!$B$22,0))/(1-Model!$B$9)/(1+Model!$B$18)^105))</f>
        <v/>
      </c>
      <c r="DP37" s="7">
        <f>IF(A37="","",IF((A37+106)&gt;Model!$B$4,0,MAX(0,Model!$B$6-IF((A37+106)&gt;=Model!$B$11,Model!$B$20,0)-IF(106&lt;Model!$B$15,Model!$B$22,0))/(1-Model!$B$9)/(1+Model!$B$18)^106))</f>
        <v/>
      </c>
      <c r="DQ37" s="7">
        <f>IF(A37="","",IF((A37+107)&gt;Model!$B$4,0,MAX(0,Model!$B$6-IF((A37+107)&gt;=Model!$B$11,Model!$B$20,0)-IF(107&lt;Model!$B$15,Model!$B$22,0))/(1-Model!$B$9)/(1+Model!$B$18)^107))</f>
        <v/>
      </c>
      <c r="DR37" s="7">
        <f>IF(A37="","",IF((A37+108)&gt;Model!$B$4,0,MAX(0,Model!$B$6-IF((A37+108)&gt;=Model!$B$11,Model!$B$20,0)-IF(108&lt;Model!$B$15,Model!$B$22,0))/(1-Model!$B$9)/(1+Model!$B$18)^108))</f>
        <v/>
      </c>
      <c r="DS37" s="7">
        <f>IF(A37="","",IF((A37+109)&gt;Model!$B$4,0,MAX(0,Model!$B$6-IF((A37+109)&gt;=Model!$B$11,Model!$B$20,0)-IF(109&lt;Model!$B$15,Model!$B$22,0))/(1-Model!$B$9)/(1+Model!$B$18)^109))</f>
        <v/>
      </c>
      <c r="DT37" s="7">
        <f>IF(A37="","",IF((A37+110)&gt;Model!$B$4,0,MAX(0,Model!$B$6-IF((A37+110)&gt;=Model!$B$11,Model!$B$20,0)-IF(110&lt;Model!$B$15,Model!$B$22,0))/(1-Model!$B$9)/(1+Model!$B$18)^110))</f>
        <v/>
      </c>
      <c r="DU37" s="7">
        <f>IF(A37="","",IF((A37+111)&gt;Model!$B$4,0,MAX(0,Model!$B$6-IF((A37+111)&gt;=Model!$B$11,Model!$B$20,0)-IF(111&lt;Model!$B$15,Model!$B$22,0))/(1-Model!$B$9)/(1+Model!$B$18)^111))</f>
        <v/>
      </c>
      <c r="DV37" s="7">
        <f>IF(A37="","",IF((A37+112)&gt;Model!$B$4,0,MAX(0,Model!$B$6-IF((A37+112)&gt;=Model!$B$11,Model!$B$20,0)-IF(112&lt;Model!$B$15,Model!$B$22,0))/(1-Model!$B$9)/(1+Model!$B$18)^112))</f>
        <v/>
      </c>
      <c r="DW37" s="7">
        <f>IF(A37="","",IF((A37+113)&gt;Model!$B$4,0,MAX(0,Model!$B$6-IF((A37+113)&gt;=Model!$B$11,Model!$B$20,0)-IF(113&lt;Model!$B$15,Model!$B$22,0))/(1-Model!$B$9)/(1+Model!$B$18)^113))</f>
        <v/>
      </c>
      <c r="DX37" s="7">
        <f>IF(A37="","",IF((A37+114)&gt;Model!$B$4,0,MAX(0,Model!$B$6-IF((A37+114)&gt;=Model!$B$11,Model!$B$20,0)-IF(114&lt;Model!$B$15,Model!$B$22,0))/(1-Model!$B$9)/(1+Model!$B$18)^114))</f>
        <v/>
      </c>
      <c r="DY37" s="7">
        <f>IF(A37="","",IF((A37+115)&gt;Model!$B$4,0,MAX(0,Model!$B$6-IF((A37+115)&gt;=Model!$B$11,Model!$B$20,0)-IF(115&lt;Model!$B$15,Model!$B$22,0))/(1-Model!$B$9)/(1+Model!$B$18)^115))</f>
        <v/>
      </c>
      <c r="DZ37" s="7">
        <f>IF(A37="","",IF((A37+116)&gt;Model!$B$4,0,MAX(0,Model!$B$6-IF((A37+116)&gt;=Model!$B$11,Model!$B$20,0)-IF(116&lt;Model!$B$15,Model!$B$22,0))/(1-Model!$B$9)/(1+Model!$B$18)^116))</f>
        <v/>
      </c>
      <c r="EA37" s="7">
        <f>IF(A37="","",IF((A37+117)&gt;Model!$B$4,0,MAX(0,Model!$B$6-IF((A37+117)&gt;=Model!$B$11,Model!$B$20,0)-IF(117&lt;Model!$B$15,Model!$B$22,0))/(1-Model!$B$9)/(1+Model!$B$18)^117))</f>
        <v/>
      </c>
      <c r="EB37" s="7">
        <f>IF(A37="","",IF((A37+118)&gt;Model!$B$4,0,MAX(0,Model!$B$6-IF((A37+118)&gt;=Model!$B$11,Model!$B$20,0)-IF(118&lt;Model!$B$15,Model!$B$22,0))/(1-Model!$B$9)/(1+Model!$B$18)^118))</f>
        <v/>
      </c>
      <c r="EC37" s="7">
        <f>IF(A37="","",IF((A37+119)&gt;Model!$B$4,0,MAX(0,Model!$B$6-IF((A37+119)&gt;=Model!$B$11,Model!$B$20,0)-IF(119&lt;Model!$B$15,Model!$B$22,0))/(1-Model!$B$9)/(1+Model!$B$18)^119))</f>
        <v/>
      </c>
      <c r="ED37" s="7">
        <f>IF(A37="","",IF((A37+120)&gt;Model!$B$4,0,MAX(0,Model!$B$6-IF((A37+120)&gt;=Model!$B$11,Model!$B$20,0)-IF(120&lt;Model!$B$15,Model!$B$22,0))/(1-Model!$B$9)/(1+Model!$B$18)^120))</f>
        <v/>
      </c>
    </row>
    <row r="38">
      <c r="A38">
        <f>IF(Model!$B$10+ROW()-2&lt;=Model!$B$4,Model!$B$10+ROW()-2,"")</f>
        <v/>
      </c>
      <c r="B38">
        <f>IF(A38="","",A38-Model!$B$10)</f>
        <v/>
      </c>
      <c r="C38" s="7">
        <f>IF(A38="","",Model!$B$5*(1+Model!$B$18)^B38)</f>
        <v/>
      </c>
      <c r="D38" s="7">
        <f>IF(A38="","",SUM(N38:ED38))</f>
        <v/>
      </c>
      <c r="E38" s="7">
        <f>IF(A38="","",IF(A38&gt;=Model!$B$11,Model!$B$20,0))</f>
        <v/>
      </c>
      <c r="F38" s="7">
        <f>IF(A38="","",IF(Model!$B$15&gt;0,Model!$B$22,0))</f>
        <v/>
      </c>
      <c r="G38" s="7">
        <f>IF(A38="","",E38+F38)</f>
        <v/>
      </c>
      <c r="H38" s="7">
        <f>IF(A38="","",MAX(0,Model!$B$6-G38))</f>
        <v/>
      </c>
      <c r="I38" s="7">
        <f>IF(A38="","",H38/(1-Model!$B$9))</f>
        <v/>
      </c>
      <c r="J38" s="7">
        <f>IF(A38="","",C38-D38)</f>
        <v/>
      </c>
      <c r="K38">
        <f>IF(A38="","",C38&gt;=D38)</f>
        <v/>
      </c>
      <c r="L38" s="7">
        <f>IF(A38="","",IF(A38&gt;=Model!$B$11,Model!$B$19*(1+Model!$B$13)^B38,0))</f>
        <v/>
      </c>
      <c r="M38" s="7">
        <f>IF(A38="","",IF(Model!$B$15&gt;0,Model!$B$21*(1+Model!$B$13)^B38,0))</f>
        <v/>
      </c>
      <c r="N38" s="7">
        <f>IF(A38="","",IF((A38+0)&gt;Model!$B$4,0,MAX(0,Model!$B$6-IF((A38+0)&gt;=Model!$B$11,Model!$B$20,0)-IF(0&lt;Model!$B$15,Model!$B$22,0))/(1-Model!$B$9)/(1+Model!$B$18)^0))</f>
        <v/>
      </c>
      <c r="O38" s="7">
        <f>IF(A38="","",IF((A38+1)&gt;Model!$B$4,0,MAX(0,Model!$B$6-IF((A38+1)&gt;=Model!$B$11,Model!$B$20,0)-IF(1&lt;Model!$B$15,Model!$B$22,0))/(1-Model!$B$9)/(1+Model!$B$18)^1))</f>
        <v/>
      </c>
      <c r="P38" s="7">
        <f>IF(A38="","",IF((A38+2)&gt;Model!$B$4,0,MAX(0,Model!$B$6-IF((A38+2)&gt;=Model!$B$11,Model!$B$20,0)-IF(2&lt;Model!$B$15,Model!$B$22,0))/(1-Model!$B$9)/(1+Model!$B$18)^2))</f>
        <v/>
      </c>
      <c r="Q38" s="7">
        <f>IF(A38="","",IF((A38+3)&gt;Model!$B$4,0,MAX(0,Model!$B$6-IF((A38+3)&gt;=Model!$B$11,Model!$B$20,0)-IF(3&lt;Model!$B$15,Model!$B$22,0))/(1-Model!$B$9)/(1+Model!$B$18)^3))</f>
        <v/>
      </c>
      <c r="R38" s="7">
        <f>IF(A38="","",IF((A38+4)&gt;Model!$B$4,0,MAX(0,Model!$B$6-IF((A38+4)&gt;=Model!$B$11,Model!$B$20,0)-IF(4&lt;Model!$B$15,Model!$B$22,0))/(1-Model!$B$9)/(1+Model!$B$18)^4))</f>
        <v/>
      </c>
      <c r="S38" s="7">
        <f>IF(A38="","",IF((A38+5)&gt;Model!$B$4,0,MAX(0,Model!$B$6-IF((A38+5)&gt;=Model!$B$11,Model!$B$20,0)-IF(5&lt;Model!$B$15,Model!$B$22,0))/(1-Model!$B$9)/(1+Model!$B$18)^5))</f>
        <v/>
      </c>
      <c r="T38" s="7">
        <f>IF(A38="","",IF((A38+6)&gt;Model!$B$4,0,MAX(0,Model!$B$6-IF((A38+6)&gt;=Model!$B$11,Model!$B$20,0)-IF(6&lt;Model!$B$15,Model!$B$22,0))/(1-Model!$B$9)/(1+Model!$B$18)^6))</f>
        <v/>
      </c>
      <c r="U38" s="7">
        <f>IF(A38="","",IF((A38+7)&gt;Model!$B$4,0,MAX(0,Model!$B$6-IF((A38+7)&gt;=Model!$B$11,Model!$B$20,0)-IF(7&lt;Model!$B$15,Model!$B$22,0))/(1-Model!$B$9)/(1+Model!$B$18)^7))</f>
        <v/>
      </c>
      <c r="V38" s="7">
        <f>IF(A38="","",IF((A38+8)&gt;Model!$B$4,0,MAX(0,Model!$B$6-IF((A38+8)&gt;=Model!$B$11,Model!$B$20,0)-IF(8&lt;Model!$B$15,Model!$B$22,0))/(1-Model!$B$9)/(1+Model!$B$18)^8))</f>
        <v/>
      </c>
      <c r="W38" s="7">
        <f>IF(A38="","",IF((A38+9)&gt;Model!$B$4,0,MAX(0,Model!$B$6-IF((A38+9)&gt;=Model!$B$11,Model!$B$20,0)-IF(9&lt;Model!$B$15,Model!$B$22,0))/(1-Model!$B$9)/(1+Model!$B$18)^9))</f>
        <v/>
      </c>
      <c r="X38" s="7">
        <f>IF(A38="","",IF((A38+10)&gt;Model!$B$4,0,MAX(0,Model!$B$6-IF((A38+10)&gt;=Model!$B$11,Model!$B$20,0)-IF(10&lt;Model!$B$15,Model!$B$22,0))/(1-Model!$B$9)/(1+Model!$B$18)^10))</f>
        <v/>
      </c>
      <c r="Y38" s="7">
        <f>IF(A38="","",IF((A38+11)&gt;Model!$B$4,0,MAX(0,Model!$B$6-IF((A38+11)&gt;=Model!$B$11,Model!$B$20,0)-IF(11&lt;Model!$B$15,Model!$B$22,0))/(1-Model!$B$9)/(1+Model!$B$18)^11))</f>
        <v/>
      </c>
      <c r="Z38" s="7">
        <f>IF(A38="","",IF((A38+12)&gt;Model!$B$4,0,MAX(0,Model!$B$6-IF((A38+12)&gt;=Model!$B$11,Model!$B$20,0)-IF(12&lt;Model!$B$15,Model!$B$22,0))/(1-Model!$B$9)/(1+Model!$B$18)^12))</f>
        <v/>
      </c>
      <c r="AA38" s="7">
        <f>IF(A38="","",IF((A38+13)&gt;Model!$B$4,0,MAX(0,Model!$B$6-IF((A38+13)&gt;=Model!$B$11,Model!$B$20,0)-IF(13&lt;Model!$B$15,Model!$B$22,0))/(1-Model!$B$9)/(1+Model!$B$18)^13))</f>
        <v/>
      </c>
      <c r="AB38" s="7">
        <f>IF(A38="","",IF((A38+14)&gt;Model!$B$4,0,MAX(0,Model!$B$6-IF((A38+14)&gt;=Model!$B$11,Model!$B$20,0)-IF(14&lt;Model!$B$15,Model!$B$22,0))/(1-Model!$B$9)/(1+Model!$B$18)^14))</f>
        <v/>
      </c>
      <c r="AC38" s="7">
        <f>IF(A38="","",IF((A38+15)&gt;Model!$B$4,0,MAX(0,Model!$B$6-IF((A38+15)&gt;=Model!$B$11,Model!$B$20,0)-IF(15&lt;Model!$B$15,Model!$B$22,0))/(1-Model!$B$9)/(1+Model!$B$18)^15))</f>
        <v/>
      </c>
      <c r="AD38" s="7">
        <f>IF(A38="","",IF((A38+16)&gt;Model!$B$4,0,MAX(0,Model!$B$6-IF((A38+16)&gt;=Model!$B$11,Model!$B$20,0)-IF(16&lt;Model!$B$15,Model!$B$22,0))/(1-Model!$B$9)/(1+Model!$B$18)^16))</f>
        <v/>
      </c>
      <c r="AE38" s="7">
        <f>IF(A38="","",IF((A38+17)&gt;Model!$B$4,0,MAX(0,Model!$B$6-IF((A38+17)&gt;=Model!$B$11,Model!$B$20,0)-IF(17&lt;Model!$B$15,Model!$B$22,0))/(1-Model!$B$9)/(1+Model!$B$18)^17))</f>
        <v/>
      </c>
      <c r="AF38" s="7">
        <f>IF(A38="","",IF((A38+18)&gt;Model!$B$4,0,MAX(0,Model!$B$6-IF((A38+18)&gt;=Model!$B$11,Model!$B$20,0)-IF(18&lt;Model!$B$15,Model!$B$22,0))/(1-Model!$B$9)/(1+Model!$B$18)^18))</f>
        <v/>
      </c>
      <c r="AG38" s="7">
        <f>IF(A38="","",IF((A38+19)&gt;Model!$B$4,0,MAX(0,Model!$B$6-IF((A38+19)&gt;=Model!$B$11,Model!$B$20,0)-IF(19&lt;Model!$B$15,Model!$B$22,0))/(1-Model!$B$9)/(1+Model!$B$18)^19))</f>
        <v/>
      </c>
      <c r="AH38" s="7">
        <f>IF(A38="","",IF((A38+20)&gt;Model!$B$4,0,MAX(0,Model!$B$6-IF((A38+20)&gt;=Model!$B$11,Model!$B$20,0)-IF(20&lt;Model!$B$15,Model!$B$22,0))/(1-Model!$B$9)/(1+Model!$B$18)^20))</f>
        <v/>
      </c>
      <c r="AI38" s="7">
        <f>IF(A38="","",IF((A38+21)&gt;Model!$B$4,0,MAX(0,Model!$B$6-IF((A38+21)&gt;=Model!$B$11,Model!$B$20,0)-IF(21&lt;Model!$B$15,Model!$B$22,0))/(1-Model!$B$9)/(1+Model!$B$18)^21))</f>
        <v/>
      </c>
      <c r="AJ38" s="7">
        <f>IF(A38="","",IF((A38+22)&gt;Model!$B$4,0,MAX(0,Model!$B$6-IF((A38+22)&gt;=Model!$B$11,Model!$B$20,0)-IF(22&lt;Model!$B$15,Model!$B$22,0))/(1-Model!$B$9)/(1+Model!$B$18)^22))</f>
        <v/>
      </c>
      <c r="AK38" s="7">
        <f>IF(A38="","",IF((A38+23)&gt;Model!$B$4,0,MAX(0,Model!$B$6-IF((A38+23)&gt;=Model!$B$11,Model!$B$20,0)-IF(23&lt;Model!$B$15,Model!$B$22,0))/(1-Model!$B$9)/(1+Model!$B$18)^23))</f>
        <v/>
      </c>
      <c r="AL38" s="7">
        <f>IF(A38="","",IF((A38+24)&gt;Model!$B$4,0,MAX(0,Model!$B$6-IF((A38+24)&gt;=Model!$B$11,Model!$B$20,0)-IF(24&lt;Model!$B$15,Model!$B$22,0))/(1-Model!$B$9)/(1+Model!$B$18)^24))</f>
        <v/>
      </c>
      <c r="AM38" s="7">
        <f>IF(A38="","",IF((A38+25)&gt;Model!$B$4,0,MAX(0,Model!$B$6-IF((A38+25)&gt;=Model!$B$11,Model!$B$20,0)-IF(25&lt;Model!$B$15,Model!$B$22,0))/(1-Model!$B$9)/(1+Model!$B$18)^25))</f>
        <v/>
      </c>
      <c r="AN38" s="7">
        <f>IF(A38="","",IF((A38+26)&gt;Model!$B$4,0,MAX(0,Model!$B$6-IF((A38+26)&gt;=Model!$B$11,Model!$B$20,0)-IF(26&lt;Model!$B$15,Model!$B$22,0))/(1-Model!$B$9)/(1+Model!$B$18)^26))</f>
        <v/>
      </c>
      <c r="AO38" s="7">
        <f>IF(A38="","",IF((A38+27)&gt;Model!$B$4,0,MAX(0,Model!$B$6-IF((A38+27)&gt;=Model!$B$11,Model!$B$20,0)-IF(27&lt;Model!$B$15,Model!$B$22,0))/(1-Model!$B$9)/(1+Model!$B$18)^27))</f>
        <v/>
      </c>
      <c r="AP38" s="7">
        <f>IF(A38="","",IF((A38+28)&gt;Model!$B$4,0,MAX(0,Model!$B$6-IF((A38+28)&gt;=Model!$B$11,Model!$B$20,0)-IF(28&lt;Model!$B$15,Model!$B$22,0))/(1-Model!$B$9)/(1+Model!$B$18)^28))</f>
        <v/>
      </c>
      <c r="AQ38" s="7">
        <f>IF(A38="","",IF((A38+29)&gt;Model!$B$4,0,MAX(0,Model!$B$6-IF((A38+29)&gt;=Model!$B$11,Model!$B$20,0)-IF(29&lt;Model!$B$15,Model!$B$22,0))/(1-Model!$B$9)/(1+Model!$B$18)^29))</f>
        <v/>
      </c>
      <c r="AR38" s="7">
        <f>IF(A38="","",IF((A38+30)&gt;Model!$B$4,0,MAX(0,Model!$B$6-IF((A38+30)&gt;=Model!$B$11,Model!$B$20,0)-IF(30&lt;Model!$B$15,Model!$B$22,0))/(1-Model!$B$9)/(1+Model!$B$18)^30))</f>
        <v/>
      </c>
      <c r="AS38" s="7">
        <f>IF(A38="","",IF((A38+31)&gt;Model!$B$4,0,MAX(0,Model!$B$6-IF((A38+31)&gt;=Model!$B$11,Model!$B$20,0)-IF(31&lt;Model!$B$15,Model!$B$22,0))/(1-Model!$B$9)/(1+Model!$B$18)^31))</f>
        <v/>
      </c>
      <c r="AT38" s="7">
        <f>IF(A38="","",IF((A38+32)&gt;Model!$B$4,0,MAX(0,Model!$B$6-IF((A38+32)&gt;=Model!$B$11,Model!$B$20,0)-IF(32&lt;Model!$B$15,Model!$B$22,0))/(1-Model!$B$9)/(1+Model!$B$18)^32))</f>
        <v/>
      </c>
      <c r="AU38" s="7">
        <f>IF(A38="","",IF((A38+33)&gt;Model!$B$4,0,MAX(0,Model!$B$6-IF((A38+33)&gt;=Model!$B$11,Model!$B$20,0)-IF(33&lt;Model!$B$15,Model!$B$22,0))/(1-Model!$B$9)/(1+Model!$B$18)^33))</f>
        <v/>
      </c>
      <c r="AV38" s="7">
        <f>IF(A38="","",IF((A38+34)&gt;Model!$B$4,0,MAX(0,Model!$B$6-IF((A38+34)&gt;=Model!$B$11,Model!$B$20,0)-IF(34&lt;Model!$B$15,Model!$B$22,0))/(1-Model!$B$9)/(1+Model!$B$18)^34))</f>
        <v/>
      </c>
      <c r="AW38" s="7">
        <f>IF(A38="","",IF((A38+35)&gt;Model!$B$4,0,MAX(0,Model!$B$6-IF((A38+35)&gt;=Model!$B$11,Model!$B$20,0)-IF(35&lt;Model!$B$15,Model!$B$22,0))/(1-Model!$B$9)/(1+Model!$B$18)^35))</f>
        <v/>
      </c>
      <c r="AX38" s="7">
        <f>IF(A38="","",IF((A38+36)&gt;Model!$B$4,0,MAX(0,Model!$B$6-IF((A38+36)&gt;=Model!$B$11,Model!$B$20,0)-IF(36&lt;Model!$B$15,Model!$B$22,0))/(1-Model!$B$9)/(1+Model!$B$18)^36))</f>
        <v/>
      </c>
      <c r="AY38" s="7">
        <f>IF(A38="","",IF((A38+37)&gt;Model!$B$4,0,MAX(0,Model!$B$6-IF((A38+37)&gt;=Model!$B$11,Model!$B$20,0)-IF(37&lt;Model!$B$15,Model!$B$22,0))/(1-Model!$B$9)/(1+Model!$B$18)^37))</f>
        <v/>
      </c>
      <c r="AZ38" s="7">
        <f>IF(A38="","",IF((A38+38)&gt;Model!$B$4,0,MAX(0,Model!$B$6-IF((A38+38)&gt;=Model!$B$11,Model!$B$20,0)-IF(38&lt;Model!$B$15,Model!$B$22,0))/(1-Model!$B$9)/(1+Model!$B$18)^38))</f>
        <v/>
      </c>
      <c r="BA38" s="7">
        <f>IF(A38="","",IF((A38+39)&gt;Model!$B$4,0,MAX(0,Model!$B$6-IF((A38+39)&gt;=Model!$B$11,Model!$B$20,0)-IF(39&lt;Model!$B$15,Model!$B$22,0))/(1-Model!$B$9)/(1+Model!$B$18)^39))</f>
        <v/>
      </c>
      <c r="BB38" s="7">
        <f>IF(A38="","",IF((A38+40)&gt;Model!$B$4,0,MAX(0,Model!$B$6-IF((A38+40)&gt;=Model!$B$11,Model!$B$20,0)-IF(40&lt;Model!$B$15,Model!$B$22,0))/(1-Model!$B$9)/(1+Model!$B$18)^40))</f>
        <v/>
      </c>
      <c r="BC38" s="7">
        <f>IF(A38="","",IF((A38+41)&gt;Model!$B$4,0,MAX(0,Model!$B$6-IF((A38+41)&gt;=Model!$B$11,Model!$B$20,0)-IF(41&lt;Model!$B$15,Model!$B$22,0))/(1-Model!$B$9)/(1+Model!$B$18)^41))</f>
        <v/>
      </c>
      <c r="BD38" s="7">
        <f>IF(A38="","",IF((A38+42)&gt;Model!$B$4,0,MAX(0,Model!$B$6-IF((A38+42)&gt;=Model!$B$11,Model!$B$20,0)-IF(42&lt;Model!$B$15,Model!$B$22,0))/(1-Model!$B$9)/(1+Model!$B$18)^42))</f>
        <v/>
      </c>
      <c r="BE38" s="7">
        <f>IF(A38="","",IF((A38+43)&gt;Model!$B$4,0,MAX(0,Model!$B$6-IF((A38+43)&gt;=Model!$B$11,Model!$B$20,0)-IF(43&lt;Model!$B$15,Model!$B$22,0))/(1-Model!$B$9)/(1+Model!$B$18)^43))</f>
        <v/>
      </c>
      <c r="BF38" s="7">
        <f>IF(A38="","",IF((A38+44)&gt;Model!$B$4,0,MAX(0,Model!$B$6-IF((A38+44)&gt;=Model!$B$11,Model!$B$20,0)-IF(44&lt;Model!$B$15,Model!$B$22,0))/(1-Model!$B$9)/(1+Model!$B$18)^44))</f>
        <v/>
      </c>
      <c r="BG38" s="7">
        <f>IF(A38="","",IF((A38+45)&gt;Model!$B$4,0,MAX(0,Model!$B$6-IF((A38+45)&gt;=Model!$B$11,Model!$B$20,0)-IF(45&lt;Model!$B$15,Model!$B$22,0))/(1-Model!$B$9)/(1+Model!$B$18)^45))</f>
        <v/>
      </c>
      <c r="BH38" s="7">
        <f>IF(A38="","",IF((A38+46)&gt;Model!$B$4,0,MAX(0,Model!$B$6-IF((A38+46)&gt;=Model!$B$11,Model!$B$20,0)-IF(46&lt;Model!$B$15,Model!$B$22,0))/(1-Model!$B$9)/(1+Model!$B$18)^46))</f>
        <v/>
      </c>
      <c r="BI38" s="7">
        <f>IF(A38="","",IF((A38+47)&gt;Model!$B$4,0,MAX(0,Model!$B$6-IF((A38+47)&gt;=Model!$B$11,Model!$B$20,0)-IF(47&lt;Model!$B$15,Model!$B$22,0))/(1-Model!$B$9)/(1+Model!$B$18)^47))</f>
        <v/>
      </c>
      <c r="BJ38" s="7">
        <f>IF(A38="","",IF((A38+48)&gt;Model!$B$4,0,MAX(0,Model!$B$6-IF((A38+48)&gt;=Model!$B$11,Model!$B$20,0)-IF(48&lt;Model!$B$15,Model!$B$22,0))/(1-Model!$B$9)/(1+Model!$B$18)^48))</f>
        <v/>
      </c>
      <c r="BK38" s="7">
        <f>IF(A38="","",IF((A38+49)&gt;Model!$B$4,0,MAX(0,Model!$B$6-IF((A38+49)&gt;=Model!$B$11,Model!$B$20,0)-IF(49&lt;Model!$B$15,Model!$B$22,0))/(1-Model!$B$9)/(1+Model!$B$18)^49))</f>
        <v/>
      </c>
      <c r="BL38" s="7">
        <f>IF(A38="","",IF((A38+50)&gt;Model!$B$4,0,MAX(0,Model!$B$6-IF((A38+50)&gt;=Model!$B$11,Model!$B$20,0)-IF(50&lt;Model!$B$15,Model!$B$22,0))/(1-Model!$B$9)/(1+Model!$B$18)^50))</f>
        <v/>
      </c>
      <c r="BM38" s="7">
        <f>IF(A38="","",IF((A38+51)&gt;Model!$B$4,0,MAX(0,Model!$B$6-IF((A38+51)&gt;=Model!$B$11,Model!$B$20,0)-IF(51&lt;Model!$B$15,Model!$B$22,0))/(1-Model!$B$9)/(1+Model!$B$18)^51))</f>
        <v/>
      </c>
      <c r="BN38" s="7">
        <f>IF(A38="","",IF((A38+52)&gt;Model!$B$4,0,MAX(0,Model!$B$6-IF((A38+52)&gt;=Model!$B$11,Model!$B$20,0)-IF(52&lt;Model!$B$15,Model!$B$22,0))/(1-Model!$B$9)/(1+Model!$B$18)^52))</f>
        <v/>
      </c>
      <c r="BO38" s="7">
        <f>IF(A38="","",IF((A38+53)&gt;Model!$B$4,0,MAX(0,Model!$B$6-IF((A38+53)&gt;=Model!$B$11,Model!$B$20,0)-IF(53&lt;Model!$B$15,Model!$B$22,0))/(1-Model!$B$9)/(1+Model!$B$18)^53))</f>
        <v/>
      </c>
      <c r="BP38" s="7">
        <f>IF(A38="","",IF((A38+54)&gt;Model!$B$4,0,MAX(0,Model!$B$6-IF((A38+54)&gt;=Model!$B$11,Model!$B$20,0)-IF(54&lt;Model!$B$15,Model!$B$22,0))/(1-Model!$B$9)/(1+Model!$B$18)^54))</f>
        <v/>
      </c>
      <c r="BQ38" s="7">
        <f>IF(A38="","",IF((A38+55)&gt;Model!$B$4,0,MAX(0,Model!$B$6-IF((A38+55)&gt;=Model!$B$11,Model!$B$20,0)-IF(55&lt;Model!$B$15,Model!$B$22,0))/(1-Model!$B$9)/(1+Model!$B$18)^55))</f>
        <v/>
      </c>
      <c r="BR38" s="7">
        <f>IF(A38="","",IF((A38+56)&gt;Model!$B$4,0,MAX(0,Model!$B$6-IF((A38+56)&gt;=Model!$B$11,Model!$B$20,0)-IF(56&lt;Model!$B$15,Model!$B$22,0))/(1-Model!$B$9)/(1+Model!$B$18)^56))</f>
        <v/>
      </c>
      <c r="BS38" s="7">
        <f>IF(A38="","",IF((A38+57)&gt;Model!$B$4,0,MAX(0,Model!$B$6-IF((A38+57)&gt;=Model!$B$11,Model!$B$20,0)-IF(57&lt;Model!$B$15,Model!$B$22,0))/(1-Model!$B$9)/(1+Model!$B$18)^57))</f>
        <v/>
      </c>
      <c r="BT38" s="7">
        <f>IF(A38="","",IF((A38+58)&gt;Model!$B$4,0,MAX(0,Model!$B$6-IF((A38+58)&gt;=Model!$B$11,Model!$B$20,0)-IF(58&lt;Model!$B$15,Model!$B$22,0))/(1-Model!$B$9)/(1+Model!$B$18)^58))</f>
        <v/>
      </c>
      <c r="BU38" s="7">
        <f>IF(A38="","",IF((A38+59)&gt;Model!$B$4,0,MAX(0,Model!$B$6-IF((A38+59)&gt;=Model!$B$11,Model!$B$20,0)-IF(59&lt;Model!$B$15,Model!$B$22,0))/(1-Model!$B$9)/(1+Model!$B$18)^59))</f>
        <v/>
      </c>
      <c r="BV38" s="7">
        <f>IF(A38="","",IF((A38+60)&gt;Model!$B$4,0,MAX(0,Model!$B$6-IF((A38+60)&gt;=Model!$B$11,Model!$B$20,0)-IF(60&lt;Model!$B$15,Model!$B$22,0))/(1-Model!$B$9)/(1+Model!$B$18)^60))</f>
        <v/>
      </c>
      <c r="BW38" s="7">
        <f>IF(A38="","",IF((A38+61)&gt;Model!$B$4,0,MAX(0,Model!$B$6-IF((A38+61)&gt;=Model!$B$11,Model!$B$20,0)-IF(61&lt;Model!$B$15,Model!$B$22,0))/(1-Model!$B$9)/(1+Model!$B$18)^61))</f>
        <v/>
      </c>
      <c r="BX38" s="7">
        <f>IF(A38="","",IF((A38+62)&gt;Model!$B$4,0,MAX(0,Model!$B$6-IF((A38+62)&gt;=Model!$B$11,Model!$B$20,0)-IF(62&lt;Model!$B$15,Model!$B$22,0))/(1-Model!$B$9)/(1+Model!$B$18)^62))</f>
        <v/>
      </c>
      <c r="BY38" s="7">
        <f>IF(A38="","",IF((A38+63)&gt;Model!$B$4,0,MAX(0,Model!$B$6-IF((A38+63)&gt;=Model!$B$11,Model!$B$20,0)-IF(63&lt;Model!$B$15,Model!$B$22,0))/(1-Model!$B$9)/(1+Model!$B$18)^63))</f>
        <v/>
      </c>
      <c r="BZ38" s="7">
        <f>IF(A38="","",IF((A38+64)&gt;Model!$B$4,0,MAX(0,Model!$B$6-IF((A38+64)&gt;=Model!$B$11,Model!$B$20,0)-IF(64&lt;Model!$B$15,Model!$B$22,0))/(1-Model!$B$9)/(1+Model!$B$18)^64))</f>
        <v/>
      </c>
      <c r="CA38" s="7">
        <f>IF(A38="","",IF((A38+65)&gt;Model!$B$4,0,MAX(0,Model!$B$6-IF((A38+65)&gt;=Model!$B$11,Model!$B$20,0)-IF(65&lt;Model!$B$15,Model!$B$22,0))/(1-Model!$B$9)/(1+Model!$B$18)^65))</f>
        <v/>
      </c>
      <c r="CB38" s="7">
        <f>IF(A38="","",IF((A38+66)&gt;Model!$B$4,0,MAX(0,Model!$B$6-IF((A38+66)&gt;=Model!$B$11,Model!$B$20,0)-IF(66&lt;Model!$B$15,Model!$B$22,0))/(1-Model!$B$9)/(1+Model!$B$18)^66))</f>
        <v/>
      </c>
      <c r="CC38" s="7">
        <f>IF(A38="","",IF((A38+67)&gt;Model!$B$4,0,MAX(0,Model!$B$6-IF((A38+67)&gt;=Model!$B$11,Model!$B$20,0)-IF(67&lt;Model!$B$15,Model!$B$22,0))/(1-Model!$B$9)/(1+Model!$B$18)^67))</f>
        <v/>
      </c>
      <c r="CD38" s="7">
        <f>IF(A38="","",IF((A38+68)&gt;Model!$B$4,0,MAX(0,Model!$B$6-IF((A38+68)&gt;=Model!$B$11,Model!$B$20,0)-IF(68&lt;Model!$B$15,Model!$B$22,0))/(1-Model!$B$9)/(1+Model!$B$18)^68))</f>
        <v/>
      </c>
      <c r="CE38" s="7">
        <f>IF(A38="","",IF((A38+69)&gt;Model!$B$4,0,MAX(0,Model!$B$6-IF((A38+69)&gt;=Model!$B$11,Model!$B$20,0)-IF(69&lt;Model!$B$15,Model!$B$22,0))/(1-Model!$B$9)/(1+Model!$B$18)^69))</f>
        <v/>
      </c>
      <c r="CF38" s="7">
        <f>IF(A38="","",IF((A38+70)&gt;Model!$B$4,0,MAX(0,Model!$B$6-IF((A38+70)&gt;=Model!$B$11,Model!$B$20,0)-IF(70&lt;Model!$B$15,Model!$B$22,0))/(1-Model!$B$9)/(1+Model!$B$18)^70))</f>
        <v/>
      </c>
      <c r="CG38" s="7">
        <f>IF(A38="","",IF((A38+71)&gt;Model!$B$4,0,MAX(0,Model!$B$6-IF((A38+71)&gt;=Model!$B$11,Model!$B$20,0)-IF(71&lt;Model!$B$15,Model!$B$22,0))/(1-Model!$B$9)/(1+Model!$B$18)^71))</f>
        <v/>
      </c>
      <c r="CH38" s="7">
        <f>IF(A38="","",IF((A38+72)&gt;Model!$B$4,0,MAX(0,Model!$B$6-IF((A38+72)&gt;=Model!$B$11,Model!$B$20,0)-IF(72&lt;Model!$B$15,Model!$B$22,0))/(1-Model!$B$9)/(1+Model!$B$18)^72))</f>
        <v/>
      </c>
      <c r="CI38" s="7">
        <f>IF(A38="","",IF((A38+73)&gt;Model!$B$4,0,MAX(0,Model!$B$6-IF((A38+73)&gt;=Model!$B$11,Model!$B$20,0)-IF(73&lt;Model!$B$15,Model!$B$22,0))/(1-Model!$B$9)/(1+Model!$B$18)^73))</f>
        <v/>
      </c>
      <c r="CJ38" s="7">
        <f>IF(A38="","",IF((A38+74)&gt;Model!$B$4,0,MAX(0,Model!$B$6-IF((A38+74)&gt;=Model!$B$11,Model!$B$20,0)-IF(74&lt;Model!$B$15,Model!$B$22,0))/(1-Model!$B$9)/(1+Model!$B$18)^74))</f>
        <v/>
      </c>
      <c r="CK38" s="7">
        <f>IF(A38="","",IF((A38+75)&gt;Model!$B$4,0,MAX(0,Model!$B$6-IF((A38+75)&gt;=Model!$B$11,Model!$B$20,0)-IF(75&lt;Model!$B$15,Model!$B$22,0))/(1-Model!$B$9)/(1+Model!$B$18)^75))</f>
        <v/>
      </c>
      <c r="CL38" s="7">
        <f>IF(A38="","",IF((A38+76)&gt;Model!$B$4,0,MAX(0,Model!$B$6-IF((A38+76)&gt;=Model!$B$11,Model!$B$20,0)-IF(76&lt;Model!$B$15,Model!$B$22,0))/(1-Model!$B$9)/(1+Model!$B$18)^76))</f>
        <v/>
      </c>
      <c r="CM38" s="7">
        <f>IF(A38="","",IF((A38+77)&gt;Model!$B$4,0,MAX(0,Model!$B$6-IF((A38+77)&gt;=Model!$B$11,Model!$B$20,0)-IF(77&lt;Model!$B$15,Model!$B$22,0))/(1-Model!$B$9)/(1+Model!$B$18)^77))</f>
        <v/>
      </c>
      <c r="CN38" s="7">
        <f>IF(A38="","",IF((A38+78)&gt;Model!$B$4,0,MAX(0,Model!$B$6-IF((A38+78)&gt;=Model!$B$11,Model!$B$20,0)-IF(78&lt;Model!$B$15,Model!$B$22,0))/(1-Model!$B$9)/(1+Model!$B$18)^78))</f>
        <v/>
      </c>
      <c r="CO38" s="7">
        <f>IF(A38="","",IF((A38+79)&gt;Model!$B$4,0,MAX(0,Model!$B$6-IF((A38+79)&gt;=Model!$B$11,Model!$B$20,0)-IF(79&lt;Model!$B$15,Model!$B$22,0))/(1-Model!$B$9)/(1+Model!$B$18)^79))</f>
        <v/>
      </c>
      <c r="CP38" s="7">
        <f>IF(A38="","",IF((A38+80)&gt;Model!$B$4,0,MAX(0,Model!$B$6-IF((A38+80)&gt;=Model!$B$11,Model!$B$20,0)-IF(80&lt;Model!$B$15,Model!$B$22,0))/(1-Model!$B$9)/(1+Model!$B$18)^80))</f>
        <v/>
      </c>
      <c r="CQ38" s="7">
        <f>IF(A38="","",IF((A38+81)&gt;Model!$B$4,0,MAX(0,Model!$B$6-IF((A38+81)&gt;=Model!$B$11,Model!$B$20,0)-IF(81&lt;Model!$B$15,Model!$B$22,0))/(1-Model!$B$9)/(1+Model!$B$18)^81))</f>
        <v/>
      </c>
      <c r="CR38" s="7">
        <f>IF(A38="","",IF((A38+82)&gt;Model!$B$4,0,MAX(0,Model!$B$6-IF((A38+82)&gt;=Model!$B$11,Model!$B$20,0)-IF(82&lt;Model!$B$15,Model!$B$22,0))/(1-Model!$B$9)/(1+Model!$B$18)^82))</f>
        <v/>
      </c>
      <c r="CS38" s="7">
        <f>IF(A38="","",IF((A38+83)&gt;Model!$B$4,0,MAX(0,Model!$B$6-IF((A38+83)&gt;=Model!$B$11,Model!$B$20,0)-IF(83&lt;Model!$B$15,Model!$B$22,0))/(1-Model!$B$9)/(1+Model!$B$18)^83))</f>
        <v/>
      </c>
      <c r="CT38" s="7">
        <f>IF(A38="","",IF((A38+84)&gt;Model!$B$4,0,MAX(0,Model!$B$6-IF((A38+84)&gt;=Model!$B$11,Model!$B$20,0)-IF(84&lt;Model!$B$15,Model!$B$22,0))/(1-Model!$B$9)/(1+Model!$B$18)^84))</f>
        <v/>
      </c>
      <c r="CU38" s="7">
        <f>IF(A38="","",IF((A38+85)&gt;Model!$B$4,0,MAX(0,Model!$B$6-IF((A38+85)&gt;=Model!$B$11,Model!$B$20,0)-IF(85&lt;Model!$B$15,Model!$B$22,0))/(1-Model!$B$9)/(1+Model!$B$18)^85))</f>
        <v/>
      </c>
      <c r="CV38" s="7">
        <f>IF(A38="","",IF((A38+86)&gt;Model!$B$4,0,MAX(0,Model!$B$6-IF((A38+86)&gt;=Model!$B$11,Model!$B$20,0)-IF(86&lt;Model!$B$15,Model!$B$22,0))/(1-Model!$B$9)/(1+Model!$B$18)^86))</f>
        <v/>
      </c>
      <c r="CW38" s="7">
        <f>IF(A38="","",IF((A38+87)&gt;Model!$B$4,0,MAX(0,Model!$B$6-IF((A38+87)&gt;=Model!$B$11,Model!$B$20,0)-IF(87&lt;Model!$B$15,Model!$B$22,0))/(1-Model!$B$9)/(1+Model!$B$18)^87))</f>
        <v/>
      </c>
      <c r="CX38" s="7">
        <f>IF(A38="","",IF((A38+88)&gt;Model!$B$4,0,MAX(0,Model!$B$6-IF((A38+88)&gt;=Model!$B$11,Model!$B$20,0)-IF(88&lt;Model!$B$15,Model!$B$22,0))/(1-Model!$B$9)/(1+Model!$B$18)^88))</f>
        <v/>
      </c>
      <c r="CY38" s="7">
        <f>IF(A38="","",IF((A38+89)&gt;Model!$B$4,0,MAX(0,Model!$B$6-IF((A38+89)&gt;=Model!$B$11,Model!$B$20,0)-IF(89&lt;Model!$B$15,Model!$B$22,0))/(1-Model!$B$9)/(1+Model!$B$18)^89))</f>
        <v/>
      </c>
      <c r="CZ38" s="7">
        <f>IF(A38="","",IF((A38+90)&gt;Model!$B$4,0,MAX(0,Model!$B$6-IF((A38+90)&gt;=Model!$B$11,Model!$B$20,0)-IF(90&lt;Model!$B$15,Model!$B$22,0))/(1-Model!$B$9)/(1+Model!$B$18)^90))</f>
        <v/>
      </c>
      <c r="DA38" s="7">
        <f>IF(A38="","",IF((A38+91)&gt;Model!$B$4,0,MAX(0,Model!$B$6-IF((A38+91)&gt;=Model!$B$11,Model!$B$20,0)-IF(91&lt;Model!$B$15,Model!$B$22,0))/(1-Model!$B$9)/(1+Model!$B$18)^91))</f>
        <v/>
      </c>
      <c r="DB38" s="7">
        <f>IF(A38="","",IF((A38+92)&gt;Model!$B$4,0,MAX(0,Model!$B$6-IF((A38+92)&gt;=Model!$B$11,Model!$B$20,0)-IF(92&lt;Model!$B$15,Model!$B$22,0))/(1-Model!$B$9)/(1+Model!$B$18)^92))</f>
        <v/>
      </c>
      <c r="DC38" s="7">
        <f>IF(A38="","",IF((A38+93)&gt;Model!$B$4,0,MAX(0,Model!$B$6-IF((A38+93)&gt;=Model!$B$11,Model!$B$20,0)-IF(93&lt;Model!$B$15,Model!$B$22,0))/(1-Model!$B$9)/(1+Model!$B$18)^93))</f>
        <v/>
      </c>
      <c r="DD38" s="7">
        <f>IF(A38="","",IF((A38+94)&gt;Model!$B$4,0,MAX(0,Model!$B$6-IF((A38+94)&gt;=Model!$B$11,Model!$B$20,0)-IF(94&lt;Model!$B$15,Model!$B$22,0))/(1-Model!$B$9)/(1+Model!$B$18)^94))</f>
        <v/>
      </c>
      <c r="DE38" s="7">
        <f>IF(A38="","",IF((A38+95)&gt;Model!$B$4,0,MAX(0,Model!$B$6-IF((A38+95)&gt;=Model!$B$11,Model!$B$20,0)-IF(95&lt;Model!$B$15,Model!$B$22,0))/(1-Model!$B$9)/(1+Model!$B$18)^95))</f>
        <v/>
      </c>
      <c r="DF38" s="7">
        <f>IF(A38="","",IF((A38+96)&gt;Model!$B$4,0,MAX(0,Model!$B$6-IF((A38+96)&gt;=Model!$B$11,Model!$B$20,0)-IF(96&lt;Model!$B$15,Model!$B$22,0))/(1-Model!$B$9)/(1+Model!$B$18)^96))</f>
        <v/>
      </c>
      <c r="DG38" s="7">
        <f>IF(A38="","",IF((A38+97)&gt;Model!$B$4,0,MAX(0,Model!$B$6-IF((A38+97)&gt;=Model!$B$11,Model!$B$20,0)-IF(97&lt;Model!$B$15,Model!$B$22,0))/(1-Model!$B$9)/(1+Model!$B$18)^97))</f>
        <v/>
      </c>
      <c r="DH38" s="7">
        <f>IF(A38="","",IF((A38+98)&gt;Model!$B$4,0,MAX(0,Model!$B$6-IF((A38+98)&gt;=Model!$B$11,Model!$B$20,0)-IF(98&lt;Model!$B$15,Model!$B$22,0))/(1-Model!$B$9)/(1+Model!$B$18)^98))</f>
        <v/>
      </c>
      <c r="DI38" s="7">
        <f>IF(A38="","",IF((A38+99)&gt;Model!$B$4,0,MAX(0,Model!$B$6-IF((A38+99)&gt;=Model!$B$11,Model!$B$20,0)-IF(99&lt;Model!$B$15,Model!$B$22,0))/(1-Model!$B$9)/(1+Model!$B$18)^99))</f>
        <v/>
      </c>
      <c r="DJ38" s="7">
        <f>IF(A38="","",IF((A38+100)&gt;Model!$B$4,0,MAX(0,Model!$B$6-IF((A38+100)&gt;=Model!$B$11,Model!$B$20,0)-IF(100&lt;Model!$B$15,Model!$B$22,0))/(1-Model!$B$9)/(1+Model!$B$18)^100))</f>
        <v/>
      </c>
      <c r="DK38" s="7">
        <f>IF(A38="","",IF((A38+101)&gt;Model!$B$4,0,MAX(0,Model!$B$6-IF((A38+101)&gt;=Model!$B$11,Model!$B$20,0)-IF(101&lt;Model!$B$15,Model!$B$22,0))/(1-Model!$B$9)/(1+Model!$B$18)^101))</f>
        <v/>
      </c>
      <c r="DL38" s="7">
        <f>IF(A38="","",IF((A38+102)&gt;Model!$B$4,0,MAX(0,Model!$B$6-IF((A38+102)&gt;=Model!$B$11,Model!$B$20,0)-IF(102&lt;Model!$B$15,Model!$B$22,0))/(1-Model!$B$9)/(1+Model!$B$18)^102))</f>
        <v/>
      </c>
      <c r="DM38" s="7">
        <f>IF(A38="","",IF((A38+103)&gt;Model!$B$4,0,MAX(0,Model!$B$6-IF((A38+103)&gt;=Model!$B$11,Model!$B$20,0)-IF(103&lt;Model!$B$15,Model!$B$22,0))/(1-Model!$B$9)/(1+Model!$B$18)^103))</f>
        <v/>
      </c>
      <c r="DN38" s="7">
        <f>IF(A38="","",IF((A38+104)&gt;Model!$B$4,0,MAX(0,Model!$B$6-IF((A38+104)&gt;=Model!$B$11,Model!$B$20,0)-IF(104&lt;Model!$B$15,Model!$B$22,0))/(1-Model!$B$9)/(1+Model!$B$18)^104))</f>
        <v/>
      </c>
      <c r="DO38" s="7">
        <f>IF(A38="","",IF((A38+105)&gt;Model!$B$4,0,MAX(0,Model!$B$6-IF((A38+105)&gt;=Model!$B$11,Model!$B$20,0)-IF(105&lt;Model!$B$15,Model!$B$22,0))/(1-Model!$B$9)/(1+Model!$B$18)^105))</f>
        <v/>
      </c>
      <c r="DP38" s="7">
        <f>IF(A38="","",IF((A38+106)&gt;Model!$B$4,0,MAX(0,Model!$B$6-IF((A38+106)&gt;=Model!$B$11,Model!$B$20,0)-IF(106&lt;Model!$B$15,Model!$B$22,0))/(1-Model!$B$9)/(1+Model!$B$18)^106))</f>
        <v/>
      </c>
      <c r="DQ38" s="7">
        <f>IF(A38="","",IF((A38+107)&gt;Model!$B$4,0,MAX(0,Model!$B$6-IF((A38+107)&gt;=Model!$B$11,Model!$B$20,0)-IF(107&lt;Model!$B$15,Model!$B$22,0))/(1-Model!$B$9)/(1+Model!$B$18)^107))</f>
        <v/>
      </c>
      <c r="DR38" s="7">
        <f>IF(A38="","",IF((A38+108)&gt;Model!$B$4,0,MAX(0,Model!$B$6-IF((A38+108)&gt;=Model!$B$11,Model!$B$20,0)-IF(108&lt;Model!$B$15,Model!$B$22,0))/(1-Model!$B$9)/(1+Model!$B$18)^108))</f>
        <v/>
      </c>
      <c r="DS38" s="7">
        <f>IF(A38="","",IF((A38+109)&gt;Model!$B$4,0,MAX(0,Model!$B$6-IF((A38+109)&gt;=Model!$B$11,Model!$B$20,0)-IF(109&lt;Model!$B$15,Model!$B$22,0))/(1-Model!$B$9)/(1+Model!$B$18)^109))</f>
        <v/>
      </c>
      <c r="DT38" s="7">
        <f>IF(A38="","",IF((A38+110)&gt;Model!$B$4,0,MAX(0,Model!$B$6-IF((A38+110)&gt;=Model!$B$11,Model!$B$20,0)-IF(110&lt;Model!$B$15,Model!$B$22,0))/(1-Model!$B$9)/(1+Model!$B$18)^110))</f>
        <v/>
      </c>
      <c r="DU38" s="7">
        <f>IF(A38="","",IF((A38+111)&gt;Model!$B$4,0,MAX(0,Model!$B$6-IF((A38+111)&gt;=Model!$B$11,Model!$B$20,0)-IF(111&lt;Model!$B$15,Model!$B$22,0))/(1-Model!$B$9)/(1+Model!$B$18)^111))</f>
        <v/>
      </c>
      <c r="DV38" s="7">
        <f>IF(A38="","",IF((A38+112)&gt;Model!$B$4,0,MAX(0,Model!$B$6-IF((A38+112)&gt;=Model!$B$11,Model!$B$20,0)-IF(112&lt;Model!$B$15,Model!$B$22,0))/(1-Model!$B$9)/(1+Model!$B$18)^112))</f>
        <v/>
      </c>
      <c r="DW38" s="7">
        <f>IF(A38="","",IF((A38+113)&gt;Model!$B$4,0,MAX(0,Model!$B$6-IF((A38+113)&gt;=Model!$B$11,Model!$B$20,0)-IF(113&lt;Model!$B$15,Model!$B$22,0))/(1-Model!$B$9)/(1+Model!$B$18)^113))</f>
        <v/>
      </c>
      <c r="DX38" s="7">
        <f>IF(A38="","",IF((A38+114)&gt;Model!$B$4,0,MAX(0,Model!$B$6-IF((A38+114)&gt;=Model!$B$11,Model!$B$20,0)-IF(114&lt;Model!$B$15,Model!$B$22,0))/(1-Model!$B$9)/(1+Model!$B$18)^114))</f>
        <v/>
      </c>
      <c r="DY38" s="7">
        <f>IF(A38="","",IF((A38+115)&gt;Model!$B$4,0,MAX(0,Model!$B$6-IF((A38+115)&gt;=Model!$B$11,Model!$B$20,0)-IF(115&lt;Model!$B$15,Model!$B$22,0))/(1-Model!$B$9)/(1+Model!$B$18)^115))</f>
        <v/>
      </c>
      <c r="DZ38" s="7">
        <f>IF(A38="","",IF((A38+116)&gt;Model!$B$4,0,MAX(0,Model!$B$6-IF((A38+116)&gt;=Model!$B$11,Model!$B$20,0)-IF(116&lt;Model!$B$15,Model!$B$22,0))/(1-Model!$B$9)/(1+Model!$B$18)^116))</f>
        <v/>
      </c>
      <c r="EA38" s="7">
        <f>IF(A38="","",IF((A38+117)&gt;Model!$B$4,0,MAX(0,Model!$B$6-IF((A38+117)&gt;=Model!$B$11,Model!$B$20,0)-IF(117&lt;Model!$B$15,Model!$B$22,0))/(1-Model!$B$9)/(1+Model!$B$18)^117))</f>
        <v/>
      </c>
      <c r="EB38" s="7">
        <f>IF(A38="","",IF((A38+118)&gt;Model!$B$4,0,MAX(0,Model!$B$6-IF((A38+118)&gt;=Model!$B$11,Model!$B$20,0)-IF(118&lt;Model!$B$15,Model!$B$22,0))/(1-Model!$B$9)/(1+Model!$B$18)^118))</f>
        <v/>
      </c>
      <c r="EC38" s="7">
        <f>IF(A38="","",IF((A38+119)&gt;Model!$B$4,0,MAX(0,Model!$B$6-IF((A38+119)&gt;=Model!$B$11,Model!$B$20,0)-IF(119&lt;Model!$B$15,Model!$B$22,0))/(1-Model!$B$9)/(1+Model!$B$18)^119))</f>
        <v/>
      </c>
      <c r="ED38" s="7">
        <f>IF(A38="","",IF((A38+120)&gt;Model!$B$4,0,MAX(0,Model!$B$6-IF((A38+120)&gt;=Model!$B$11,Model!$B$20,0)-IF(120&lt;Model!$B$15,Model!$B$22,0))/(1-Model!$B$9)/(1+Model!$B$18)^120))</f>
        <v/>
      </c>
    </row>
    <row r="39">
      <c r="A39">
        <f>IF(Model!$B$10+ROW()-2&lt;=Model!$B$4,Model!$B$10+ROW()-2,"")</f>
        <v/>
      </c>
      <c r="B39">
        <f>IF(A39="","",A39-Model!$B$10)</f>
        <v/>
      </c>
      <c r="C39" s="7">
        <f>IF(A39="","",Model!$B$5*(1+Model!$B$18)^B39)</f>
        <v/>
      </c>
      <c r="D39" s="7">
        <f>IF(A39="","",SUM(N39:ED39))</f>
        <v/>
      </c>
      <c r="E39" s="7">
        <f>IF(A39="","",IF(A39&gt;=Model!$B$11,Model!$B$20,0))</f>
        <v/>
      </c>
      <c r="F39" s="7">
        <f>IF(A39="","",IF(Model!$B$15&gt;0,Model!$B$22,0))</f>
        <v/>
      </c>
      <c r="G39" s="7">
        <f>IF(A39="","",E39+F39)</f>
        <v/>
      </c>
      <c r="H39" s="7">
        <f>IF(A39="","",MAX(0,Model!$B$6-G39))</f>
        <v/>
      </c>
      <c r="I39" s="7">
        <f>IF(A39="","",H39/(1-Model!$B$9))</f>
        <v/>
      </c>
      <c r="J39" s="7">
        <f>IF(A39="","",C39-D39)</f>
        <v/>
      </c>
      <c r="K39">
        <f>IF(A39="","",C39&gt;=D39)</f>
        <v/>
      </c>
      <c r="L39" s="7">
        <f>IF(A39="","",IF(A39&gt;=Model!$B$11,Model!$B$19*(1+Model!$B$13)^B39,0))</f>
        <v/>
      </c>
      <c r="M39" s="7">
        <f>IF(A39="","",IF(Model!$B$15&gt;0,Model!$B$21*(1+Model!$B$13)^B39,0))</f>
        <v/>
      </c>
      <c r="N39" s="7">
        <f>IF(A39="","",IF((A39+0)&gt;Model!$B$4,0,MAX(0,Model!$B$6-IF((A39+0)&gt;=Model!$B$11,Model!$B$20,0)-IF(0&lt;Model!$B$15,Model!$B$22,0))/(1-Model!$B$9)/(1+Model!$B$18)^0))</f>
        <v/>
      </c>
      <c r="O39" s="7">
        <f>IF(A39="","",IF((A39+1)&gt;Model!$B$4,0,MAX(0,Model!$B$6-IF((A39+1)&gt;=Model!$B$11,Model!$B$20,0)-IF(1&lt;Model!$B$15,Model!$B$22,0))/(1-Model!$B$9)/(1+Model!$B$18)^1))</f>
        <v/>
      </c>
      <c r="P39" s="7">
        <f>IF(A39="","",IF((A39+2)&gt;Model!$B$4,0,MAX(0,Model!$B$6-IF((A39+2)&gt;=Model!$B$11,Model!$B$20,0)-IF(2&lt;Model!$B$15,Model!$B$22,0))/(1-Model!$B$9)/(1+Model!$B$18)^2))</f>
        <v/>
      </c>
      <c r="Q39" s="7">
        <f>IF(A39="","",IF((A39+3)&gt;Model!$B$4,0,MAX(0,Model!$B$6-IF((A39+3)&gt;=Model!$B$11,Model!$B$20,0)-IF(3&lt;Model!$B$15,Model!$B$22,0))/(1-Model!$B$9)/(1+Model!$B$18)^3))</f>
        <v/>
      </c>
      <c r="R39" s="7">
        <f>IF(A39="","",IF((A39+4)&gt;Model!$B$4,0,MAX(0,Model!$B$6-IF((A39+4)&gt;=Model!$B$11,Model!$B$20,0)-IF(4&lt;Model!$B$15,Model!$B$22,0))/(1-Model!$B$9)/(1+Model!$B$18)^4))</f>
        <v/>
      </c>
      <c r="S39" s="7">
        <f>IF(A39="","",IF((A39+5)&gt;Model!$B$4,0,MAX(0,Model!$B$6-IF((A39+5)&gt;=Model!$B$11,Model!$B$20,0)-IF(5&lt;Model!$B$15,Model!$B$22,0))/(1-Model!$B$9)/(1+Model!$B$18)^5))</f>
        <v/>
      </c>
      <c r="T39" s="7">
        <f>IF(A39="","",IF((A39+6)&gt;Model!$B$4,0,MAX(0,Model!$B$6-IF((A39+6)&gt;=Model!$B$11,Model!$B$20,0)-IF(6&lt;Model!$B$15,Model!$B$22,0))/(1-Model!$B$9)/(1+Model!$B$18)^6))</f>
        <v/>
      </c>
      <c r="U39" s="7">
        <f>IF(A39="","",IF((A39+7)&gt;Model!$B$4,0,MAX(0,Model!$B$6-IF((A39+7)&gt;=Model!$B$11,Model!$B$20,0)-IF(7&lt;Model!$B$15,Model!$B$22,0))/(1-Model!$B$9)/(1+Model!$B$18)^7))</f>
        <v/>
      </c>
      <c r="V39" s="7">
        <f>IF(A39="","",IF((A39+8)&gt;Model!$B$4,0,MAX(0,Model!$B$6-IF((A39+8)&gt;=Model!$B$11,Model!$B$20,0)-IF(8&lt;Model!$B$15,Model!$B$22,0))/(1-Model!$B$9)/(1+Model!$B$18)^8))</f>
        <v/>
      </c>
      <c r="W39" s="7">
        <f>IF(A39="","",IF((A39+9)&gt;Model!$B$4,0,MAX(0,Model!$B$6-IF((A39+9)&gt;=Model!$B$11,Model!$B$20,0)-IF(9&lt;Model!$B$15,Model!$B$22,0))/(1-Model!$B$9)/(1+Model!$B$18)^9))</f>
        <v/>
      </c>
      <c r="X39" s="7">
        <f>IF(A39="","",IF((A39+10)&gt;Model!$B$4,0,MAX(0,Model!$B$6-IF((A39+10)&gt;=Model!$B$11,Model!$B$20,0)-IF(10&lt;Model!$B$15,Model!$B$22,0))/(1-Model!$B$9)/(1+Model!$B$18)^10))</f>
        <v/>
      </c>
      <c r="Y39" s="7">
        <f>IF(A39="","",IF((A39+11)&gt;Model!$B$4,0,MAX(0,Model!$B$6-IF((A39+11)&gt;=Model!$B$11,Model!$B$20,0)-IF(11&lt;Model!$B$15,Model!$B$22,0))/(1-Model!$B$9)/(1+Model!$B$18)^11))</f>
        <v/>
      </c>
      <c r="Z39" s="7">
        <f>IF(A39="","",IF((A39+12)&gt;Model!$B$4,0,MAX(0,Model!$B$6-IF((A39+12)&gt;=Model!$B$11,Model!$B$20,0)-IF(12&lt;Model!$B$15,Model!$B$22,0))/(1-Model!$B$9)/(1+Model!$B$18)^12))</f>
        <v/>
      </c>
      <c r="AA39" s="7">
        <f>IF(A39="","",IF((A39+13)&gt;Model!$B$4,0,MAX(0,Model!$B$6-IF((A39+13)&gt;=Model!$B$11,Model!$B$20,0)-IF(13&lt;Model!$B$15,Model!$B$22,0))/(1-Model!$B$9)/(1+Model!$B$18)^13))</f>
        <v/>
      </c>
      <c r="AB39" s="7">
        <f>IF(A39="","",IF((A39+14)&gt;Model!$B$4,0,MAX(0,Model!$B$6-IF((A39+14)&gt;=Model!$B$11,Model!$B$20,0)-IF(14&lt;Model!$B$15,Model!$B$22,0))/(1-Model!$B$9)/(1+Model!$B$18)^14))</f>
        <v/>
      </c>
      <c r="AC39" s="7">
        <f>IF(A39="","",IF((A39+15)&gt;Model!$B$4,0,MAX(0,Model!$B$6-IF((A39+15)&gt;=Model!$B$11,Model!$B$20,0)-IF(15&lt;Model!$B$15,Model!$B$22,0))/(1-Model!$B$9)/(1+Model!$B$18)^15))</f>
        <v/>
      </c>
      <c r="AD39" s="7">
        <f>IF(A39="","",IF((A39+16)&gt;Model!$B$4,0,MAX(0,Model!$B$6-IF((A39+16)&gt;=Model!$B$11,Model!$B$20,0)-IF(16&lt;Model!$B$15,Model!$B$22,0))/(1-Model!$B$9)/(1+Model!$B$18)^16))</f>
        <v/>
      </c>
      <c r="AE39" s="7">
        <f>IF(A39="","",IF((A39+17)&gt;Model!$B$4,0,MAX(0,Model!$B$6-IF((A39+17)&gt;=Model!$B$11,Model!$B$20,0)-IF(17&lt;Model!$B$15,Model!$B$22,0))/(1-Model!$B$9)/(1+Model!$B$18)^17))</f>
        <v/>
      </c>
      <c r="AF39" s="7">
        <f>IF(A39="","",IF((A39+18)&gt;Model!$B$4,0,MAX(0,Model!$B$6-IF((A39+18)&gt;=Model!$B$11,Model!$B$20,0)-IF(18&lt;Model!$B$15,Model!$B$22,0))/(1-Model!$B$9)/(1+Model!$B$18)^18))</f>
        <v/>
      </c>
      <c r="AG39" s="7">
        <f>IF(A39="","",IF((A39+19)&gt;Model!$B$4,0,MAX(0,Model!$B$6-IF((A39+19)&gt;=Model!$B$11,Model!$B$20,0)-IF(19&lt;Model!$B$15,Model!$B$22,0))/(1-Model!$B$9)/(1+Model!$B$18)^19))</f>
        <v/>
      </c>
      <c r="AH39" s="7">
        <f>IF(A39="","",IF((A39+20)&gt;Model!$B$4,0,MAX(0,Model!$B$6-IF((A39+20)&gt;=Model!$B$11,Model!$B$20,0)-IF(20&lt;Model!$B$15,Model!$B$22,0))/(1-Model!$B$9)/(1+Model!$B$18)^20))</f>
        <v/>
      </c>
      <c r="AI39" s="7">
        <f>IF(A39="","",IF((A39+21)&gt;Model!$B$4,0,MAX(0,Model!$B$6-IF((A39+21)&gt;=Model!$B$11,Model!$B$20,0)-IF(21&lt;Model!$B$15,Model!$B$22,0))/(1-Model!$B$9)/(1+Model!$B$18)^21))</f>
        <v/>
      </c>
      <c r="AJ39" s="7">
        <f>IF(A39="","",IF((A39+22)&gt;Model!$B$4,0,MAX(0,Model!$B$6-IF((A39+22)&gt;=Model!$B$11,Model!$B$20,0)-IF(22&lt;Model!$B$15,Model!$B$22,0))/(1-Model!$B$9)/(1+Model!$B$18)^22))</f>
        <v/>
      </c>
      <c r="AK39" s="7">
        <f>IF(A39="","",IF((A39+23)&gt;Model!$B$4,0,MAX(0,Model!$B$6-IF((A39+23)&gt;=Model!$B$11,Model!$B$20,0)-IF(23&lt;Model!$B$15,Model!$B$22,0))/(1-Model!$B$9)/(1+Model!$B$18)^23))</f>
        <v/>
      </c>
      <c r="AL39" s="7">
        <f>IF(A39="","",IF((A39+24)&gt;Model!$B$4,0,MAX(0,Model!$B$6-IF((A39+24)&gt;=Model!$B$11,Model!$B$20,0)-IF(24&lt;Model!$B$15,Model!$B$22,0))/(1-Model!$B$9)/(1+Model!$B$18)^24))</f>
        <v/>
      </c>
      <c r="AM39" s="7">
        <f>IF(A39="","",IF((A39+25)&gt;Model!$B$4,0,MAX(0,Model!$B$6-IF((A39+25)&gt;=Model!$B$11,Model!$B$20,0)-IF(25&lt;Model!$B$15,Model!$B$22,0))/(1-Model!$B$9)/(1+Model!$B$18)^25))</f>
        <v/>
      </c>
      <c r="AN39" s="7">
        <f>IF(A39="","",IF((A39+26)&gt;Model!$B$4,0,MAX(0,Model!$B$6-IF((A39+26)&gt;=Model!$B$11,Model!$B$20,0)-IF(26&lt;Model!$B$15,Model!$B$22,0))/(1-Model!$B$9)/(1+Model!$B$18)^26))</f>
        <v/>
      </c>
      <c r="AO39" s="7">
        <f>IF(A39="","",IF((A39+27)&gt;Model!$B$4,0,MAX(0,Model!$B$6-IF((A39+27)&gt;=Model!$B$11,Model!$B$20,0)-IF(27&lt;Model!$B$15,Model!$B$22,0))/(1-Model!$B$9)/(1+Model!$B$18)^27))</f>
        <v/>
      </c>
      <c r="AP39" s="7">
        <f>IF(A39="","",IF((A39+28)&gt;Model!$B$4,0,MAX(0,Model!$B$6-IF((A39+28)&gt;=Model!$B$11,Model!$B$20,0)-IF(28&lt;Model!$B$15,Model!$B$22,0))/(1-Model!$B$9)/(1+Model!$B$18)^28))</f>
        <v/>
      </c>
      <c r="AQ39" s="7">
        <f>IF(A39="","",IF((A39+29)&gt;Model!$B$4,0,MAX(0,Model!$B$6-IF((A39+29)&gt;=Model!$B$11,Model!$B$20,0)-IF(29&lt;Model!$B$15,Model!$B$22,0))/(1-Model!$B$9)/(1+Model!$B$18)^29))</f>
        <v/>
      </c>
      <c r="AR39" s="7">
        <f>IF(A39="","",IF((A39+30)&gt;Model!$B$4,0,MAX(0,Model!$B$6-IF((A39+30)&gt;=Model!$B$11,Model!$B$20,0)-IF(30&lt;Model!$B$15,Model!$B$22,0))/(1-Model!$B$9)/(1+Model!$B$18)^30))</f>
        <v/>
      </c>
      <c r="AS39" s="7">
        <f>IF(A39="","",IF((A39+31)&gt;Model!$B$4,0,MAX(0,Model!$B$6-IF((A39+31)&gt;=Model!$B$11,Model!$B$20,0)-IF(31&lt;Model!$B$15,Model!$B$22,0))/(1-Model!$B$9)/(1+Model!$B$18)^31))</f>
        <v/>
      </c>
      <c r="AT39" s="7">
        <f>IF(A39="","",IF((A39+32)&gt;Model!$B$4,0,MAX(0,Model!$B$6-IF((A39+32)&gt;=Model!$B$11,Model!$B$20,0)-IF(32&lt;Model!$B$15,Model!$B$22,0))/(1-Model!$B$9)/(1+Model!$B$18)^32))</f>
        <v/>
      </c>
      <c r="AU39" s="7">
        <f>IF(A39="","",IF((A39+33)&gt;Model!$B$4,0,MAX(0,Model!$B$6-IF((A39+33)&gt;=Model!$B$11,Model!$B$20,0)-IF(33&lt;Model!$B$15,Model!$B$22,0))/(1-Model!$B$9)/(1+Model!$B$18)^33))</f>
        <v/>
      </c>
      <c r="AV39" s="7">
        <f>IF(A39="","",IF((A39+34)&gt;Model!$B$4,0,MAX(0,Model!$B$6-IF((A39+34)&gt;=Model!$B$11,Model!$B$20,0)-IF(34&lt;Model!$B$15,Model!$B$22,0))/(1-Model!$B$9)/(1+Model!$B$18)^34))</f>
        <v/>
      </c>
      <c r="AW39" s="7">
        <f>IF(A39="","",IF((A39+35)&gt;Model!$B$4,0,MAX(0,Model!$B$6-IF((A39+35)&gt;=Model!$B$11,Model!$B$20,0)-IF(35&lt;Model!$B$15,Model!$B$22,0))/(1-Model!$B$9)/(1+Model!$B$18)^35))</f>
        <v/>
      </c>
      <c r="AX39" s="7">
        <f>IF(A39="","",IF((A39+36)&gt;Model!$B$4,0,MAX(0,Model!$B$6-IF((A39+36)&gt;=Model!$B$11,Model!$B$20,0)-IF(36&lt;Model!$B$15,Model!$B$22,0))/(1-Model!$B$9)/(1+Model!$B$18)^36))</f>
        <v/>
      </c>
      <c r="AY39" s="7">
        <f>IF(A39="","",IF((A39+37)&gt;Model!$B$4,0,MAX(0,Model!$B$6-IF((A39+37)&gt;=Model!$B$11,Model!$B$20,0)-IF(37&lt;Model!$B$15,Model!$B$22,0))/(1-Model!$B$9)/(1+Model!$B$18)^37))</f>
        <v/>
      </c>
      <c r="AZ39" s="7">
        <f>IF(A39="","",IF((A39+38)&gt;Model!$B$4,0,MAX(0,Model!$B$6-IF((A39+38)&gt;=Model!$B$11,Model!$B$20,0)-IF(38&lt;Model!$B$15,Model!$B$22,0))/(1-Model!$B$9)/(1+Model!$B$18)^38))</f>
        <v/>
      </c>
      <c r="BA39" s="7">
        <f>IF(A39="","",IF((A39+39)&gt;Model!$B$4,0,MAX(0,Model!$B$6-IF((A39+39)&gt;=Model!$B$11,Model!$B$20,0)-IF(39&lt;Model!$B$15,Model!$B$22,0))/(1-Model!$B$9)/(1+Model!$B$18)^39))</f>
        <v/>
      </c>
      <c r="BB39" s="7">
        <f>IF(A39="","",IF((A39+40)&gt;Model!$B$4,0,MAX(0,Model!$B$6-IF((A39+40)&gt;=Model!$B$11,Model!$B$20,0)-IF(40&lt;Model!$B$15,Model!$B$22,0))/(1-Model!$B$9)/(1+Model!$B$18)^40))</f>
        <v/>
      </c>
      <c r="BC39" s="7">
        <f>IF(A39="","",IF((A39+41)&gt;Model!$B$4,0,MAX(0,Model!$B$6-IF((A39+41)&gt;=Model!$B$11,Model!$B$20,0)-IF(41&lt;Model!$B$15,Model!$B$22,0))/(1-Model!$B$9)/(1+Model!$B$18)^41))</f>
        <v/>
      </c>
      <c r="BD39" s="7">
        <f>IF(A39="","",IF((A39+42)&gt;Model!$B$4,0,MAX(0,Model!$B$6-IF((A39+42)&gt;=Model!$B$11,Model!$B$20,0)-IF(42&lt;Model!$B$15,Model!$B$22,0))/(1-Model!$B$9)/(1+Model!$B$18)^42))</f>
        <v/>
      </c>
      <c r="BE39" s="7">
        <f>IF(A39="","",IF((A39+43)&gt;Model!$B$4,0,MAX(0,Model!$B$6-IF((A39+43)&gt;=Model!$B$11,Model!$B$20,0)-IF(43&lt;Model!$B$15,Model!$B$22,0))/(1-Model!$B$9)/(1+Model!$B$18)^43))</f>
        <v/>
      </c>
      <c r="BF39" s="7">
        <f>IF(A39="","",IF((A39+44)&gt;Model!$B$4,0,MAX(0,Model!$B$6-IF((A39+44)&gt;=Model!$B$11,Model!$B$20,0)-IF(44&lt;Model!$B$15,Model!$B$22,0))/(1-Model!$B$9)/(1+Model!$B$18)^44))</f>
        <v/>
      </c>
      <c r="BG39" s="7">
        <f>IF(A39="","",IF((A39+45)&gt;Model!$B$4,0,MAX(0,Model!$B$6-IF((A39+45)&gt;=Model!$B$11,Model!$B$20,0)-IF(45&lt;Model!$B$15,Model!$B$22,0))/(1-Model!$B$9)/(1+Model!$B$18)^45))</f>
        <v/>
      </c>
      <c r="BH39" s="7">
        <f>IF(A39="","",IF((A39+46)&gt;Model!$B$4,0,MAX(0,Model!$B$6-IF((A39+46)&gt;=Model!$B$11,Model!$B$20,0)-IF(46&lt;Model!$B$15,Model!$B$22,0))/(1-Model!$B$9)/(1+Model!$B$18)^46))</f>
        <v/>
      </c>
      <c r="BI39" s="7">
        <f>IF(A39="","",IF((A39+47)&gt;Model!$B$4,0,MAX(0,Model!$B$6-IF((A39+47)&gt;=Model!$B$11,Model!$B$20,0)-IF(47&lt;Model!$B$15,Model!$B$22,0))/(1-Model!$B$9)/(1+Model!$B$18)^47))</f>
        <v/>
      </c>
      <c r="BJ39" s="7">
        <f>IF(A39="","",IF((A39+48)&gt;Model!$B$4,0,MAX(0,Model!$B$6-IF((A39+48)&gt;=Model!$B$11,Model!$B$20,0)-IF(48&lt;Model!$B$15,Model!$B$22,0))/(1-Model!$B$9)/(1+Model!$B$18)^48))</f>
        <v/>
      </c>
      <c r="BK39" s="7">
        <f>IF(A39="","",IF((A39+49)&gt;Model!$B$4,0,MAX(0,Model!$B$6-IF((A39+49)&gt;=Model!$B$11,Model!$B$20,0)-IF(49&lt;Model!$B$15,Model!$B$22,0))/(1-Model!$B$9)/(1+Model!$B$18)^49))</f>
        <v/>
      </c>
      <c r="BL39" s="7">
        <f>IF(A39="","",IF((A39+50)&gt;Model!$B$4,0,MAX(0,Model!$B$6-IF((A39+50)&gt;=Model!$B$11,Model!$B$20,0)-IF(50&lt;Model!$B$15,Model!$B$22,0))/(1-Model!$B$9)/(1+Model!$B$18)^50))</f>
        <v/>
      </c>
      <c r="BM39" s="7">
        <f>IF(A39="","",IF((A39+51)&gt;Model!$B$4,0,MAX(0,Model!$B$6-IF((A39+51)&gt;=Model!$B$11,Model!$B$20,0)-IF(51&lt;Model!$B$15,Model!$B$22,0))/(1-Model!$B$9)/(1+Model!$B$18)^51))</f>
        <v/>
      </c>
      <c r="BN39" s="7">
        <f>IF(A39="","",IF((A39+52)&gt;Model!$B$4,0,MAX(0,Model!$B$6-IF((A39+52)&gt;=Model!$B$11,Model!$B$20,0)-IF(52&lt;Model!$B$15,Model!$B$22,0))/(1-Model!$B$9)/(1+Model!$B$18)^52))</f>
        <v/>
      </c>
      <c r="BO39" s="7">
        <f>IF(A39="","",IF((A39+53)&gt;Model!$B$4,0,MAX(0,Model!$B$6-IF((A39+53)&gt;=Model!$B$11,Model!$B$20,0)-IF(53&lt;Model!$B$15,Model!$B$22,0))/(1-Model!$B$9)/(1+Model!$B$18)^53))</f>
        <v/>
      </c>
      <c r="BP39" s="7">
        <f>IF(A39="","",IF((A39+54)&gt;Model!$B$4,0,MAX(0,Model!$B$6-IF((A39+54)&gt;=Model!$B$11,Model!$B$20,0)-IF(54&lt;Model!$B$15,Model!$B$22,0))/(1-Model!$B$9)/(1+Model!$B$18)^54))</f>
        <v/>
      </c>
      <c r="BQ39" s="7">
        <f>IF(A39="","",IF((A39+55)&gt;Model!$B$4,0,MAX(0,Model!$B$6-IF((A39+55)&gt;=Model!$B$11,Model!$B$20,0)-IF(55&lt;Model!$B$15,Model!$B$22,0))/(1-Model!$B$9)/(1+Model!$B$18)^55))</f>
        <v/>
      </c>
      <c r="BR39" s="7">
        <f>IF(A39="","",IF((A39+56)&gt;Model!$B$4,0,MAX(0,Model!$B$6-IF((A39+56)&gt;=Model!$B$11,Model!$B$20,0)-IF(56&lt;Model!$B$15,Model!$B$22,0))/(1-Model!$B$9)/(1+Model!$B$18)^56))</f>
        <v/>
      </c>
      <c r="BS39" s="7">
        <f>IF(A39="","",IF((A39+57)&gt;Model!$B$4,0,MAX(0,Model!$B$6-IF((A39+57)&gt;=Model!$B$11,Model!$B$20,0)-IF(57&lt;Model!$B$15,Model!$B$22,0))/(1-Model!$B$9)/(1+Model!$B$18)^57))</f>
        <v/>
      </c>
      <c r="BT39" s="7">
        <f>IF(A39="","",IF((A39+58)&gt;Model!$B$4,0,MAX(0,Model!$B$6-IF((A39+58)&gt;=Model!$B$11,Model!$B$20,0)-IF(58&lt;Model!$B$15,Model!$B$22,0))/(1-Model!$B$9)/(1+Model!$B$18)^58))</f>
        <v/>
      </c>
      <c r="BU39" s="7">
        <f>IF(A39="","",IF((A39+59)&gt;Model!$B$4,0,MAX(0,Model!$B$6-IF((A39+59)&gt;=Model!$B$11,Model!$B$20,0)-IF(59&lt;Model!$B$15,Model!$B$22,0))/(1-Model!$B$9)/(1+Model!$B$18)^59))</f>
        <v/>
      </c>
      <c r="BV39" s="7">
        <f>IF(A39="","",IF((A39+60)&gt;Model!$B$4,0,MAX(0,Model!$B$6-IF((A39+60)&gt;=Model!$B$11,Model!$B$20,0)-IF(60&lt;Model!$B$15,Model!$B$22,0))/(1-Model!$B$9)/(1+Model!$B$18)^60))</f>
        <v/>
      </c>
      <c r="BW39" s="7">
        <f>IF(A39="","",IF((A39+61)&gt;Model!$B$4,0,MAX(0,Model!$B$6-IF((A39+61)&gt;=Model!$B$11,Model!$B$20,0)-IF(61&lt;Model!$B$15,Model!$B$22,0))/(1-Model!$B$9)/(1+Model!$B$18)^61))</f>
        <v/>
      </c>
      <c r="BX39" s="7">
        <f>IF(A39="","",IF((A39+62)&gt;Model!$B$4,0,MAX(0,Model!$B$6-IF((A39+62)&gt;=Model!$B$11,Model!$B$20,0)-IF(62&lt;Model!$B$15,Model!$B$22,0))/(1-Model!$B$9)/(1+Model!$B$18)^62))</f>
        <v/>
      </c>
      <c r="BY39" s="7">
        <f>IF(A39="","",IF((A39+63)&gt;Model!$B$4,0,MAX(0,Model!$B$6-IF((A39+63)&gt;=Model!$B$11,Model!$B$20,0)-IF(63&lt;Model!$B$15,Model!$B$22,0))/(1-Model!$B$9)/(1+Model!$B$18)^63))</f>
        <v/>
      </c>
      <c r="BZ39" s="7">
        <f>IF(A39="","",IF((A39+64)&gt;Model!$B$4,0,MAX(0,Model!$B$6-IF((A39+64)&gt;=Model!$B$11,Model!$B$20,0)-IF(64&lt;Model!$B$15,Model!$B$22,0))/(1-Model!$B$9)/(1+Model!$B$18)^64))</f>
        <v/>
      </c>
      <c r="CA39" s="7">
        <f>IF(A39="","",IF((A39+65)&gt;Model!$B$4,0,MAX(0,Model!$B$6-IF((A39+65)&gt;=Model!$B$11,Model!$B$20,0)-IF(65&lt;Model!$B$15,Model!$B$22,0))/(1-Model!$B$9)/(1+Model!$B$18)^65))</f>
        <v/>
      </c>
      <c r="CB39" s="7">
        <f>IF(A39="","",IF((A39+66)&gt;Model!$B$4,0,MAX(0,Model!$B$6-IF((A39+66)&gt;=Model!$B$11,Model!$B$20,0)-IF(66&lt;Model!$B$15,Model!$B$22,0))/(1-Model!$B$9)/(1+Model!$B$18)^66))</f>
        <v/>
      </c>
      <c r="CC39" s="7">
        <f>IF(A39="","",IF((A39+67)&gt;Model!$B$4,0,MAX(0,Model!$B$6-IF((A39+67)&gt;=Model!$B$11,Model!$B$20,0)-IF(67&lt;Model!$B$15,Model!$B$22,0))/(1-Model!$B$9)/(1+Model!$B$18)^67))</f>
        <v/>
      </c>
      <c r="CD39" s="7">
        <f>IF(A39="","",IF((A39+68)&gt;Model!$B$4,0,MAX(0,Model!$B$6-IF((A39+68)&gt;=Model!$B$11,Model!$B$20,0)-IF(68&lt;Model!$B$15,Model!$B$22,0))/(1-Model!$B$9)/(1+Model!$B$18)^68))</f>
        <v/>
      </c>
      <c r="CE39" s="7">
        <f>IF(A39="","",IF((A39+69)&gt;Model!$B$4,0,MAX(0,Model!$B$6-IF((A39+69)&gt;=Model!$B$11,Model!$B$20,0)-IF(69&lt;Model!$B$15,Model!$B$22,0))/(1-Model!$B$9)/(1+Model!$B$18)^69))</f>
        <v/>
      </c>
      <c r="CF39" s="7">
        <f>IF(A39="","",IF((A39+70)&gt;Model!$B$4,0,MAX(0,Model!$B$6-IF((A39+70)&gt;=Model!$B$11,Model!$B$20,0)-IF(70&lt;Model!$B$15,Model!$B$22,0))/(1-Model!$B$9)/(1+Model!$B$18)^70))</f>
        <v/>
      </c>
      <c r="CG39" s="7">
        <f>IF(A39="","",IF((A39+71)&gt;Model!$B$4,0,MAX(0,Model!$B$6-IF((A39+71)&gt;=Model!$B$11,Model!$B$20,0)-IF(71&lt;Model!$B$15,Model!$B$22,0))/(1-Model!$B$9)/(1+Model!$B$18)^71))</f>
        <v/>
      </c>
      <c r="CH39" s="7">
        <f>IF(A39="","",IF((A39+72)&gt;Model!$B$4,0,MAX(0,Model!$B$6-IF((A39+72)&gt;=Model!$B$11,Model!$B$20,0)-IF(72&lt;Model!$B$15,Model!$B$22,0))/(1-Model!$B$9)/(1+Model!$B$18)^72))</f>
        <v/>
      </c>
      <c r="CI39" s="7">
        <f>IF(A39="","",IF((A39+73)&gt;Model!$B$4,0,MAX(0,Model!$B$6-IF((A39+73)&gt;=Model!$B$11,Model!$B$20,0)-IF(73&lt;Model!$B$15,Model!$B$22,0))/(1-Model!$B$9)/(1+Model!$B$18)^73))</f>
        <v/>
      </c>
      <c r="CJ39" s="7">
        <f>IF(A39="","",IF((A39+74)&gt;Model!$B$4,0,MAX(0,Model!$B$6-IF((A39+74)&gt;=Model!$B$11,Model!$B$20,0)-IF(74&lt;Model!$B$15,Model!$B$22,0))/(1-Model!$B$9)/(1+Model!$B$18)^74))</f>
        <v/>
      </c>
      <c r="CK39" s="7">
        <f>IF(A39="","",IF((A39+75)&gt;Model!$B$4,0,MAX(0,Model!$B$6-IF((A39+75)&gt;=Model!$B$11,Model!$B$20,0)-IF(75&lt;Model!$B$15,Model!$B$22,0))/(1-Model!$B$9)/(1+Model!$B$18)^75))</f>
        <v/>
      </c>
      <c r="CL39" s="7">
        <f>IF(A39="","",IF((A39+76)&gt;Model!$B$4,0,MAX(0,Model!$B$6-IF((A39+76)&gt;=Model!$B$11,Model!$B$20,0)-IF(76&lt;Model!$B$15,Model!$B$22,0))/(1-Model!$B$9)/(1+Model!$B$18)^76))</f>
        <v/>
      </c>
      <c r="CM39" s="7">
        <f>IF(A39="","",IF((A39+77)&gt;Model!$B$4,0,MAX(0,Model!$B$6-IF((A39+77)&gt;=Model!$B$11,Model!$B$20,0)-IF(77&lt;Model!$B$15,Model!$B$22,0))/(1-Model!$B$9)/(1+Model!$B$18)^77))</f>
        <v/>
      </c>
      <c r="CN39" s="7">
        <f>IF(A39="","",IF((A39+78)&gt;Model!$B$4,0,MAX(0,Model!$B$6-IF((A39+78)&gt;=Model!$B$11,Model!$B$20,0)-IF(78&lt;Model!$B$15,Model!$B$22,0))/(1-Model!$B$9)/(1+Model!$B$18)^78))</f>
        <v/>
      </c>
      <c r="CO39" s="7">
        <f>IF(A39="","",IF((A39+79)&gt;Model!$B$4,0,MAX(0,Model!$B$6-IF((A39+79)&gt;=Model!$B$11,Model!$B$20,0)-IF(79&lt;Model!$B$15,Model!$B$22,0))/(1-Model!$B$9)/(1+Model!$B$18)^79))</f>
        <v/>
      </c>
      <c r="CP39" s="7">
        <f>IF(A39="","",IF((A39+80)&gt;Model!$B$4,0,MAX(0,Model!$B$6-IF((A39+80)&gt;=Model!$B$11,Model!$B$20,0)-IF(80&lt;Model!$B$15,Model!$B$22,0))/(1-Model!$B$9)/(1+Model!$B$18)^80))</f>
        <v/>
      </c>
      <c r="CQ39" s="7">
        <f>IF(A39="","",IF((A39+81)&gt;Model!$B$4,0,MAX(0,Model!$B$6-IF((A39+81)&gt;=Model!$B$11,Model!$B$20,0)-IF(81&lt;Model!$B$15,Model!$B$22,0))/(1-Model!$B$9)/(1+Model!$B$18)^81))</f>
        <v/>
      </c>
      <c r="CR39" s="7">
        <f>IF(A39="","",IF((A39+82)&gt;Model!$B$4,0,MAX(0,Model!$B$6-IF((A39+82)&gt;=Model!$B$11,Model!$B$20,0)-IF(82&lt;Model!$B$15,Model!$B$22,0))/(1-Model!$B$9)/(1+Model!$B$18)^82))</f>
        <v/>
      </c>
      <c r="CS39" s="7">
        <f>IF(A39="","",IF((A39+83)&gt;Model!$B$4,0,MAX(0,Model!$B$6-IF((A39+83)&gt;=Model!$B$11,Model!$B$20,0)-IF(83&lt;Model!$B$15,Model!$B$22,0))/(1-Model!$B$9)/(1+Model!$B$18)^83))</f>
        <v/>
      </c>
      <c r="CT39" s="7">
        <f>IF(A39="","",IF((A39+84)&gt;Model!$B$4,0,MAX(0,Model!$B$6-IF((A39+84)&gt;=Model!$B$11,Model!$B$20,0)-IF(84&lt;Model!$B$15,Model!$B$22,0))/(1-Model!$B$9)/(1+Model!$B$18)^84))</f>
        <v/>
      </c>
      <c r="CU39" s="7">
        <f>IF(A39="","",IF((A39+85)&gt;Model!$B$4,0,MAX(0,Model!$B$6-IF((A39+85)&gt;=Model!$B$11,Model!$B$20,0)-IF(85&lt;Model!$B$15,Model!$B$22,0))/(1-Model!$B$9)/(1+Model!$B$18)^85))</f>
        <v/>
      </c>
      <c r="CV39" s="7">
        <f>IF(A39="","",IF((A39+86)&gt;Model!$B$4,0,MAX(0,Model!$B$6-IF((A39+86)&gt;=Model!$B$11,Model!$B$20,0)-IF(86&lt;Model!$B$15,Model!$B$22,0))/(1-Model!$B$9)/(1+Model!$B$18)^86))</f>
        <v/>
      </c>
      <c r="CW39" s="7">
        <f>IF(A39="","",IF((A39+87)&gt;Model!$B$4,0,MAX(0,Model!$B$6-IF((A39+87)&gt;=Model!$B$11,Model!$B$20,0)-IF(87&lt;Model!$B$15,Model!$B$22,0))/(1-Model!$B$9)/(1+Model!$B$18)^87))</f>
        <v/>
      </c>
      <c r="CX39" s="7">
        <f>IF(A39="","",IF((A39+88)&gt;Model!$B$4,0,MAX(0,Model!$B$6-IF((A39+88)&gt;=Model!$B$11,Model!$B$20,0)-IF(88&lt;Model!$B$15,Model!$B$22,0))/(1-Model!$B$9)/(1+Model!$B$18)^88))</f>
        <v/>
      </c>
      <c r="CY39" s="7">
        <f>IF(A39="","",IF((A39+89)&gt;Model!$B$4,0,MAX(0,Model!$B$6-IF((A39+89)&gt;=Model!$B$11,Model!$B$20,0)-IF(89&lt;Model!$B$15,Model!$B$22,0))/(1-Model!$B$9)/(1+Model!$B$18)^89))</f>
        <v/>
      </c>
      <c r="CZ39" s="7">
        <f>IF(A39="","",IF((A39+90)&gt;Model!$B$4,0,MAX(0,Model!$B$6-IF((A39+90)&gt;=Model!$B$11,Model!$B$20,0)-IF(90&lt;Model!$B$15,Model!$B$22,0))/(1-Model!$B$9)/(1+Model!$B$18)^90))</f>
        <v/>
      </c>
      <c r="DA39" s="7">
        <f>IF(A39="","",IF((A39+91)&gt;Model!$B$4,0,MAX(0,Model!$B$6-IF((A39+91)&gt;=Model!$B$11,Model!$B$20,0)-IF(91&lt;Model!$B$15,Model!$B$22,0))/(1-Model!$B$9)/(1+Model!$B$18)^91))</f>
        <v/>
      </c>
      <c r="DB39" s="7">
        <f>IF(A39="","",IF((A39+92)&gt;Model!$B$4,0,MAX(0,Model!$B$6-IF((A39+92)&gt;=Model!$B$11,Model!$B$20,0)-IF(92&lt;Model!$B$15,Model!$B$22,0))/(1-Model!$B$9)/(1+Model!$B$18)^92))</f>
        <v/>
      </c>
      <c r="DC39" s="7">
        <f>IF(A39="","",IF((A39+93)&gt;Model!$B$4,0,MAX(0,Model!$B$6-IF((A39+93)&gt;=Model!$B$11,Model!$B$20,0)-IF(93&lt;Model!$B$15,Model!$B$22,0))/(1-Model!$B$9)/(1+Model!$B$18)^93))</f>
        <v/>
      </c>
      <c r="DD39" s="7">
        <f>IF(A39="","",IF((A39+94)&gt;Model!$B$4,0,MAX(0,Model!$B$6-IF((A39+94)&gt;=Model!$B$11,Model!$B$20,0)-IF(94&lt;Model!$B$15,Model!$B$22,0))/(1-Model!$B$9)/(1+Model!$B$18)^94))</f>
        <v/>
      </c>
      <c r="DE39" s="7">
        <f>IF(A39="","",IF((A39+95)&gt;Model!$B$4,0,MAX(0,Model!$B$6-IF((A39+95)&gt;=Model!$B$11,Model!$B$20,0)-IF(95&lt;Model!$B$15,Model!$B$22,0))/(1-Model!$B$9)/(1+Model!$B$18)^95))</f>
        <v/>
      </c>
      <c r="DF39" s="7">
        <f>IF(A39="","",IF((A39+96)&gt;Model!$B$4,0,MAX(0,Model!$B$6-IF((A39+96)&gt;=Model!$B$11,Model!$B$20,0)-IF(96&lt;Model!$B$15,Model!$B$22,0))/(1-Model!$B$9)/(1+Model!$B$18)^96))</f>
        <v/>
      </c>
      <c r="DG39" s="7">
        <f>IF(A39="","",IF((A39+97)&gt;Model!$B$4,0,MAX(0,Model!$B$6-IF((A39+97)&gt;=Model!$B$11,Model!$B$20,0)-IF(97&lt;Model!$B$15,Model!$B$22,0))/(1-Model!$B$9)/(1+Model!$B$18)^97))</f>
        <v/>
      </c>
      <c r="DH39" s="7">
        <f>IF(A39="","",IF((A39+98)&gt;Model!$B$4,0,MAX(0,Model!$B$6-IF((A39+98)&gt;=Model!$B$11,Model!$B$20,0)-IF(98&lt;Model!$B$15,Model!$B$22,0))/(1-Model!$B$9)/(1+Model!$B$18)^98))</f>
        <v/>
      </c>
      <c r="DI39" s="7">
        <f>IF(A39="","",IF((A39+99)&gt;Model!$B$4,0,MAX(0,Model!$B$6-IF((A39+99)&gt;=Model!$B$11,Model!$B$20,0)-IF(99&lt;Model!$B$15,Model!$B$22,0))/(1-Model!$B$9)/(1+Model!$B$18)^99))</f>
        <v/>
      </c>
      <c r="DJ39" s="7">
        <f>IF(A39="","",IF((A39+100)&gt;Model!$B$4,0,MAX(0,Model!$B$6-IF((A39+100)&gt;=Model!$B$11,Model!$B$20,0)-IF(100&lt;Model!$B$15,Model!$B$22,0))/(1-Model!$B$9)/(1+Model!$B$18)^100))</f>
        <v/>
      </c>
      <c r="DK39" s="7">
        <f>IF(A39="","",IF((A39+101)&gt;Model!$B$4,0,MAX(0,Model!$B$6-IF((A39+101)&gt;=Model!$B$11,Model!$B$20,0)-IF(101&lt;Model!$B$15,Model!$B$22,0))/(1-Model!$B$9)/(1+Model!$B$18)^101))</f>
        <v/>
      </c>
      <c r="DL39" s="7">
        <f>IF(A39="","",IF((A39+102)&gt;Model!$B$4,0,MAX(0,Model!$B$6-IF((A39+102)&gt;=Model!$B$11,Model!$B$20,0)-IF(102&lt;Model!$B$15,Model!$B$22,0))/(1-Model!$B$9)/(1+Model!$B$18)^102))</f>
        <v/>
      </c>
      <c r="DM39" s="7">
        <f>IF(A39="","",IF((A39+103)&gt;Model!$B$4,0,MAX(0,Model!$B$6-IF((A39+103)&gt;=Model!$B$11,Model!$B$20,0)-IF(103&lt;Model!$B$15,Model!$B$22,0))/(1-Model!$B$9)/(1+Model!$B$18)^103))</f>
        <v/>
      </c>
      <c r="DN39" s="7">
        <f>IF(A39="","",IF((A39+104)&gt;Model!$B$4,0,MAX(0,Model!$B$6-IF((A39+104)&gt;=Model!$B$11,Model!$B$20,0)-IF(104&lt;Model!$B$15,Model!$B$22,0))/(1-Model!$B$9)/(1+Model!$B$18)^104))</f>
        <v/>
      </c>
      <c r="DO39" s="7">
        <f>IF(A39="","",IF((A39+105)&gt;Model!$B$4,0,MAX(0,Model!$B$6-IF((A39+105)&gt;=Model!$B$11,Model!$B$20,0)-IF(105&lt;Model!$B$15,Model!$B$22,0))/(1-Model!$B$9)/(1+Model!$B$18)^105))</f>
        <v/>
      </c>
      <c r="DP39" s="7">
        <f>IF(A39="","",IF((A39+106)&gt;Model!$B$4,0,MAX(0,Model!$B$6-IF((A39+106)&gt;=Model!$B$11,Model!$B$20,0)-IF(106&lt;Model!$B$15,Model!$B$22,0))/(1-Model!$B$9)/(1+Model!$B$18)^106))</f>
        <v/>
      </c>
      <c r="DQ39" s="7">
        <f>IF(A39="","",IF((A39+107)&gt;Model!$B$4,0,MAX(0,Model!$B$6-IF((A39+107)&gt;=Model!$B$11,Model!$B$20,0)-IF(107&lt;Model!$B$15,Model!$B$22,0))/(1-Model!$B$9)/(1+Model!$B$18)^107))</f>
        <v/>
      </c>
      <c r="DR39" s="7">
        <f>IF(A39="","",IF((A39+108)&gt;Model!$B$4,0,MAX(0,Model!$B$6-IF((A39+108)&gt;=Model!$B$11,Model!$B$20,0)-IF(108&lt;Model!$B$15,Model!$B$22,0))/(1-Model!$B$9)/(1+Model!$B$18)^108))</f>
        <v/>
      </c>
      <c r="DS39" s="7">
        <f>IF(A39="","",IF((A39+109)&gt;Model!$B$4,0,MAX(0,Model!$B$6-IF((A39+109)&gt;=Model!$B$11,Model!$B$20,0)-IF(109&lt;Model!$B$15,Model!$B$22,0))/(1-Model!$B$9)/(1+Model!$B$18)^109))</f>
        <v/>
      </c>
      <c r="DT39" s="7">
        <f>IF(A39="","",IF((A39+110)&gt;Model!$B$4,0,MAX(0,Model!$B$6-IF((A39+110)&gt;=Model!$B$11,Model!$B$20,0)-IF(110&lt;Model!$B$15,Model!$B$22,0))/(1-Model!$B$9)/(1+Model!$B$18)^110))</f>
        <v/>
      </c>
      <c r="DU39" s="7">
        <f>IF(A39="","",IF((A39+111)&gt;Model!$B$4,0,MAX(0,Model!$B$6-IF((A39+111)&gt;=Model!$B$11,Model!$B$20,0)-IF(111&lt;Model!$B$15,Model!$B$22,0))/(1-Model!$B$9)/(1+Model!$B$18)^111))</f>
        <v/>
      </c>
      <c r="DV39" s="7">
        <f>IF(A39="","",IF((A39+112)&gt;Model!$B$4,0,MAX(0,Model!$B$6-IF((A39+112)&gt;=Model!$B$11,Model!$B$20,0)-IF(112&lt;Model!$B$15,Model!$B$22,0))/(1-Model!$B$9)/(1+Model!$B$18)^112))</f>
        <v/>
      </c>
      <c r="DW39" s="7">
        <f>IF(A39="","",IF((A39+113)&gt;Model!$B$4,0,MAX(0,Model!$B$6-IF((A39+113)&gt;=Model!$B$11,Model!$B$20,0)-IF(113&lt;Model!$B$15,Model!$B$22,0))/(1-Model!$B$9)/(1+Model!$B$18)^113))</f>
        <v/>
      </c>
      <c r="DX39" s="7">
        <f>IF(A39="","",IF((A39+114)&gt;Model!$B$4,0,MAX(0,Model!$B$6-IF((A39+114)&gt;=Model!$B$11,Model!$B$20,0)-IF(114&lt;Model!$B$15,Model!$B$22,0))/(1-Model!$B$9)/(1+Model!$B$18)^114))</f>
        <v/>
      </c>
      <c r="DY39" s="7">
        <f>IF(A39="","",IF((A39+115)&gt;Model!$B$4,0,MAX(0,Model!$B$6-IF((A39+115)&gt;=Model!$B$11,Model!$B$20,0)-IF(115&lt;Model!$B$15,Model!$B$22,0))/(1-Model!$B$9)/(1+Model!$B$18)^115))</f>
        <v/>
      </c>
      <c r="DZ39" s="7">
        <f>IF(A39="","",IF((A39+116)&gt;Model!$B$4,0,MAX(0,Model!$B$6-IF((A39+116)&gt;=Model!$B$11,Model!$B$20,0)-IF(116&lt;Model!$B$15,Model!$B$22,0))/(1-Model!$B$9)/(1+Model!$B$18)^116))</f>
        <v/>
      </c>
      <c r="EA39" s="7">
        <f>IF(A39="","",IF((A39+117)&gt;Model!$B$4,0,MAX(0,Model!$B$6-IF((A39+117)&gt;=Model!$B$11,Model!$B$20,0)-IF(117&lt;Model!$B$15,Model!$B$22,0))/(1-Model!$B$9)/(1+Model!$B$18)^117))</f>
        <v/>
      </c>
      <c r="EB39" s="7">
        <f>IF(A39="","",IF((A39+118)&gt;Model!$B$4,0,MAX(0,Model!$B$6-IF((A39+118)&gt;=Model!$B$11,Model!$B$20,0)-IF(118&lt;Model!$B$15,Model!$B$22,0))/(1-Model!$B$9)/(1+Model!$B$18)^118))</f>
        <v/>
      </c>
      <c r="EC39" s="7">
        <f>IF(A39="","",IF((A39+119)&gt;Model!$B$4,0,MAX(0,Model!$B$6-IF((A39+119)&gt;=Model!$B$11,Model!$B$20,0)-IF(119&lt;Model!$B$15,Model!$B$22,0))/(1-Model!$B$9)/(1+Model!$B$18)^119))</f>
        <v/>
      </c>
      <c r="ED39" s="7">
        <f>IF(A39="","",IF((A39+120)&gt;Model!$B$4,0,MAX(0,Model!$B$6-IF((A39+120)&gt;=Model!$B$11,Model!$B$20,0)-IF(120&lt;Model!$B$15,Model!$B$22,0))/(1-Model!$B$9)/(1+Model!$B$18)^120))</f>
        <v/>
      </c>
    </row>
    <row r="40">
      <c r="A40">
        <f>IF(Model!$B$10+ROW()-2&lt;=Model!$B$4,Model!$B$10+ROW()-2,"")</f>
        <v/>
      </c>
      <c r="B40">
        <f>IF(A40="","",A40-Model!$B$10)</f>
        <v/>
      </c>
      <c r="C40" s="7">
        <f>IF(A40="","",Model!$B$5*(1+Model!$B$18)^B40)</f>
        <v/>
      </c>
      <c r="D40" s="7">
        <f>IF(A40="","",SUM(N40:ED40))</f>
        <v/>
      </c>
      <c r="E40" s="7">
        <f>IF(A40="","",IF(A40&gt;=Model!$B$11,Model!$B$20,0))</f>
        <v/>
      </c>
      <c r="F40" s="7">
        <f>IF(A40="","",IF(Model!$B$15&gt;0,Model!$B$22,0))</f>
        <v/>
      </c>
      <c r="G40" s="7">
        <f>IF(A40="","",E40+F40)</f>
        <v/>
      </c>
      <c r="H40" s="7">
        <f>IF(A40="","",MAX(0,Model!$B$6-G40))</f>
        <v/>
      </c>
      <c r="I40" s="7">
        <f>IF(A40="","",H40/(1-Model!$B$9))</f>
        <v/>
      </c>
      <c r="J40" s="7">
        <f>IF(A40="","",C40-D40)</f>
        <v/>
      </c>
      <c r="K40">
        <f>IF(A40="","",C40&gt;=D40)</f>
        <v/>
      </c>
      <c r="L40" s="7">
        <f>IF(A40="","",IF(A40&gt;=Model!$B$11,Model!$B$19*(1+Model!$B$13)^B40,0))</f>
        <v/>
      </c>
      <c r="M40" s="7">
        <f>IF(A40="","",IF(Model!$B$15&gt;0,Model!$B$21*(1+Model!$B$13)^B40,0))</f>
        <v/>
      </c>
      <c r="N40" s="7">
        <f>IF(A40="","",IF((A40+0)&gt;Model!$B$4,0,MAX(0,Model!$B$6-IF((A40+0)&gt;=Model!$B$11,Model!$B$20,0)-IF(0&lt;Model!$B$15,Model!$B$22,0))/(1-Model!$B$9)/(1+Model!$B$18)^0))</f>
        <v/>
      </c>
      <c r="O40" s="7">
        <f>IF(A40="","",IF((A40+1)&gt;Model!$B$4,0,MAX(0,Model!$B$6-IF((A40+1)&gt;=Model!$B$11,Model!$B$20,0)-IF(1&lt;Model!$B$15,Model!$B$22,0))/(1-Model!$B$9)/(1+Model!$B$18)^1))</f>
        <v/>
      </c>
      <c r="P40" s="7">
        <f>IF(A40="","",IF((A40+2)&gt;Model!$B$4,0,MAX(0,Model!$B$6-IF((A40+2)&gt;=Model!$B$11,Model!$B$20,0)-IF(2&lt;Model!$B$15,Model!$B$22,0))/(1-Model!$B$9)/(1+Model!$B$18)^2))</f>
        <v/>
      </c>
      <c r="Q40" s="7">
        <f>IF(A40="","",IF((A40+3)&gt;Model!$B$4,0,MAX(0,Model!$B$6-IF((A40+3)&gt;=Model!$B$11,Model!$B$20,0)-IF(3&lt;Model!$B$15,Model!$B$22,0))/(1-Model!$B$9)/(1+Model!$B$18)^3))</f>
        <v/>
      </c>
      <c r="R40" s="7">
        <f>IF(A40="","",IF((A40+4)&gt;Model!$B$4,0,MAX(0,Model!$B$6-IF((A40+4)&gt;=Model!$B$11,Model!$B$20,0)-IF(4&lt;Model!$B$15,Model!$B$22,0))/(1-Model!$B$9)/(1+Model!$B$18)^4))</f>
        <v/>
      </c>
      <c r="S40" s="7">
        <f>IF(A40="","",IF((A40+5)&gt;Model!$B$4,0,MAX(0,Model!$B$6-IF((A40+5)&gt;=Model!$B$11,Model!$B$20,0)-IF(5&lt;Model!$B$15,Model!$B$22,0))/(1-Model!$B$9)/(1+Model!$B$18)^5))</f>
        <v/>
      </c>
      <c r="T40" s="7">
        <f>IF(A40="","",IF((A40+6)&gt;Model!$B$4,0,MAX(0,Model!$B$6-IF((A40+6)&gt;=Model!$B$11,Model!$B$20,0)-IF(6&lt;Model!$B$15,Model!$B$22,0))/(1-Model!$B$9)/(1+Model!$B$18)^6))</f>
        <v/>
      </c>
      <c r="U40" s="7">
        <f>IF(A40="","",IF((A40+7)&gt;Model!$B$4,0,MAX(0,Model!$B$6-IF((A40+7)&gt;=Model!$B$11,Model!$B$20,0)-IF(7&lt;Model!$B$15,Model!$B$22,0))/(1-Model!$B$9)/(1+Model!$B$18)^7))</f>
        <v/>
      </c>
      <c r="V40" s="7">
        <f>IF(A40="","",IF((A40+8)&gt;Model!$B$4,0,MAX(0,Model!$B$6-IF((A40+8)&gt;=Model!$B$11,Model!$B$20,0)-IF(8&lt;Model!$B$15,Model!$B$22,0))/(1-Model!$B$9)/(1+Model!$B$18)^8))</f>
        <v/>
      </c>
      <c r="W40" s="7">
        <f>IF(A40="","",IF((A40+9)&gt;Model!$B$4,0,MAX(0,Model!$B$6-IF((A40+9)&gt;=Model!$B$11,Model!$B$20,0)-IF(9&lt;Model!$B$15,Model!$B$22,0))/(1-Model!$B$9)/(1+Model!$B$18)^9))</f>
        <v/>
      </c>
      <c r="X40" s="7">
        <f>IF(A40="","",IF((A40+10)&gt;Model!$B$4,0,MAX(0,Model!$B$6-IF((A40+10)&gt;=Model!$B$11,Model!$B$20,0)-IF(10&lt;Model!$B$15,Model!$B$22,0))/(1-Model!$B$9)/(1+Model!$B$18)^10))</f>
        <v/>
      </c>
      <c r="Y40" s="7">
        <f>IF(A40="","",IF((A40+11)&gt;Model!$B$4,0,MAX(0,Model!$B$6-IF((A40+11)&gt;=Model!$B$11,Model!$B$20,0)-IF(11&lt;Model!$B$15,Model!$B$22,0))/(1-Model!$B$9)/(1+Model!$B$18)^11))</f>
        <v/>
      </c>
      <c r="Z40" s="7">
        <f>IF(A40="","",IF((A40+12)&gt;Model!$B$4,0,MAX(0,Model!$B$6-IF((A40+12)&gt;=Model!$B$11,Model!$B$20,0)-IF(12&lt;Model!$B$15,Model!$B$22,0))/(1-Model!$B$9)/(1+Model!$B$18)^12))</f>
        <v/>
      </c>
      <c r="AA40" s="7">
        <f>IF(A40="","",IF((A40+13)&gt;Model!$B$4,0,MAX(0,Model!$B$6-IF((A40+13)&gt;=Model!$B$11,Model!$B$20,0)-IF(13&lt;Model!$B$15,Model!$B$22,0))/(1-Model!$B$9)/(1+Model!$B$18)^13))</f>
        <v/>
      </c>
      <c r="AB40" s="7">
        <f>IF(A40="","",IF((A40+14)&gt;Model!$B$4,0,MAX(0,Model!$B$6-IF((A40+14)&gt;=Model!$B$11,Model!$B$20,0)-IF(14&lt;Model!$B$15,Model!$B$22,0))/(1-Model!$B$9)/(1+Model!$B$18)^14))</f>
        <v/>
      </c>
      <c r="AC40" s="7">
        <f>IF(A40="","",IF((A40+15)&gt;Model!$B$4,0,MAX(0,Model!$B$6-IF((A40+15)&gt;=Model!$B$11,Model!$B$20,0)-IF(15&lt;Model!$B$15,Model!$B$22,0))/(1-Model!$B$9)/(1+Model!$B$18)^15))</f>
        <v/>
      </c>
      <c r="AD40" s="7">
        <f>IF(A40="","",IF((A40+16)&gt;Model!$B$4,0,MAX(0,Model!$B$6-IF((A40+16)&gt;=Model!$B$11,Model!$B$20,0)-IF(16&lt;Model!$B$15,Model!$B$22,0))/(1-Model!$B$9)/(1+Model!$B$18)^16))</f>
        <v/>
      </c>
      <c r="AE40" s="7">
        <f>IF(A40="","",IF((A40+17)&gt;Model!$B$4,0,MAX(0,Model!$B$6-IF((A40+17)&gt;=Model!$B$11,Model!$B$20,0)-IF(17&lt;Model!$B$15,Model!$B$22,0))/(1-Model!$B$9)/(1+Model!$B$18)^17))</f>
        <v/>
      </c>
      <c r="AF40" s="7">
        <f>IF(A40="","",IF((A40+18)&gt;Model!$B$4,0,MAX(0,Model!$B$6-IF((A40+18)&gt;=Model!$B$11,Model!$B$20,0)-IF(18&lt;Model!$B$15,Model!$B$22,0))/(1-Model!$B$9)/(1+Model!$B$18)^18))</f>
        <v/>
      </c>
      <c r="AG40" s="7">
        <f>IF(A40="","",IF((A40+19)&gt;Model!$B$4,0,MAX(0,Model!$B$6-IF((A40+19)&gt;=Model!$B$11,Model!$B$20,0)-IF(19&lt;Model!$B$15,Model!$B$22,0))/(1-Model!$B$9)/(1+Model!$B$18)^19))</f>
        <v/>
      </c>
      <c r="AH40" s="7">
        <f>IF(A40="","",IF((A40+20)&gt;Model!$B$4,0,MAX(0,Model!$B$6-IF((A40+20)&gt;=Model!$B$11,Model!$B$20,0)-IF(20&lt;Model!$B$15,Model!$B$22,0))/(1-Model!$B$9)/(1+Model!$B$18)^20))</f>
        <v/>
      </c>
      <c r="AI40" s="7">
        <f>IF(A40="","",IF((A40+21)&gt;Model!$B$4,0,MAX(0,Model!$B$6-IF((A40+21)&gt;=Model!$B$11,Model!$B$20,0)-IF(21&lt;Model!$B$15,Model!$B$22,0))/(1-Model!$B$9)/(1+Model!$B$18)^21))</f>
        <v/>
      </c>
      <c r="AJ40" s="7">
        <f>IF(A40="","",IF((A40+22)&gt;Model!$B$4,0,MAX(0,Model!$B$6-IF((A40+22)&gt;=Model!$B$11,Model!$B$20,0)-IF(22&lt;Model!$B$15,Model!$B$22,0))/(1-Model!$B$9)/(1+Model!$B$18)^22))</f>
        <v/>
      </c>
      <c r="AK40" s="7">
        <f>IF(A40="","",IF((A40+23)&gt;Model!$B$4,0,MAX(0,Model!$B$6-IF((A40+23)&gt;=Model!$B$11,Model!$B$20,0)-IF(23&lt;Model!$B$15,Model!$B$22,0))/(1-Model!$B$9)/(1+Model!$B$18)^23))</f>
        <v/>
      </c>
      <c r="AL40" s="7">
        <f>IF(A40="","",IF((A40+24)&gt;Model!$B$4,0,MAX(0,Model!$B$6-IF((A40+24)&gt;=Model!$B$11,Model!$B$20,0)-IF(24&lt;Model!$B$15,Model!$B$22,0))/(1-Model!$B$9)/(1+Model!$B$18)^24))</f>
        <v/>
      </c>
      <c r="AM40" s="7">
        <f>IF(A40="","",IF((A40+25)&gt;Model!$B$4,0,MAX(0,Model!$B$6-IF((A40+25)&gt;=Model!$B$11,Model!$B$20,0)-IF(25&lt;Model!$B$15,Model!$B$22,0))/(1-Model!$B$9)/(1+Model!$B$18)^25))</f>
        <v/>
      </c>
      <c r="AN40" s="7">
        <f>IF(A40="","",IF((A40+26)&gt;Model!$B$4,0,MAX(0,Model!$B$6-IF((A40+26)&gt;=Model!$B$11,Model!$B$20,0)-IF(26&lt;Model!$B$15,Model!$B$22,0))/(1-Model!$B$9)/(1+Model!$B$18)^26))</f>
        <v/>
      </c>
      <c r="AO40" s="7">
        <f>IF(A40="","",IF((A40+27)&gt;Model!$B$4,0,MAX(0,Model!$B$6-IF((A40+27)&gt;=Model!$B$11,Model!$B$20,0)-IF(27&lt;Model!$B$15,Model!$B$22,0))/(1-Model!$B$9)/(1+Model!$B$18)^27))</f>
        <v/>
      </c>
      <c r="AP40" s="7">
        <f>IF(A40="","",IF((A40+28)&gt;Model!$B$4,0,MAX(0,Model!$B$6-IF((A40+28)&gt;=Model!$B$11,Model!$B$20,0)-IF(28&lt;Model!$B$15,Model!$B$22,0))/(1-Model!$B$9)/(1+Model!$B$18)^28))</f>
        <v/>
      </c>
      <c r="AQ40" s="7">
        <f>IF(A40="","",IF((A40+29)&gt;Model!$B$4,0,MAX(0,Model!$B$6-IF((A40+29)&gt;=Model!$B$11,Model!$B$20,0)-IF(29&lt;Model!$B$15,Model!$B$22,0))/(1-Model!$B$9)/(1+Model!$B$18)^29))</f>
        <v/>
      </c>
      <c r="AR40" s="7">
        <f>IF(A40="","",IF((A40+30)&gt;Model!$B$4,0,MAX(0,Model!$B$6-IF((A40+30)&gt;=Model!$B$11,Model!$B$20,0)-IF(30&lt;Model!$B$15,Model!$B$22,0))/(1-Model!$B$9)/(1+Model!$B$18)^30))</f>
        <v/>
      </c>
      <c r="AS40" s="7">
        <f>IF(A40="","",IF((A40+31)&gt;Model!$B$4,0,MAX(0,Model!$B$6-IF((A40+31)&gt;=Model!$B$11,Model!$B$20,0)-IF(31&lt;Model!$B$15,Model!$B$22,0))/(1-Model!$B$9)/(1+Model!$B$18)^31))</f>
        <v/>
      </c>
      <c r="AT40" s="7">
        <f>IF(A40="","",IF((A40+32)&gt;Model!$B$4,0,MAX(0,Model!$B$6-IF((A40+32)&gt;=Model!$B$11,Model!$B$20,0)-IF(32&lt;Model!$B$15,Model!$B$22,0))/(1-Model!$B$9)/(1+Model!$B$18)^32))</f>
        <v/>
      </c>
      <c r="AU40" s="7">
        <f>IF(A40="","",IF((A40+33)&gt;Model!$B$4,0,MAX(0,Model!$B$6-IF((A40+33)&gt;=Model!$B$11,Model!$B$20,0)-IF(33&lt;Model!$B$15,Model!$B$22,0))/(1-Model!$B$9)/(1+Model!$B$18)^33))</f>
        <v/>
      </c>
      <c r="AV40" s="7">
        <f>IF(A40="","",IF((A40+34)&gt;Model!$B$4,0,MAX(0,Model!$B$6-IF((A40+34)&gt;=Model!$B$11,Model!$B$20,0)-IF(34&lt;Model!$B$15,Model!$B$22,0))/(1-Model!$B$9)/(1+Model!$B$18)^34))</f>
        <v/>
      </c>
      <c r="AW40" s="7">
        <f>IF(A40="","",IF((A40+35)&gt;Model!$B$4,0,MAX(0,Model!$B$6-IF((A40+35)&gt;=Model!$B$11,Model!$B$20,0)-IF(35&lt;Model!$B$15,Model!$B$22,0))/(1-Model!$B$9)/(1+Model!$B$18)^35))</f>
        <v/>
      </c>
      <c r="AX40" s="7">
        <f>IF(A40="","",IF((A40+36)&gt;Model!$B$4,0,MAX(0,Model!$B$6-IF((A40+36)&gt;=Model!$B$11,Model!$B$20,0)-IF(36&lt;Model!$B$15,Model!$B$22,0))/(1-Model!$B$9)/(1+Model!$B$18)^36))</f>
        <v/>
      </c>
      <c r="AY40" s="7">
        <f>IF(A40="","",IF((A40+37)&gt;Model!$B$4,0,MAX(0,Model!$B$6-IF((A40+37)&gt;=Model!$B$11,Model!$B$20,0)-IF(37&lt;Model!$B$15,Model!$B$22,0))/(1-Model!$B$9)/(1+Model!$B$18)^37))</f>
        <v/>
      </c>
      <c r="AZ40" s="7">
        <f>IF(A40="","",IF((A40+38)&gt;Model!$B$4,0,MAX(0,Model!$B$6-IF((A40+38)&gt;=Model!$B$11,Model!$B$20,0)-IF(38&lt;Model!$B$15,Model!$B$22,0))/(1-Model!$B$9)/(1+Model!$B$18)^38))</f>
        <v/>
      </c>
      <c r="BA40" s="7">
        <f>IF(A40="","",IF((A40+39)&gt;Model!$B$4,0,MAX(0,Model!$B$6-IF((A40+39)&gt;=Model!$B$11,Model!$B$20,0)-IF(39&lt;Model!$B$15,Model!$B$22,0))/(1-Model!$B$9)/(1+Model!$B$18)^39))</f>
        <v/>
      </c>
      <c r="BB40" s="7">
        <f>IF(A40="","",IF((A40+40)&gt;Model!$B$4,0,MAX(0,Model!$B$6-IF((A40+40)&gt;=Model!$B$11,Model!$B$20,0)-IF(40&lt;Model!$B$15,Model!$B$22,0))/(1-Model!$B$9)/(1+Model!$B$18)^40))</f>
        <v/>
      </c>
      <c r="BC40" s="7">
        <f>IF(A40="","",IF((A40+41)&gt;Model!$B$4,0,MAX(0,Model!$B$6-IF((A40+41)&gt;=Model!$B$11,Model!$B$20,0)-IF(41&lt;Model!$B$15,Model!$B$22,0))/(1-Model!$B$9)/(1+Model!$B$18)^41))</f>
        <v/>
      </c>
      <c r="BD40" s="7">
        <f>IF(A40="","",IF((A40+42)&gt;Model!$B$4,0,MAX(0,Model!$B$6-IF((A40+42)&gt;=Model!$B$11,Model!$B$20,0)-IF(42&lt;Model!$B$15,Model!$B$22,0))/(1-Model!$B$9)/(1+Model!$B$18)^42))</f>
        <v/>
      </c>
      <c r="BE40" s="7">
        <f>IF(A40="","",IF((A40+43)&gt;Model!$B$4,0,MAX(0,Model!$B$6-IF((A40+43)&gt;=Model!$B$11,Model!$B$20,0)-IF(43&lt;Model!$B$15,Model!$B$22,0))/(1-Model!$B$9)/(1+Model!$B$18)^43))</f>
        <v/>
      </c>
      <c r="BF40" s="7">
        <f>IF(A40="","",IF((A40+44)&gt;Model!$B$4,0,MAX(0,Model!$B$6-IF((A40+44)&gt;=Model!$B$11,Model!$B$20,0)-IF(44&lt;Model!$B$15,Model!$B$22,0))/(1-Model!$B$9)/(1+Model!$B$18)^44))</f>
        <v/>
      </c>
      <c r="BG40" s="7">
        <f>IF(A40="","",IF((A40+45)&gt;Model!$B$4,0,MAX(0,Model!$B$6-IF((A40+45)&gt;=Model!$B$11,Model!$B$20,0)-IF(45&lt;Model!$B$15,Model!$B$22,0))/(1-Model!$B$9)/(1+Model!$B$18)^45))</f>
        <v/>
      </c>
      <c r="BH40" s="7">
        <f>IF(A40="","",IF((A40+46)&gt;Model!$B$4,0,MAX(0,Model!$B$6-IF((A40+46)&gt;=Model!$B$11,Model!$B$20,0)-IF(46&lt;Model!$B$15,Model!$B$22,0))/(1-Model!$B$9)/(1+Model!$B$18)^46))</f>
        <v/>
      </c>
      <c r="BI40" s="7">
        <f>IF(A40="","",IF((A40+47)&gt;Model!$B$4,0,MAX(0,Model!$B$6-IF((A40+47)&gt;=Model!$B$11,Model!$B$20,0)-IF(47&lt;Model!$B$15,Model!$B$22,0))/(1-Model!$B$9)/(1+Model!$B$18)^47))</f>
        <v/>
      </c>
      <c r="BJ40" s="7">
        <f>IF(A40="","",IF((A40+48)&gt;Model!$B$4,0,MAX(0,Model!$B$6-IF((A40+48)&gt;=Model!$B$11,Model!$B$20,0)-IF(48&lt;Model!$B$15,Model!$B$22,0))/(1-Model!$B$9)/(1+Model!$B$18)^48))</f>
        <v/>
      </c>
      <c r="BK40" s="7">
        <f>IF(A40="","",IF((A40+49)&gt;Model!$B$4,0,MAX(0,Model!$B$6-IF((A40+49)&gt;=Model!$B$11,Model!$B$20,0)-IF(49&lt;Model!$B$15,Model!$B$22,0))/(1-Model!$B$9)/(1+Model!$B$18)^49))</f>
        <v/>
      </c>
      <c r="BL40" s="7">
        <f>IF(A40="","",IF((A40+50)&gt;Model!$B$4,0,MAX(0,Model!$B$6-IF((A40+50)&gt;=Model!$B$11,Model!$B$20,0)-IF(50&lt;Model!$B$15,Model!$B$22,0))/(1-Model!$B$9)/(1+Model!$B$18)^50))</f>
        <v/>
      </c>
      <c r="BM40" s="7">
        <f>IF(A40="","",IF((A40+51)&gt;Model!$B$4,0,MAX(0,Model!$B$6-IF((A40+51)&gt;=Model!$B$11,Model!$B$20,0)-IF(51&lt;Model!$B$15,Model!$B$22,0))/(1-Model!$B$9)/(1+Model!$B$18)^51))</f>
        <v/>
      </c>
      <c r="BN40" s="7">
        <f>IF(A40="","",IF((A40+52)&gt;Model!$B$4,0,MAX(0,Model!$B$6-IF((A40+52)&gt;=Model!$B$11,Model!$B$20,0)-IF(52&lt;Model!$B$15,Model!$B$22,0))/(1-Model!$B$9)/(1+Model!$B$18)^52))</f>
        <v/>
      </c>
      <c r="BO40" s="7">
        <f>IF(A40="","",IF((A40+53)&gt;Model!$B$4,0,MAX(0,Model!$B$6-IF((A40+53)&gt;=Model!$B$11,Model!$B$20,0)-IF(53&lt;Model!$B$15,Model!$B$22,0))/(1-Model!$B$9)/(1+Model!$B$18)^53))</f>
        <v/>
      </c>
      <c r="BP40" s="7">
        <f>IF(A40="","",IF((A40+54)&gt;Model!$B$4,0,MAX(0,Model!$B$6-IF((A40+54)&gt;=Model!$B$11,Model!$B$20,0)-IF(54&lt;Model!$B$15,Model!$B$22,0))/(1-Model!$B$9)/(1+Model!$B$18)^54))</f>
        <v/>
      </c>
      <c r="BQ40" s="7">
        <f>IF(A40="","",IF((A40+55)&gt;Model!$B$4,0,MAX(0,Model!$B$6-IF((A40+55)&gt;=Model!$B$11,Model!$B$20,0)-IF(55&lt;Model!$B$15,Model!$B$22,0))/(1-Model!$B$9)/(1+Model!$B$18)^55))</f>
        <v/>
      </c>
      <c r="BR40" s="7">
        <f>IF(A40="","",IF((A40+56)&gt;Model!$B$4,0,MAX(0,Model!$B$6-IF((A40+56)&gt;=Model!$B$11,Model!$B$20,0)-IF(56&lt;Model!$B$15,Model!$B$22,0))/(1-Model!$B$9)/(1+Model!$B$18)^56))</f>
        <v/>
      </c>
      <c r="BS40" s="7">
        <f>IF(A40="","",IF((A40+57)&gt;Model!$B$4,0,MAX(0,Model!$B$6-IF((A40+57)&gt;=Model!$B$11,Model!$B$20,0)-IF(57&lt;Model!$B$15,Model!$B$22,0))/(1-Model!$B$9)/(1+Model!$B$18)^57))</f>
        <v/>
      </c>
      <c r="BT40" s="7">
        <f>IF(A40="","",IF((A40+58)&gt;Model!$B$4,0,MAX(0,Model!$B$6-IF((A40+58)&gt;=Model!$B$11,Model!$B$20,0)-IF(58&lt;Model!$B$15,Model!$B$22,0))/(1-Model!$B$9)/(1+Model!$B$18)^58))</f>
        <v/>
      </c>
      <c r="BU40" s="7">
        <f>IF(A40="","",IF((A40+59)&gt;Model!$B$4,0,MAX(0,Model!$B$6-IF((A40+59)&gt;=Model!$B$11,Model!$B$20,0)-IF(59&lt;Model!$B$15,Model!$B$22,0))/(1-Model!$B$9)/(1+Model!$B$18)^59))</f>
        <v/>
      </c>
      <c r="BV40" s="7">
        <f>IF(A40="","",IF((A40+60)&gt;Model!$B$4,0,MAX(0,Model!$B$6-IF((A40+60)&gt;=Model!$B$11,Model!$B$20,0)-IF(60&lt;Model!$B$15,Model!$B$22,0))/(1-Model!$B$9)/(1+Model!$B$18)^60))</f>
        <v/>
      </c>
      <c r="BW40" s="7">
        <f>IF(A40="","",IF((A40+61)&gt;Model!$B$4,0,MAX(0,Model!$B$6-IF((A40+61)&gt;=Model!$B$11,Model!$B$20,0)-IF(61&lt;Model!$B$15,Model!$B$22,0))/(1-Model!$B$9)/(1+Model!$B$18)^61))</f>
        <v/>
      </c>
      <c r="BX40" s="7">
        <f>IF(A40="","",IF((A40+62)&gt;Model!$B$4,0,MAX(0,Model!$B$6-IF((A40+62)&gt;=Model!$B$11,Model!$B$20,0)-IF(62&lt;Model!$B$15,Model!$B$22,0))/(1-Model!$B$9)/(1+Model!$B$18)^62))</f>
        <v/>
      </c>
      <c r="BY40" s="7">
        <f>IF(A40="","",IF((A40+63)&gt;Model!$B$4,0,MAX(0,Model!$B$6-IF((A40+63)&gt;=Model!$B$11,Model!$B$20,0)-IF(63&lt;Model!$B$15,Model!$B$22,0))/(1-Model!$B$9)/(1+Model!$B$18)^63))</f>
        <v/>
      </c>
      <c r="BZ40" s="7">
        <f>IF(A40="","",IF((A40+64)&gt;Model!$B$4,0,MAX(0,Model!$B$6-IF((A40+64)&gt;=Model!$B$11,Model!$B$20,0)-IF(64&lt;Model!$B$15,Model!$B$22,0))/(1-Model!$B$9)/(1+Model!$B$18)^64))</f>
        <v/>
      </c>
      <c r="CA40" s="7">
        <f>IF(A40="","",IF((A40+65)&gt;Model!$B$4,0,MAX(0,Model!$B$6-IF((A40+65)&gt;=Model!$B$11,Model!$B$20,0)-IF(65&lt;Model!$B$15,Model!$B$22,0))/(1-Model!$B$9)/(1+Model!$B$18)^65))</f>
        <v/>
      </c>
      <c r="CB40" s="7">
        <f>IF(A40="","",IF((A40+66)&gt;Model!$B$4,0,MAX(0,Model!$B$6-IF((A40+66)&gt;=Model!$B$11,Model!$B$20,0)-IF(66&lt;Model!$B$15,Model!$B$22,0))/(1-Model!$B$9)/(1+Model!$B$18)^66))</f>
        <v/>
      </c>
      <c r="CC40" s="7">
        <f>IF(A40="","",IF((A40+67)&gt;Model!$B$4,0,MAX(0,Model!$B$6-IF((A40+67)&gt;=Model!$B$11,Model!$B$20,0)-IF(67&lt;Model!$B$15,Model!$B$22,0))/(1-Model!$B$9)/(1+Model!$B$18)^67))</f>
        <v/>
      </c>
      <c r="CD40" s="7">
        <f>IF(A40="","",IF((A40+68)&gt;Model!$B$4,0,MAX(0,Model!$B$6-IF((A40+68)&gt;=Model!$B$11,Model!$B$20,0)-IF(68&lt;Model!$B$15,Model!$B$22,0))/(1-Model!$B$9)/(1+Model!$B$18)^68))</f>
        <v/>
      </c>
      <c r="CE40" s="7">
        <f>IF(A40="","",IF((A40+69)&gt;Model!$B$4,0,MAX(0,Model!$B$6-IF((A40+69)&gt;=Model!$B$11,Model!$B$20,0)-IF(69&lt;Model!$B$15,Model!$B$22,0))/(1-Model!$B$9)/(1+Model!$B$18)^69))</f>
        <v/>
      </c>
      <c r="CF40" s="7">
        <f>IF(A40="","",IF((A40+70)&gt;Model!$B$4,0,MAX(0,Model!$B$6-IF((A40+70)&gt;=Model!$B$11,Model!$B$20,0)-IF(70&lt;Model!$B$15,Model!$B$22,0))/(1-Model!$B$9)/(1+Model!$B$18)^70))</f>
        <v/>
      </c>
      <c r="CG40" s="7">
        <f>IF(A40="","",IF((A40+71)&gt;Model!$B$4,0,MAX(0,Model!$B$6-IF((A40+71)&gt;=Model!$B$11,Model!$B$20,0)-IF(71&lt;Model!$B$15,Model!$B$22,0))/(1-Model!$B$9)/(1+Model!$B$18)^71))</f>
        <v/>
      </c>
      <c r="CH40" s="7">
        <f>IF(A40="","",IF((A40+72)&gt;Model!$B$4,0,MAX(0,Model!$B$6-IF((A40+72)&gt;=Model!$B$11,Model!$B$20,0)-IF(72&lt;Model!$B$15,Model!$B$22,0))/(1-Model!$B$9)/(1+Model!$B$18)^72))</f>
        <v/>
      </c>
      <c r="CI40" s="7">
        <f>IF(A40="","",IF((A40+73)&gt;Model!$B$4,0,MAX(0,Model!$B$6-IF((A40+73)&gt;=Model!$B$11,Model!$B$20,0)-IF(73&lt;Model!$B$15,Model!$B$22,0))/(1-Model!$B$9)/(1+Model!$B$18)^73))</f>
        <v/>
      </c>
      <c r="CJ40" s="7">
        <f>IF(A40="","",IF((A40+74)&gt;Model!$B$4,0,MAX(0,Model!$B$6-IF((A40+74)&gt;=Model!$B$11,Model!$B$20,0)-IF(74&lt;Model!$B$15,Model!$B$22,0))/(1-Model!$B$9)/(1+Model!$B$18)^74))</f>
        <v/>
      </c>
      <c r="CK40" s="7">
        <f>IF(A40="","",IF((A40+75)&gt;Model!$B$4,0,MAX(0,Model!$B$6-IF((A40+75)&gt;=Model!$B$11,Model!$B$20,0)-IF(75&lt;Model!$B$15,Model!$B$22,0))/(1-Model!$B$9)/(1+Model!$B$18)^75))</f>
        <v/>
      </c>
      <c r="CL40" s="7">
        <f>IF(A40="","",IF((A40+76)&gt;Model!$B$4,0,MAX(0,Model!$B$6-IF((A40+76)&gt;=Model!$B$11,Model!$B$20,0)-IF(76&lt;Model!$B$15,Model!$B$22,0))/(1-Model!$B$9)/(1+Model!$B$18)^76))</f>
        <v/>
      </c>
      <c r="CM40" s="7">
        <f>IF(A40="","",IF((A40+77)&gt;Model!$B$4,0,MAX(0,Model!$B$6-IF((A40+77)&gt;=Model!$B$11,Model!$B$20,0)-IF(77&lt;Model!$B$15,Model!$B$22,0))/(1-Model!$B$9)/(1+Model!$B$18)^77))</f>
        <v/>
      </c>
      <c r="CN40" s="7">
        <f>IF(A40="","",IF((A40+78)&gt;Model!$B$4,0,MAX(0,Model!$B$6-IF((A40+78)&gt;=Model!$B$11,Model!$B$20,0)-IF(78&lt;Model!$B$15,Model!$B$22,0))/(1-Model!$B$9)/(1+Model!$B$18)^78))</f>
        <v/>
      </c>
      <c r="CO40" s="7">
        <f>IF(A40="","",IF((A40+79)&gt;Model!$B$4,0,MAX(0,Model!$B$6-IF((A40+79)&gt;=Model!$B$11,Model!$B$20,0)-IF(79&lt;Model!$B$15,Model!$B$22,0))/(1-Model!$B$9)/(1+Model!$B$18)^79))</f>
        <v/>
      </c>
      <c r="CP40" s="7">
        <f>IF(A40="","",IF((A40+80)&gt;Model!$B$4,0,MAX(0,Model!$B$6-IF((A40+80)&gt;=Model!$B$11,Model!$B$20,0)-IF(80&lt;Model!$B$15,Model!$B$22,0))/(1-Model!$B$9)/(1+Model!$B$18)^80))</f>
        <v/>
      </c>
      <c r="CQ40" s="7">
        <f>IF(A40="","",IF((A40+81)&gt;Model!$B$4,0,MAX(0,Model!$B$6-IF((A40+81)&gt;=Model!$B$11,Model!$B$20,0)-IF(81&lt;Model!$B$15,Model!$B$22,0))/(1-Model!$B$9)/(1+Model!$B$18)^81))</f>
        <v/>
      </c>
      <c r="CR40" s="7">
        <f>IF(A40="","",IF((A40+82)&gt;Model!$B$4,0,MAX(0,Model!$B$6-IF((A40+82)&gt;=Model!$B$11,Model!$B$20,0)-IF(82&lt;Model!$B$15,Model!$B$22,0))/(1-Model!$B$9)/(1+Model!$B$18)^82))</f>
        <v/>
      </c>
      <c r="CS40" s="7">
        <f>IF(A40="","",IF((A40+83)&gt;Model!$B$4,0,MAX(0,Model!$B$6-IF((A40+83)&gt;=Model!$B$11,Model!$B$20,0)-IF(83&lt;Model!$B$15,Model!$B$22,0))/(1-Model!$B$9)/(1+Model!$B$18)^83))</f>
        <v/>
      </c>
      <c r="CT40" s="7">
        <f>IF(A40="","",IF((A40+84)&gt;Model!$B$4,0,MAX(0,Model!$B$6-IF((A40+84)&gt;=Model!$B$11,Model!$B$20,0)-IF(84&lt;Model!$B$15,Model!$B$22,0))/(1-Model!$B$9)/(1+Model!$B$18)^84))</f>
        <v/>
      </c>
      <c r="CU40" s="7">
        <f>IF(A40="","",IF((A40+85)&gt;Model!$B$4,0,MAX(0,Model!$B$6-IF((A40+85)&gt;=Model!$B$11,Model!$B$20,0)-IF(85&lt;Model!$B$15,Model!$B$22,0))/(1-Model!$B$9)/(1+Model!$B$18)^85))</f>
        <v/>
      </c>
      <c r="CV40" s="7">
        <f>IF(A40="","",IF((A40+86)&gt;Model!$B$4,0,MAX(0,Model!$B$6-IF((A40+86)&gt;=Model!$B$11,Model!$B$20,0)-IF(86&lt;Model!$B$15,Model!$B$22,0))/(1-Model!$B$9)/(1+Model!$B$18)^86))</f>
        <v/>
      </c>
      <c r="CW40" s="7">
        <f>IF(A40="","",IF((A40+87)&gt;Model!$B$4,0,MAX(0,Model!$B$6-IF((A40+87)&gt;=Model!$B$11,Model!$B$20,0)-IF(87&lt;Model!$B$15,Model!$B$22,0))/(1-Model!$B$9)/(1+Model!$B$18)^87))</f>
        <v/>
      </c>
      <c r="CX40" s="7">
        <f>IF(A40="","",IF((A40+88)&gt;Model!$B$4,0,MAX(0,Model!$B$6-IF((A40+88)&gt;=Model!$B$11,Model!$B$20,0)-IF(88&lt;Model!$B$15,Model!$B$22,0))/(1-Model!$B$9)/(1+Model!$B$18)^88))</f>
        <v/>
      </c>
      <c r="CY40" s="7">
        <f>IF(A40="","",IF((A40+89)&gt;Model!$B$4,0,MAX(0,Model!$B$6-IF((A40+89)&gt;=Model!$B$11,Model!$B$20,0)-IF(89&lt;Model!$B$15,Model!$B$22,0))/(1-Model!$B$9)/(1+Model!$B$18)^89))</f>
        <v/>
      </c>
      <c r="CZ40" s="7">
        <f>IF(A40="","",IF((A40+90)&gt;Model!$B$4,0,MAX(0,Model!$B$6-IF((A40+90)&gt;=Model!$B$11,Model!$B$20,0)-IF(90&lt;Model!$B$15,Model!$B$22,0))/(1-Model!$B$9)/(1+Model!$B$18)^90))</f>
        <v/>
      </c>
      <c r="DA40" s="7">
        <f>IF(A40="","",IF((A40+91)&gt;Model!$B$4,0,MAX(0,Model!$B$6-IF((A40+91)&gt;=Model!$B$11,Model!$B$20,0)-IF(91&lt;Model!$B$15,Model!$B$22,0))/(1-Model!$B$9)/(1+Model!$B$18)^91))</f>
        <v/>
      </c>
      <c r="DB40" s="7">
        <f>IF(A40="","",IF((A40+92)&gt;Model!$B$4,0,MAX(0,Model!$B$6-IF((A40+92)&gt;=Model!$B$11,Model!$B$20,0)-IF(92&lt;Model!$B$15,Model!$B$22,0))/(1-Model!$B$9)/(1+Model!$B$18)^92))</f>
        <v/>
      </c>
      <c r="DC40" s="7">
        <f>IF(A40="","",IF((A40+93)&gt;Model!$B$4,0,MAX(0,Model!$B$6-IF((A40+93)&gt;=Model!$B$11,Model!$B$20,0)-IF(93&lt;Model!$B$15,Model!$B$22,0))/(1-Model!$B$9)/(1+Model!$B$18)^93))</f>
        <v/>
      </c>
      <c r="DD40" s="7">
        <f>IF(A40="","",IF((A40+94)&gt;Model!$B$4,0,MAX(0,Model!$B$6-IF((A40+94)&gt;=Model!$B$11,Model!$B$20,0)-IF(94&lt;Model!$B$15,Model!$B$22,0))/(1-Model!$B$9)/(1+Model!$B$18)^94))</f>
        <v/>
      </c>
      <c r="DE40" s="7">
        <f>IF(A40="","",IF((A40+95)&gt;Model!$B$4,0,MAX(0,Model!$B$6-IF((A40+95)&gt;=Model!$B$11,Model!$B$20,0)-IF(95&lt;Model!$B$15,Model!$B$22,0))/(1-Model!$B$9)/(1+Model!$B$18)^95))</f>
        <v/>
      </c>
      <c r="DF40" s="7">
        <f>IF(A40="","",IF((A40+96)&gt;Model!$B$4,0,MAX(0,Model!$B$6-IF((A40+96)&gt;=Model!$B$11,Model!$B$20,0)-IF(96&lt;Model!$B$15,Model!$B$22,0))/(1-Model!$B$9)/(1+Model!$B$18)^96))</f>
        <v/>
      </c>
      <c r="DG40" s="7">
        <f>IF(A40="","",IF((A40+97)&gt;Model!$B$4,0,MAX(0,Model!$B$6-IF((A40+97)&gt;=Model!$B$11,Model!$B$20,0)-IF(97&lt;Model!$B$15,Model!$B$22,0))/(1-Model!$B$9)/(1+Model!$B$18)^97))</f>
        <v/>
      </c>
      <c r="DH40" s="7">
        <f>IF(A40="","",IF((A40+98)&gt;Model!$B$4,0,MAX(0,Model!$B$6-IF((A40+98)&gt;=Model!$B$11,Model!$B$20,0)-IF(98&lt;Model!$B$15,Model!$B$22,0))/(1-Model!$B$9)/(1+Model!$B$18)^98))</f>
        <v/>
      </c>
      <c r="DI40" s="7">
        <f>IF(A40="","",IF((A40+99)&gt;Model!$B$4,0,MAX(0,Model!$B$6-IF((A40+99)&gt;=Model!$B$11,Model!$B$20,0)-IF(99&lt;Model!$B$15,Model!$B$22,0))/(1-Model!$B$9)/(1+Model!$B$18)^99))</f>
        <v/>
      </c>
      <c r="DJ40" s="7">
        <f>IF(A40="","",IF((A40+100)&gt;Model!$B$4,0,MAX(0,Model!$B$6-IF((A40+100)&gt;=Model!$B$11,Model!$B$20,0)-IF(100&lt;Model!$B$15,Model!$B$22,0))/(1-Model!$B$9)/(1+Model!$B$18)^100))</f>
        <v/>
      </c>
      <c r="DK40" s="7">
        <f>IF(A40="","",IF((A40+101)&gt;Model!$B$4,0,MAX(0,Model!$B$6-IF((A40+101)&gt;=Model!$B$11,Model!$B$20,0)-IF(101&lt;Model!$B$15,Model!$B$22,0))/(1-Model!$B$9)/(1+Model!$B$18)^101))</f>
        <v/>
      </c>
      <c r="DL40" s="7">
        <f>IF(A40="","",IF((A40+102)&gt;Model!$B$4,0,MAX(0,Model!$B$6-IF((A40+102)&gt;=Model!$B$11,Model!$B$20,0)-IF(102&lt;Model!$B$15,Model!$B$22,0))/(1-Model!$B$9)/(1+Model!$B$18)^102))</f>
        <v/>
      </c>
      <c r="DM40" s="7">
        <f>IF(A40="","",IF((A40+103)&gt;Model!$B$4,0,MAX(0,Model!$B$6-IF((A40+103)&gt;=Model!$B$11,Model!$B$20,0)-IF(103&lt;Model!$B$15,Model!$B$22,0))/(1-Model!$B$9)/(1+Model!$B$18)^103))</f>
        <v/>
      </c>
      <c r="DN40" s="7">
        <f>IF(A40="","",IF((A40+104)&gt;Model!$B$4,0,MAX(0,Model!$B$6-IF((A40+104)&gt;=Model!$B$11,Model!$B$20,0)-IF(104&lt;Model!$B$15,Model!$B$22,0))/(1-Model!$B$9)/(1+Model!$B$18)^104))</f>
        <v/>
      </c>
      <c r="DO40" s="7">
        <f>IF(A40="","",IF((A40+105)&gt;Model!$B$4,0,MAX(0,Model!$B$6-IF((A40+105)&gt;=Model!$B$11,Model!$B$20,0)-IF(105&lt;Model!$B$15,Model!$B$22,0))/(1-Model!$B$9)/(1+Model!$B$18)^105))</f>
        <v/>
      </c>
      <c r="DP40" s="7">
        <f>IF(A40="","",IF((A40+106)&gt;Model!$B$4,0,MAX(0,Model!$B$6-IF((A40+106)&gt;=Model!$B$11,Model!$B$20,0)-IF(106&lt;Model!$B$15,Model!$B$22,0))/(1-Model!$B$9)/(1+Model!$B$18)^106))</f>
        <v/>
      </c>
      <c r="DQ40" s="7">
        <f>IF(A40="","",IF((A40+107)&gt;Model!$B$4,0,MAX(0,Model!$B$6-IF((A40+107)&gt;=Model!$B$11,Model!$B$20,0)-IF(107&lt;Model!$B$15,Model!$B$22,0))/(1-Model!$B$9)/(1+Model!$B$18)^107))</f>
        <v/>
      </c>
      <c r="DR40" s="7">
        <f>IF(A40="","",IF((A40+108)&gt;Model!$B$4,0,MAX(0,Model!$B$6-IF((A40+108)&gt;=Model!$B$11,Model!$B$20,0)-IF(108&lt;Model!$B$15,Model!$B$22,0))/(1-Model!$B$9)/(1+Model!$B$18)^108))</f>
        <v/>
      </c>
      <c r="DS40" s="7">
        <f>IF(A40="","",IF((A40+109)&gt;Model!$B$4,0,MAX(0,Model!$B$6-IF((A40+109)&gt;=Model!$B$11,Model!$B$20,0)-IF(109&lt;Model!$B$15,Model!$B$22,0))/(1-Model!$B$9)/(1+Model!$B$18)^109))</f>
        <v/>
      </c>
      <c r="DT40" s="7">
        <f>IF(A40="","",IF((A40+110)&gt;Model!$B$4,0,MAX(0,Model!$B$6-IF((A40+110)&gt;=Model!$B$11,Model!$B$20,0)-IF(110&lt;Model!$B$15,Model!$B$22,0))/(1-Model!$B$9)/(1+Model!$B$18)^110))</f>
        <v/>
      </c>
      <c r="DU40" s="7">
        <f>IF(A40="","",IF((A40+111)&gt;Model!$B$4,0,MAX(0,Model!$B$6-IF((A40+111)&gt;=Model!$B$11,Model!$B$20,0)-IF(111&lt;Model!$B$15,Model!$B$22,0))/(1-Model!$B$9)/(1+Model!$B$18)^111))</f>
        <v/>
      </c>
      <c r="DV40" s="7">
        <f>IF(A40="","",IF((A40+112)&gt;Model!$B$4,0,MAX(0,Model!$B$6-IF((A40+112)&gt;=Model!$B$11,Model!$B$20,0)-IF(112&lt;Model!$B$15,Model!$B$22,0))/(1-Model!$B$9)/(1+Model!$B$18)^112))</f>
        <v/>
      </c>
      <c r="DW40" s="7">
        <f>IF(A40="","",IF((A40+113)&gt;Model!$B$4,0,MAX(0,Model!$B$6-IF((A40+113)&gt;=Model!$B$11,Model!$B$20,0)-IF(113&lt;Model!$B$15,Model!$B$22,0))/(1-Model!$B$9)/(1+Model!$B$18)^113))</f>
        <v/>
      </c>
      <c r="DX40" s="7">
        <f>IF(A40="","",IF((A40+114)&gt;Model!$B$4,0,MAX(0,Model!$B$6-IF((A40+114)&gt;=Model!$B$11,Model!$B$20,0)-IF(114&lt;Model!$B$15,Model!$B$22,0))/(1-Model!$B$9)/(1+Model!$B$18)^114))</f>
        <v/>
      </c>
      <c r="DY40" s="7">
        <f>IF(A40="","",IF((A40+115)&gt;Model!$B$4,0,MAX(0,Model!$B$6-IF((A40+115)&gt;=Model!$B$11,Model!$B$20,0)-IF(115&lt;Model!$B$15,Model!$B$22,0))/(1-Model!$B$9)/(1+Model!$B$18)^115))</f>
        <v/>
      </c>
      <c r="DZ40" s="7">
        <f>IF(A40="","",IF((A40+116)&gt;Model!$B$4,0,MAX(0,Model!$B$6-IF((A40+116)&gt;=Model!$B$11,Model!$B$20,0)-IF(116&lt;Model!$B$15,Model!$B$22,0))/(1-Model!$B$9)/(1+Model!$B$18)^116))</f>
        <v/>
      </c>
      <c r="EA40" s="7">
        <f>IF(A40="","",IF((A40+117)&gt;Model!$B$4,0,MAX(0,Model!$B$6-IF((A40+117)&gt;=Model!$B$11,Model!$B$20,0)-IF(117&lt;Model!$B$15,Model!$B$22,0))/(1-Model!$B$9)/(1+Model!$B$18)^117))</f>
        <v/>
      </c>
      <c r="EB40" s="7">
        <f>IF(A40="","",IF((A40+118)&gt;Model!$B$4,0,MAX(0,Model!$B$6-IF((A40+118)&gt;=Model!$B$11,Model!$B$20,0)-IF(118&lt;Model!$B$15,Model!$B$22,0))/(1-Model!$B$9)/(1+Model!$B$18)^118))</f>
        <v/>
      </c>
      <c r="EC40" s="7">
        <f>IF(A40="","",IF((A40+119)&gt;Model!$B$4,0,MAX(0,Model!$B$6-IF((A40+119)&gt;=Model!$B$11,Model!$B$20,0)-IF(119&lt;Model!$B$15,Model!$B$22,0))/(1-Model!$B$9)/(1+Model!$B$18)^119))</f>
        <v/>
      </c>
      <c r="ED40" s="7">
        <f>IF(A40="","",IF((A40+120)&gt;Model!$B$4,0,MAX(0,Model!$B$6-IF((A40+120)&gt;=Model!$B$11,Model!$B$20,0)-IF(120&lt;Model!$B$15,Model!$B$22,0))/(1-Model!$B$9)/(1+Model!$B$18)^120))</f>
        <v/>
      </c>
    </row>
    <row r="41">
      <c r="A41">
        <f>IF(Model!$B$10+ROW()-2&lt;=Model!$B$4,Model!$B$10+ROW()-2,"")</f>
        <v/>
      </c>
      <c r="B41">
        <f>IF(A41="","",A41-Model!$B$10)</f>
        <v/>
      </c>
      <c r="C41" s="7">
        <f>IF(A41="","",Model!$B$5*(1+Model!$B$18)^B41)</f>
        <v/>
      </c>
      <c r="D41" s="7">
        <f>IF(A41="","",SUM(N41:ED41))</f>
        <v/>
      </c>
      <c r="E41" s="7">
        <f>IF(A41="","",IF(A41&gt;=Model!$B$11,Model!$B$20,0))</f>
        <v/>
      </c>
      <c r="F41" s="7">
        <f>IF(A41="","",IF(Model!$B$15&gt;0,Model!$B$22,0))</f>
        <v/>
      </c>
      <c r="G41" s="7">
        <f>IF(A41="","",E41+F41)</f>
        <v/>
      </c>
      <c r="H41" s="7">
        <f>IF(A41="","",MAX(0,Model!$B$6-G41))</f>
        <v/>
      </c>
      <c r="I41" s="7">
        <f>IF(A41="","",H41/(1-Model!$B$9))</f>
        <v/>
      </c>
      <c r="J41" s="7">
        <f>IF(A41="","",C41-D41)</f>
        <v/>
      </c>
      <c r="K41">
        <f>IF(A41="","",C41&gt;=D41)</f>
        <v/>
      </c>
      <c r="L41" s="7">
        <f>IF(A41="","",IF(A41&gt;=Model!$B$11,Model!$B$19*(1+Model!$B$13)^B41,0))</f>
        <v/>
      </c>
      <c r="M41" s="7">
        <f>IF(A41="","",IF(Model!$B$15&gt;0,Model!$B$21*(1+Model!$B$13)^B41,0))</f>
        <v/>
      </c>
      <c r="N41" s="7">
        <f>IF(A41="","",IF((A41+0)&gt;Model!$B$4,0,MAX(0,Model!$B$6-IF((A41+0)&gt;=Model!$B$11,Model!$B$20,0)-IF(0&lt;Model!$B$15,Model!$B$22,0))/(1-Model!$B$9)/(1+Model!$B$18)^0))</f>
        <v/>
      </c>
      <c r="O41" s="7">
        <f>IF(A41="","",IF((A41+1)&gt;Model!$B$4,0,MAX(0,Model!$B$6-IF((A41+1)&gt;=Model!$B$11,Model!$B$20,0)-IF(1&lt;Model!$B$15,Model!$B$22,0))/(1-Model!$B$9)/(1+Model!$B$18)^1))</f>
        <v/>
      </c>
      <c r="P41" s="7">
        <f>IF(A41="","",IF((A41+2)&gt;Model!$B$4,0,MAX(0,Model!$B$6-IF((A41+2)&gt;=Model!$B$11,Model!$B$20,0)-IF(2&lt;Model!$B$15,Model!$B$22,0))/(1-Model!$B$9)/(1+Model!$B$18)^2))</f>
        <v/>
      </c>
      <c r="Q41" s="7">
        <f>IF(A41="","",IF((A41+3)&gt;Model!$B$4,0,MAX(0,Model!$B$6-IF((A41+3)&gt;=Model!$B$11,Model!$B$20,0)-IF(3&lt;Model!$B$15,Model!$B$22,0))/(1-Model!$B$9)/(1+Model!$B$18)^3))</f>
        <v/>
      </c>
      <c r="R41" s="7">
        <f>IF(A41="","",IF((A41+4)&gt;Model!$B$4,0,MAX(0,Model!$B$6-IF((A41+4)&gt;=Model!$B$11,Model!$B$20,0)-IF(4&lt;Model!$B$15,Model!$B$22,0))/(1-Model!$B$9)/(1+Model!$B$18)^4))</f>
        <v/>
      </c>
      <c r="S41" s="7">
        <f>IF(A41="","",IF((A41+5)&gt;Model!$B$4,0,MAX(0,Model!$B$6-IF((A41+5)&gt;=Model!$B$11,Model!$B$20,0)-IF(5&lt;Model!$B$15,Model!$B$22,0))/(1-Model!$B$9)/(1+Model!$B$18)^5))</f>
        <v/>
      </c>
      <c r="T41" s="7">
        <f>IF(A41="","",IF((A41+6)&gt;Model!$B$4,0,MAX(0,Model!$B$6-IF((A41+6)&gt;=Model!$B$11,Model!$B$20,0)-IF(6&lt;Model!$B$15,Model!$B$22,0))/(1-Model!$B$9)/(1+Model!$B$18)^6))</f>
        <v/>
      </c>
      <c r="U41" s="7">
        <f>IF(A41="","",IF((A41+7)&gt;Model!$B$4,0,MAX(0,Model!$B$6-IF((A41+7)&gt;=Model!$B$11,Model!$B$20,0)-IF(7&lt;Model!$B$15,Model!$B$22,0))/(1-Model!$B$9)/(1+Model!$B$18)^7))</f>
        <v/>
      </c>
      <c r="V41" s="7">
        <f>IF(A41="","",IF((A41+8)&gt;Model!$B$4,0,MAX(0,Model!$B$6-IF((A41+8)&gt;=Model!$B$11,Model!$B$20,0)-IF(8&lt;Model!$B$15,Model!$B$22,0))/(1-Model!$B$9)/(1+Model!$B$18)^8))</f>
        <v/>
      </c>
      <c r="W41" s="7">
        <f>IF(A41="","",IF((A41+9)&gt;Model!$B$4,0,MAX(0,Model!$B$6-IF((A41+9)&gt;=Model!$B$11,Model!$B$20,0)-IF(9&lt;Model!$B$15,Model!$B$22,0))/(1-Model!$B$9)/(1+Model!$B$18)^9))</f>
        <v/>
      </c>
      <c r="X41" s="7">
        <f>IF(A41="","",IF((A41+10)&gt;Model!$B$4,0,MAX(0,Model!$B$6-IF((A41+10)&gt;=Model!$B$11,Model!$B$20,0)-IF(10&lt;Model!$B$15,Model!$B$22,0))/(1-Model!$B$9)/(1+Model!$B$18)^10))</f>
        <v/>
      </c>
      <c r="Y41" s="7">
        <f>IF(A41="","",IF((A41+11)&gt;Model!$B$4,0,MAX(0,Model!$B$6-IF((A41+11)&gt;=Model!$B$11,Model!$B$20,0)-IF(11&lt;Model!$B$15,Model!$B$22,0))/(1-Model!$B$9)/(1+Model!$B$18)^11))</f>
        <v/>
      </c>
      <c r="Z41" s="7">
        <f>IF(A41="","",IF((A41+12)&gt;Model!$B$4,0,MAX(0,Model!$B$6-IF((A41+12)&gt;=Model!$B$11,Model!$B$20,0)-IF(12&lt;Model!$B$15,Model!$B$22,0))/(1-Model!$B$9)/(1+Model!$B$18)^12))</f>
        <v/>
      </c>
      <c r="AA41" s="7">
        <f>IF(A41="","",IF((A41+13)&gt;Model!$B$4,0,MAX(0,Model!$B$6-IF((A41+13)&gt;=Model!$B$11,Model!$B$20,0)-IF(13&lt;Model!$B$15,Model!$B$22,0))/(1-Model!$B$9)/(1+Model!$B$18)^13))</f>
        <v/>
      </c>
      <c r="AB41" s="7">
        <f>IF(A41="","",IF((A41+14)&gt;Model!$B$4,0,MAX(0,Model!$B$6-IF((A41+14)&gt;=Model!$B$11,Model!$B$20,0)-IF(14&lt;Model!$B$15,Model!$B$22,0))/(1-Model!$B$9)/(1+Model!$B$18)^14))</f>
        <v/>
      </c>
      <c r="AC41" s="7">
        <f>IF(A41="","",IF((A41+15)&gt;Model!$B$4,0,MAX(0,Model!$B$6-IF((A41+15)&gt;=Model!$B$11,Model!$B$20,0)-IF(15&lt;Model!$B$15,Model!$B$22,0))/(1-Model!$B$9)/(1+Model!$B$18)^15))</f>
        <v/>
      </c>
      <c r="AD41" s="7">
        <f>IF(A41="","",IF((A41+16)&gt;Model!$B$4,0,MAX(0,Model!$B$6-IF((A41+16)&gt;=Model!$B$11,Model!$B$20,0)-IF(16&lt;Model!$B$15,Model!$B$22,0))/(1-Model!$B$9)/(1+Model!$B$18)^16))</f>
        <v/>
      </c>
      <c r="AE41" s="7">
        <f>IF(A41="","",IF((A41+17)&gt;Model!$B$4,0,MAX(0,Model!$B$6-IF((A41+17)&gt;=Model!$B$11,Model!$B$20,0)-IF(17&lt;Model!$B$15,Model!$B$22,0))/(1-Model!$B$9)/(1+Model!$B$18)^17))</f>
        <v/>
      </c>
      <c r="AF41" s="7">
        <f>IF(A41="","",IF((A41+18)&gt;Model!$B$4,0,MAX(0,Model!$B$6-IF((A41+18)&gt;=Model!$B$11,Model!$B$20,0)-IF(18&lt;Model!$B$15,Model!$B$22,0))/(1-Model!$B$9)/(1+Model!$B$18)^18))</f>
        <v/>
      </c>
      <c r="AG41" s="7">
        <f>IF(A41="","",IF((A41+19)&gt;Model!$B$4,0,MAX(0,Model!$B$6-IF((A41+19)&gt;=Model!$B$11,Model!$B$20,0)-IF(19&lt;Model!$B$15,Model!$B$22,0))/(1-Model!$B$9)/(1+Model!$B$18)^19))</f>
        <v/>
      </c>
      <c r="AH41" s="7">
        <f>IF(A41="","",IF((A41+20)&gt;Model!$B$4,0,MAX(0,Model!$B$6-IF((A41+20)&gt;=Model!$B$11,Model!$B$20,0)-IF(20&lt;Model!$B$15,Model!$B$22,0))/(1-Model!$B$9)/(1+Model!$B$18)^20))</f>
        <v/>
      </c>
      <c r="AI41" s="7">
        <f>IF(A41="","",IF((A41+21)&gt;Model!$B$4,0,MAX(0,Model!$B$6-IF((A41+21)&gt;=Model!$B$11,Model!$B$20,0)-IF(21&lt;Model!$B$15,Model!$B$22,0))/(1-Model!$B$9)/(1+Model!$B$18)^21))</f>
        <v/>
      </c>
      <c r="AJ41" s="7">
        <f>IF(A41="","",IF((A41+22)&gt;Model!$B$4,0,MAX(0,Model!$B$6-IF((A41+22)&gt;=Model!$B$11,Model!$B$20,0)-IF(22&lt;Model!$B$15,Model!$B$22,0))/(1-Model!$B$9)/(1+Model!$B$18)^22))</f>
        <v/>
      </c>
      <c r="AK41" s="7">
        <f>IF(A41="","",IF((A41+23)&gt;Model!$B$4,0,MAX(0,Model!$B$6-IF((A41+23)&gt;=Model!$B$11,Model!$B$20,0)-IF(23&lt;Model!$B$15,Model!$B$22,0))/(1-Model!$B$9)/(1+Model!$B$18)^23))</f>
        <v/>
      </c>
      <c r="AL41" s="7">
        <f>IF(A41="","",IF((A41+24)&gt;Model!$B$4,0,MAX(0,Model!$B$6-IF((A41+24)&gt;=Model!$B$11,Model!$B$20,0)-IF(24&lt;Model!$B$15,Model!$B$22,0))/(1-Model!$B$9)/(1+Model!$B$18)^24))</f>
        <v/>
      </c>
      <c r="AM41" s="7">
        <f>IF(A41="","",IF((A41+25)&gt;Model!$B$4,0,MAX(0,Model!$B$6-IF((A41+25)&gt;=Model!$B$11,Model!$B$20,0)-IF(25&lt;Model!$B$15,Model!$B$22,0))/(1-Model!$B$9)/(1+Model!$B$18)^25))</f>
        <v/>
      </c>
      <c r="AN41" s="7">
        <f>IF(A41="","",IF((A41+26)&gt;Model!$B$4,0,MAX(0,Model!$B$6-IF((A41+26)&gt;=Model!$B$11,Model!$B$20,0)-IF(26&lt;Model!$B$15,Model!$B$22,0))/(1-Model!$B$9)/(1+Model!$B$18)^26))</f>
        <v/>
      </c>
      <c r="AO41" s="7">
        <f>IF(A41="","",IF((A41+27)&gt;Model!$B$4,0,MAX(0,Model!$B$6-IF((A41+27)&gt;=Model!$B$11,Model!$B$20,0)-IF(27&lt;Model!$B$15,Model!$B$22,0))/(1-Model!$B$9)/(1+Model!$B$18)^27))</f>
        <v/>
      </c>
      <c r="AP41" s="7">
        <f>IF(A41="","",IF((A41+28)&gt;Model!$B$4,0,MAX(0,Model!$B$6-IF((A41+28)&gt;=Model!$B$11,Model!$B$20,0)-IF(28&lt;Model!$B$15,Model!$B$22,0))/(1-Model!$B$9)/(1+Model!$B$18)^28))</f>
        <v/>
      </c>
      <c r="AQ41" s="7">
        <f>IF(A41="","",IF((A41+29)&gt;Model!$B$4,0,MAX(0,Model!$B$6-IF((A41+29)&gt;=Model!$B$11,Model!$B$20,0)-IF(29&lt;Model!$B$15,Model!$B$22,0))/(1-Model!$B$9)/(1+Model!$B$18)^29))</f>
        <v/>
      </c>
      <c r="AR41" s="7">
        <f>IF(A41="","",IF((A41+30)&gt;Model!$B$4,0,MAX(0,Model!$B$6-IF((A41+30)&gt;=Model!$B$11,Model!$B$20,0)-IF(30&lt;Model!$B$15,Model!$B$22,0))/(1-Model!$B$9)/(1+Model!$B$18)^30))</f>
        <v/>
      </c>
      <c r="AS41" s="7">
        <f>IF(A41="","",IF((A41+31)&gt;Model!$B$4,0,MAX(0,Model!$B$6-IF((A41+31)&gt;=Model!$B$11,Model!$B$20,0)-IF(31&lt;Model!$B$15,Model!$B$22,0))/(1-Model!$B$9)/(1+Model!$B$18)^31))</f>
        <v/>
      </c>
      <c r="AT41" s="7">
        <f>IF(A41="","",IF((A41+32)&gt;Model!$B$4,0,MAX(0,Model!$B$6-IF((A41+32)&gt;=Model!$B$11,Model!$B$20,0)-IF(32&lt;Model!$B$15,Model!$B$22,0))/(1-Model!$B$9)/(1+Model!$B$18)^32))</f>
        <v/>
      </c>
      <c r="AU41" s="7">
        <f>IF(A41="","",IF((A41+33)&gt;Model!$B$4,0,MAX(0,Model!$B$6-IF((A41+33)&gt;=Model!$B$11,Model!$B$20,0)-IF(33&lt;Model!$B$15,Model!$B$22,0))/(1-Model!$B$9)/(1+Model!$B$18)^33))</f>
        <v/>
      </c>
      <c r="AV41" s="7">
        <f>IF(A41="","",IF((A41+34)&gt;Model!$B$4,0,MAX(0,Model!$B$6-IF((A41+34)&gt;=Model!$B$11,Model!$B$20,0)-IF(34&lt;Model!$B$15,Model!$B$22,0))/(1-Model!$B$9)/(1+Model!$B$18)^34))</f>
        <v/>
      </c>
      <c r="AW41" s="7">
        <f>IF(A41="","",IF((A41+35)&gt;Model!$B$4,0,MAX(0,Model!$B$6-IF((A41+35)&gt;=Model!$B$11,Model!$B$20,0)-IF(35&lt;Model!$B$15,Model!$B$22,0))/(1-Model!$B$9)/(1+Model!$B$18)^35))</f>
        <v/>
      </c>
      <c r="AX41" s="7">
        <f>IF(A41="","",IF((A41+36)&gt;Model!$B$4,0,MAX(0,Model!$B$6-IF((A41+36)&gt;=Model!$B$11,Model!$B$20,0)-IF(36&lt;Model!$B$15,Model!$B$22,0))/(1-Model!$B$9)/(1+Model!$B$18)^36))</f>
        <v/>
      </c>
      <c r="AY41" s="7">
        <f>IF(A41="","",IF((A41+37)&gt;Model!$B$4,0,MAX(0,Model!$B$6-IF((A41+37)&gt;=Model!$B$11,Model!$B$20,0)-IF(37&lt;Model!$B$15,Model!$B$22,0))/(1-Model!$B$9)/(1+Model!$B$18)^37))</f>
        <v/>
      </c>
      <c r="AZ41" s="7">
        <f>IF(A41="","",IF((A41+38)&gt;Model!$B$4,0,MAX(0,Model!$B$6-IF((A41+38)&gt;=Model!$B$11,Model!$B$20,0)-IF(38&lt;Model!$B$15,Model!$B$22,0))/(1-Model!$B$9)/(1+Model!$B$18)^38))</f>
        <v/>
      </c>
      <c r="BA41" s="7">
        <f>IF(A41="","",IF((A41+39)&gt;Model!$B$4,0,MAX(0,Model!$B$6-IF((A41+39)&gt;=Model!$B$11,Model!$B$20,0)-IF(39&lt;Model!$B$15,Model!$B$22,0))/(1-Model!$B$9)/(1+Model!$B$18)^39))</f>
        <v/>
      </c>
      <c r="BB41" s="7">
        <f>IF(A41="","",IF((A41+40)&gt;Model!$B$4,0,MAX(0,Model!$B$6-IF((A41+40)&gt;=Model!$B$11,Model!$B$20,0)-IF(40&lt;Model!$B$15,Model!$B$22,0))/(1-Model!$B$9)/(1+Model!$B$18)^40))</f>
        <v/>
      </c>
      <c r="BC41" s="7">
        <f>IF(A41="","",IF((A41+41)&gt;Model!$B$4,0,MAX(0,Model!$B$6-IF((A41+41)&gt;=Model!$B$11,Model!$B$20,0)-IF(41&lt;Model!$B$15,Model!$B$22,0))/(1-Model!$B$9)/(1+Model!$B$18)^41))</f>
        <v/>
      </c>
      <c r="BD41" s="7">
        <f>IF(A41="","",IF((A41+42)&gt;Model!$B$4,0,MAX(0,Model!$B$6-IF((A41+42)&gt;=Model!$B$11,Model!$B$20,0)-IF(42&lt;Model!$B$15,Model!$B$22,0))/(1-Model!$B$9)/(1+Model!$B$18)^42))</f>
        <v/>
      </c>
      <c r="BE41" s="7">
        <f>IF(A41="","",IF((A41+43)&gt;Model!$B$4,0,MAX(0,Model!$B$6-IF((A41+43)&gt;=Model!$B$11,Model!$B$20,0)-IF(43&lt;Model!$B$15,Model!$B$22,0))/(1-Model!$B$9)/(1+Model!$B$18)^43))</f>
        <v/>
      </c>
      <c r="BF41" s="7">
        <f>IF(A41="","",IF((A41+44)&gt;Model!$B$4,0,MAX(0,Model!$B$6-IF((A41+44)&gt;=Model!$B$11,Model!$B$20,0)-IF(44&lt;Model!$B$15,Model!$B$22,0))/(1-Model!$B$9)/(1+Model!$B$18)^44))</f>
        <v/>
      </c>
      <c r="BG41" s="7">
        <f>IF(A41="","",IF((A41+45)&gt;Model!$B$4,0,MAX(0,Model!$B$6-IF((A41+45)&gt;=Model!$B$11,Model!$B$20,0)-IF(45&lt;Model!$B$15,Model!$B$22,0))/(1-Model!$B$9)/(1+Model!$B$18)^45))</f>
        <v/>
      </c>
      <c r="BH41" s="7">
        <f>IF(A41="","",IF((A41+46)&gt;Model!$B$4,0,MAX(0,Model!$B$6-IF((A41+46)&gt;=Model!$B$11,Model!$B$20,0)-IF(46&lt;Model!$B$15,Model!$B$22,0))/(1-Model!$B$9)/(1+Model!$B$18)^46))</f>
        <v/>
      </c>
      <c r="BI41" s="7">
        <f>IF(A41="","",IF((A41+47)&gt;Model!$B$4,0,MAX(0,Model!$B$6-IF((A41+47)&gt;=Model!$B$11,Model!$B$20,0)-IF(47&lt;Model!$B$15,Model!$B$22,0))/(1-Model!$B$9)/(1+Model!$B$18)^47))</f>
        <v/>
      </c>
      <c r="BJ41" s="7">
        <f>IF(A41="","",IF((A41+48)&gt;Model!$B$4,0,MAX(0,Model!$B$6-IF((A41+48)&gt;=Model!$B$11,Model!$B$20,0)-IF(48&lt;Model!$B$15,Model!$B$22,0))/(1-Model!$B$9)/(1+Model!$B$18)^48))</f>
        <v/>
      </c>
      <c r="BK41" s="7">
        <f>IF(A41="","",IF((A41+49)&gt;Model!$B$4,0,MAX(0,Model!$B$6-IF((A41+49)&gt;=Model!$B$11,Model!$B$20,0)-IF(49&lt;Model!$B$15,Model!$B$22,0))/(1-Model!$B$9)/(1+Model!$B$18)^49))</f>
        <v/>
      </c>
      <c r="BL41" s="7">
        <f>IF(A41="","",IF((A41+50)&gt;Model!$B$4,0,MAX(0,Model!$B$6-IF((A41+50)&gt;=Model!$B$11,Model!$B$20,0)-IF(50&lt;Model!$B$15,Model!$B$22,0))/(1-Model!$B$9)/(1+Model!$B$18)^50))</f>
        <v/>
      </c>
      <c r="BM41" s="7">
        <f>IF(A41="","",IF((A41+51)&gt;Model!$B$4,0,MAX(0,Model!$B$6-IF((A41+51)&gt;=Model!$B$11,Model!$B$20,0)-IF(51&lt;Model!$B$15,Model!$B$22,0))/(1-Model!$B$9)/(1+Model!$B$18)^51))</f>
        <v/>
      </c>
      <c r="BN41" s="7">
        <f>IF(A41="","",IF((A41+52)&gt;Model!$B$4,0,MAX(0,Model!$B$6-IF((A41+52)&gt;=Model!$B$11,Model!$B$20,0)-IF(52&lt;Model!$B$15,Model!$B$22,0))/(1-Model!$B$9)/(1+Model!$B$18)^52))</f>
        <v/>
      </c>
      <c r="BO41" s="7">
        <f>IF(A41="","",IF((A41+53)&gt;Model!$B$4,0,MAX(0,Model!$B$6-IF((A41+53)&gt;=Model!$B$11,Model!$B$20,0)-IF(53&lt;Model!$B$15,Model!$B$22,0))/(1-Model!$B$9)/(1+Model!$B$18)^53))</f>
        <v/>
      </c>
      <c r="BP41" s="7">
        <f>IF(A41="","",IF((A41+54)&gt;Model!$B$4,0,MAX(0,Model!$B$6-IF((A41+54)&gt;=Model!$B$11,Model!$B$20,0)-IF(54&lt;Model!$B$15,Model!$B$22,0))/(1-Model!$B$9)/(1+Model!$B$18)^54))</f>
        <v/>
      </c>
      <c r="BQ41" s="7">
        <f>IF(A41="","",IF((A41+55)&gt;Model!$B$4,0,MAX(0,Model!$B$6-IF((A41+55)&gt;=Model!$B$11,Model!$B$20,0)-IF(55&lt;Model!$B$15,Model!$B$22,0))/(1-Model!$B$9)/(1+Model!$B$18)^55))</f>
        <v/>
      </c>
      <c r="BR41" s="7">
        <f>IF(A41="","",IF((A41+56)&gt;Model!$B$4,0,MAX(0,Model!$B$6-IF((A41+56)&gt;=Model!$B$11,Model!$B$20,0)-IF(56&lt;Model!$B$15,Model!$B$22,0))/(1-Model!$B$9)/(1+Model!$B$18)^56))</f>
        <v/>
      </c>
      <c r="BS41" s="7">
        <f>IF(A41="","",IF((A41+57)&gt;Model!$B$4,0,MAX(0,Model!$B$6-IF((A41+57)&gt;=Model!$B$11,Model!$B$20,0)-IF(57&lt;Model!$B$15,Model!$B$22,0))/(1-Model!$B$9)/(1+Model!$B$18)^57))</f>
        <v/>
      </c>
      <c r="BT41" s="7">
        <f>IF(A41="","",IF((A41+58)&gt;Model!$B$4,0,MAX(0,Model!$B$6-IF((A41+58)&gt;=Model!$B$11,Model!$B$20,0)-IF(58&lt;Model!$B$15,Model!$B$22,0))/(1-Model!$B$9)/(1+Model!$B$18)^58))</f>
        <v/>
      </c>
      <c r="BU41" s="7">
        <f>IF(A41="","",IF((A41+59)&gt;Model!$B$4,0,MAX(0,Model!$B$6-IF((A41+59)&gt;=Model!$B$11,Model!$B$20,0)-IF(59&lt;Model!$B$15,Model!$B$22,0))/(1-Model!$B$9)/(1+Model!$B$18)^59))</f>
        <v/>
      </c>
      <c r="BV41" s="7">
        <f>IF(A41="","",IF((A41+60)&gt;Model!$B$4,0,MAX(0,Model!$B$6-IF((A41+60)&gt;=Model!$B$11,Model!$B$20,0)-IF(60&lt;Model!$B$15,Model!$B$22,0))/(1-Model!$B$9)/(1+Model!$B$18)^60))</f>
        <v/>
      </c>
      <c r="BW41" s="7">
        <f>IF(A41="","",IF((A41+61)&gt;Model!$B$4,0,MAX(0,Model!$B$6-IF((A41+61)&gt;=Model!$B$11,Model!$B$20,0)-IF(61&lt;Model!$B$15,Model!$B$22,0))/(1-Model!$B$9)/(1+Model!$B$18)^61))</f>
        <v/>
      </c>
      <c r="BX41" s="7">
        <f>IF(A41="","",IF((A41+62)&gt;Model!$B$4,0,MAX(0,Model!$B$6-IF((A41+62)&gt;=Model!$B$11,Model!$B$20,0)-IF(62&lt;Model!$B$15,Model!$B$22,0))/(1-Model!$B$9)/(1+Model!$B$18)^62))</f>
        <v/>
      </c>
      <c r="BY41" s="7">
        <f>IF(A41="","",IF((A41+63)&gt;Model!$B$4,0,MAX(0,Model!$B$6-IF((A41+63)&gt;=Model!$B$11,Model!$B$20,0)-IF(63&lt;Model!$B$15,Model!$B$22,0))/(1-Model!$B$9)/(1+Model!$B$18)^63))</f>
        <v/>
      </c>
      <c r="BZ41" s="7">
        <f>IF(A41="","",IF((A41+64)&gt;Model!$B$4,0,MAX(0,Model!$B$6-IF((A41+64)&gt;=Model!$B$11,Model!$B$20,0)-IF(64&lt;Model!$B$15,Model!$B$22,0))/(1-Model!$B$9)/(1+Model!$B$18)^64))</f>
        <v/>
      </c>
      <c r="CA41" s="7">
        <f>IF(A41="","",IF((A41+65)&gt;Model!$B$4,0,MAX(0,Model!$B$6-IF((A41+65)&gt;=Model!$B$11,Model!$B$20,0)-IF(65&lt;Model!$B$15,Model!$B$22,0))/(1-Model!$B$9)/(1+Model!$B$18)^65))</f>
        <v/>
      </c>
      <c r="CB41" s="7">
        <f>IF(A41="","",IF((A41+66)&gt;Model!$B$4,0,MAX(0,Model!$B$6-IF((A41+66)&gt;=Model!$B$11,Model!$B$20,0)-IF(66&lt;Model!$B$15,Model!$B$22,0))/(1-Model!$B$9)/(1+Model!$B$18)^66))</f>
        <v/>
      </c>
      <c r="CC41" s="7">
        <f>IF(A41="","",IF((A41+67)&gt;Model!$B$4,0,MAX(0,Model!$B$6-IF((A41+67)&gt;=Model!$B$11,Model!$B$20,0)-IF(67&lt;Model!$B$15,Model!$B$22,0))/(1-Model!$B$9)/(1+Model!$B$18)^67))</f>
        <v/>
      </c>
      <c r="CD41" s="7">
        <f>IF(A41="","",IF((A41+68)&gt;Model!$B$4,0,MAX(0,Model!$B$6-IF((A41+68)&gt;=Model!$B$11,Model!$B$20,0)-IF(68&lt;Model!$B$15,Model!$B$22,0))/(1-Model!$B$9)/(1+Model!$B$18)^68))</f>
        <v/>
      </c>
      <c r="CE41" s="7">
        <f>IF(A41="","",IF((A41+69)&gt;Model!$B$4,0,MAX(0,Model!$B$6-IF((A41+69)&gt;=Model!$B$11,Model!$B$20,0)-IF(69&lt;Model!$B$15,Model!$B$22,0))/(1-Model!$B$9)/(1+Model!$B$18)^69))</f>
        <v/>
      </c>
      <c r="CF41" s="7">
        <f>IF(A41="","",IF((A41+70)&gt;Model!$B$4,0,MAX(0,Model!$B$6-IF((A41+70)&gt;=Model!$B$11,Model!$B$20,0)-IF(70&lt;Model!$B$15,Model!$B$22,0))/(1-Model!$B$9)/(1+Model!$B$18)^70))</f>
        <v/>
      </c>
      <c r="CG41" s="7">
        <f>IF(A41="","",IF((A41+71)&gt;Model!$B$4,0,MAX(0,Model!$B$6-IF((A41+71)&gt;=Model!$B$11,Model!$B$20,0)-IF(71&lt;Model!$B$15,Model!$B$22,0))/(1-Model!$B$9)/(1+Model!$B$18)^71))</f>
        <v/>
      </c>
      <c r="CH41" s="7">
        <f>IF(A41="","",IF((A41+72)&gt;Model!$B$4,0,MAX(0,Model!$B$6-IF((A41+72)&gt;=Model!$B$11,Model!$B$20,0)-IF(72&lt;Model!$B$15,Model!$B$22,0))/(1-Model!$B$9)/(1+Model!$B$18)^72))</f>
        <v/>
      </c>
      <c r="CI41" s="7">
        <f>IF(A41="","",IF((A41+73)&gt;Model!$B$4,0,MAX(0,Model!$B$6-IF((A41+73)&gt;=Model!$B$11,Model!$B$20,0)-IF(73&lt;Model!$B$15,Model!$B$22,0))/(1-Model!$B$9)/(1+Model!$B$18)^73))</f>
        <v/>
      </c>
      <c r="CJ41" s="7">
        <f>IF(A41="","",IF((A41+74)&gt;Model!$B$4,0,MAX(0,Model!$B$6-IF((A41+74)&gt;=Model!$B$11,Model!$B$20,0)-IF(74&lt;Model!$B$15,Model!$B$22,0))/(1-Model!$B$9)/(1+Model!$B$18)^74))</f>
        <v/>
      </c>
      <c r="CK41" s="7">
        <f>IF(A41="","",IF((A41+75)&gt;Model!$B$4,0,MAX(0,Model!$B$6-IF((A41+75)&gt;=Model!$B$11,Model!$B$20,0)-IF(75&lt;Model!$B$15,Model!$B$22,0))/(1-Model!$B$9)/(1+Model!$B$18)^75))</f>
        <v/>
      </c>
      <c r="CL41" s="7">
        <f>IF(A41="","",IF((A41+76)&gt;Model!$B$4,0,MAX(0,Model!$B$6-IF((A41+76)&gt;=Model!$B$11,Model!$B$20,0)-IF(76&lt;Model!$B$15,Model!$B$22,0))/(1-Model!$B$9)/(1+Model!$B$18)^76))</f>
        <v/>
      </c>
      <c r="CM41" s="7">
        <f>IF(A41="","",IF((A41+77)&gt;Model!$B$4,0,MAX(0,Model!$B$6-IF((A41+77)&gt;=Model!$B$11,Model!$B$20,0)-IF(77&lt;Model!$B$15,Model!$B$22,0))/(1-Model!$B$9)/(1+Model!$B$18)^77))</f>
        <v/>
      </c>
      <c r="CN41" s="7">
        <f>IF(A41="","",IF((A41+78)&gt;Model!$B$4,0,MAX(0,Model!$B$6-IF((A41+78)&gt;=Model!$B$11,Model!$B$20,0)-IF(78&lt;Model!$B$15,Model!$B$22,0))/(1-Model!$B$9)/(1+Model!$B$18)^78))</f>
        <v/>
      </c>
      <c r="CO41" s="7">
        <f>IF(A41="","",IF((A41+79)&gt;Model!$B$4,0,MAX(0,Model!$B$6-IF((A41+79)&gt;=Model!$B$11,Model!$B$20,0)-IF(79&lt;Model!$B$15,Model!$B$22,0))/(1-Model!$B$9)/(1+Model!$B$18)^79))</f>
        <v/>
      </c>
      <c r="CP41" s="7">
        <f>IF(A41="","",IF((A41+80)&gt;Model!$B$4,0,MAX(0,Model!$B$6-IF((A41+80)&gt;=Model!$B$11,Model!$B$20,0)-IF(80&lt;Model!$B$15,Model!$B$22,0))/(1-Model!$B$9)/(1+Model!$B$18)^80))</f>
        <v/>
      </c>
      <c r="CQ41" s="7">
        <f>IF(A41="","",IF((A41+81)&gt;Model!$B$4,0,MAX(0,Model!$B$6-IF((A41+81)&gt;=Model!$B$11,Model!$B$20,0)-IF(81&lt;Model!$B$15,Model!$B$22,0))/(1-Model!$B$9)/(1+Model!$B$18)^81))</f>
        <v/>
      </c>
      <c r="CR41" s="7">
        <f>IF(A41="","",IF((A41+82)&gt;Model!$B$4,0,MAX(0,Model!$B$6-IF((A41+82)&gt;=Model!$B$11,Model!$B$20,0)-IF(82&lt;Model!$B$15,Model!$B$22,0))/(1-Model!$B$9)/(1+Model!$B$18)^82))</f>
        <v/>
      </c>
      <c r="CS41" s="7">
        <f>IF(A41="","",IF((A41+83)&gt;Model!$B$4,0,MAX(0,Model!$B$6-IF((A41+83)&gt;=Model!$B$11,Model!$B$20,0)-IF(83&lt;Model!$B$15,Model!$B$22,0))/(1-Model!$B$9)/(1+Model!$B$18)^83))</f>
        <v/>
      </c>
      <c r="CT41" s="7">
        <f>IF(A41="","",IF((A41+84)&gt;Model!$B$4,0,MAX(0,Model!$B$6-IF((A41+84)&gt;=Model!$B$11,Model!$B$20,0)-IF(84&lt;Model!$B$15,Model!$B$22,0))/(1-Model!$B$9)/(1+Model!$B$18)^84))</f>
        <v/>
      </c>
      <c r="CU41" s="7">
        <f>IF(A41="","",IF((A41+85)&gt;Model!$B$4,0,MAX(0,Model!$B$6-IF((A41+85)&gt;=Model!$B$11,Model!$B$20,0)-IF(85&lt;Model!$B$15,Model!$B$22,0))/(1-Model!$B$9)/(1+Model!$B$18)^85))</f>
        <v/>
      </c>
      <c r="CV41" s="7">
        <f>IF(A41="","",IF((A41+86)&gt;Model!$B$4,0,MAX(0,Model!$B$6-IF((A41+86)&gt;=Model!$B$11,Model!$B$20,0)-IF(86&lt;Model!$B$15,Model!$B$22,0))/(1-Model!$B$9)/(1+Model!$B$18)^86))</f>
        <v/>
      </c>
      <c r="CW41" s="7">
        <f>IF(A41="","",IF((A41+87)&gt;Model!$B$4,0,MAX(0,Model!$B$6-IF((A41+87)&gt;=Model!$B$11,Model!$B$20,0)-IF(87&lt;Model!$B$15,Model!$B$22,0))/(1-Model!$B$9)/(1+Model!$B$18)^87))</f>
        <v/>
      </c>
      <c r="CX41" s="7">
        <f>IF(A41="","",IF((A41+88)&gt;Model!$B$4,0,MAX(0,Model!$B$6-IF((A41+88)&gt;=Model!$B$11,Model!$B$20,0)-IF(88&lt;Model!$B$15,Model!$B$22,0))/(1-Model!$B$9)/(1+Model!$B$18)^88))</f>
        <v/>
      </c>
      <c r="CY41" s="7">
        <f>IF(A41="","",IF((A41+89)&gt;Model!$B$4,0,MAX(0,Model!$B$6-IF((A41+89)&gt;=Model!$B$11,Model!$B$20,0)-IF(89&lt;Model!$B$15,Model!$B$22,0))/(1-Model!$B$9)/(1+Model!$B$18)^89))</f>
        <v/>
      </c>
      <c r="CZ41" s="7">
        <f>IF(A41="","",IF((A41+90)&gt;Model!$B$4,0,MAX(0,Model!$B$6-IF((A41+90)&gt;=Model!$B$11,Model!$B$20,0)-IF(90&lt;Model!$B$15,Model!$B$22,0))/(1-Model!$B$9)/(1+Model!$B$18)^90))</f>
        <v/>
      </c>
      <c r="DA41" s="7">
        <f>IF(A41="","",IF((A41+91)&gt;Model!$B$4,0,MAX(0,Model!$B$6-IF((A41+91)&gt;=Model!$B$11,Model!$B$20,0)-IF(91&lt;Model!$B$15,Model!$B$22,0))/(1-Model!$B$9)/(1+Model!$B$18)^91))</f>
        <v/>
      </c>
      <c r="DB41" s="7">
        <f>IF(A41="","",IF((A41+92)&gt;Model!$B$4,0,MAX(0,Model!$B$6-IF((A41+92)&gt;=Model!$B$11,Model!$B$20,0)-IF(92&lt;Model!$B$15,Model!$B$22,0))/(1-Model!$B$9)/(1+Model!$B$18)^92))</f>
        <v/>
      </c>
      <c r="DC41" s="7">
        <f>IF(A41="","",IF((A41+93)&gt;Model!$B$4,0,MAX(0,Model!$B$6-IF((A41+93)&gt;=Model!$B$11,Model!$B$20,0)-IF(93&lt;Model!$B$15,Model!$B$22,0))/(1-Model!$B$9)/(1+Model!$B$18)^93))</f>
        <v/>
      </c>
      <c r="DD41" s="7">
        <f>IF(A41="","",IF((A41+94)&gt;Model!$B$4,0,MAX(0,Model!$B$6-IF((A41+94)&gt;=Model!$B$11,Model!$B$20,0)-IF(94&lt;Model!$B$15,Model!$B$22,0))/(1-Model!$B$9)/(1+Model!$B$18)^94))</f>
        <v/>
      </c>
      <c r="DE41" s="7">
        <f>IF(A41="","",IF((A41+95)&gt;Model!$B$4,0,MAX(0,Model!$B$6-IF((A41+95)&gt;=Model!$B$11,Model!$B$20,0)-IF(95&lt;Model!$B$15,Model!$B$22,0))/(1-Model!$B$9)/(1+Model!$B$18)^95))</f>
        <v/>
      </c>
      <c r="DF41" s="7">
        <f>IF(A41="","",IF((A41+96)&gt;Model!$B$4,0,MAX(0,Model!$B$6-IF((A41+96)&gt;=Model!$B$11,Model!$B$20,0)-IF(96&lt;Model!$B$15,Model!$B$22,0))/(1-Model!$B$9)/(1+Model!$B$18)^96))</f>
        <v/>
      </c>
      <c r="DG41" s="7">
        <f>IF(A41="","",IF((A41+97)&gt;Model!$B$4,0,MAX(0,Model!$B$6-IF((A41+97)&gt;=Model!$B$11,Model!$B$20,0)-IF(97&lt;Model!$B$15,Model!$B$22,0))/(1-Model!$B$9)/(1+Model!$B$18)^97))</f>
        <v/>
      </c>
      <c r="DH41" s="7">
        <f>IF(A41="","",IF((A41+98)&gt;Model!$B$4,0,MAX(0,Model!$B$6-IF((A41+98)&gt;=Model!$B$11,Model!$B$20,0)-IF(98&lt;Model!$B$15,Model!$B$22,0))/(1-Model!$B$9)/(1+Model!$B$18)^98))</f>
        <v/>
      </c>
      <c r="DI41" s="7">
        <f>IF(A41="","",IF((A41+99)&gt;Model!$B$4,0,MAX(0,Model!$B$6-IF((A41+99)&gt;=Model!$B$11,Model!$B$20,0)-IF(99&lt;Model!$B$15,Model!$B$22,0))/(1-Model!$B$9)/(1+Model!$B$18)^99))</f>
        <v/>
      </c>
      <c r="DJ41" s="7">
        <f>IF(A41="","",IF((A41+100)&gt;Model!$B$4,0,MAX(0,Model!$B$6-IF((A41+100)&gt;=Model!$B$11,Model!$B$20,0)-IF(100&lt;Model!$B$15,Model!$B$22,0))/(1-Model!$B$9)/(1+Model!$B$18)^100))</f>
        <v/>
      </c>
      <c r="DK41" s="7">
        <f>IF(A41="","",IF((A41+101)&gt;Model!$B$4,0,MAX(0,Model!$B$6-IF((A41+101)&gt;=Model!$B$11,Model!$B$20,0)-IF(101&lt;Model!$B$15,Model!$B$22,0))/(1-Model!$B$9)/(1+Model!$B$18)^101))</f>
        <v/>
      </c>
      <c r="DL41" s="7">
        <f>IF(A41="","",IF((A41+102)&gt;Model!$B$4,0,MAX(0,Model!$B$6-IF((A41+102)&gt;=Model!$B$11,Model!$B$20,0)-IF(102&lt;Model!$B$15,Model!$B$22,0))/(1-Model!$B$9)/(1+Model!$B$18)^102))</f>
        <v/>
      </c>
      <c r="DM41" s="7">
        <f>IF(A41="","",IF((A41+103)&gt;Model!$B$4,0,MAX(0,Model!$B$6-IF((A41+103)&gt;=Model!$B$11,Model!$B$20,0)-IF(103&lt;Model!$B$15,Model!$B$22,0))/(1-Model!$B$9)/(1+Model!$B$18)^103))</f>
        <v/>
      </c>
      <c r="DN41" s="7">
        <f>IF(A41="","",IF((A41+104)&gt;Model!$B$4,0,MAX(0,Model!$B$6-IF((A41+104)&gt;=Model!$B$11,Model!$B$20,0)-IF(104&lt;Model!$B$15,Model!$B$22,0))/(1-Model!$B$9)/(1+Model!$B$18)^104))</f>
        <v/>
      </c>
      <c r="DO41" s="7">
        <f>IF(A41="","",IF((A41+105)&gt;Model!$B$4,0,MAX(0,Model!$B$6-IF((A41+105)&gt;=Model!$B$11,Model!$B$20,0)-IF(105&lt;Model!$B$15,Model!$B$22,0))/(1-Model!$B$9)/(1+Model!$B$18)^105))</f>
        <v/>
      </c>
      <c r="DP41" s="7">
        <f>IF(A41="","",IF((A41+106)&gt;Model!$B$4,0,MAX(0,Model!$B$6-IF((A41+106)&gt;=Model!$B$11,Model!$B$20,0)-IF(106&lt;Model!$B$15,Model!$B$22,0))/(1-Model!$B$9)/(1+Model!$B$18)^106))</f>
        <v/>
      </c>
      <c r="DQ41" s="7">
        <f>IF(A41="","",IF((A41+107)&gt;Model!$B$4,0,MAX(0,Model!$B$6-IF((A41+107)&gt;=Model!$B$11,Model!$B$20,0)-IF(107&lt;Model!$B$15,Model!$B$22,0))/(1-Model!$B$9)/(1+Model!$B$18)^107))</f>
        <v/>
      </c>
      <c r="DR41" s="7">
        <f>IF(A41="","",IF((A41+108)&gt;Model!$B$4,0,MAX(0,Model!$B$6-IF((A41+108)&gt;=Model!$B$11,Model!$B$20,0)-IF(108&lt;Model!$B$15,Model!$B$22,0))/(1-Model!$B$9)/(1+Model!$B$18)^108))</f>
        <v/>
      </c>
      <c r="DS41" s="7">
        <f>IF(A41="","",IF((A41+109)&gt;Model!$B$4,0,MAX(0,Model!$B$6-IF((A41+109)&gt;=Model!$B$11,Model!$B$20,0)-IF(109&lt;Model!$B$15,Model!$B$22,0))/(1-Model!$B$9)/(1+Model!$B$18)^109))</f>
        <v/>
      </c>
      <c r="DT41" s="7">
        <f>IF(A41="","",IF((A41+110)&gt;Model!$B$4,0,MAX(0,Model!$B$6-IF((A41+110)&gt;=Model!$B$11,Model!$B$20,0)-IF(110&lt;Model!$B$15,Model!$B$22,0))/(1-Model!$B$9)/(1+Model!$B$18)^110))</f>
        <v/>
      </c>
      <c r="DU41" s="7">
        <f>IF(A41="","",IF((A41+111)&gt;Model!$B$4,0,MAX(0,Model!$B$6-IF((A41+111)&gt;=Model!$B$11,Model!$B$20,0)-IF(111&lt;Model!$B$15,Model!$B$22,0))/(1-Model!$B$9)/(1+Model!$B$18)^111))</f>
        <v/>
      </c>
      <c r="DV41" s="7">
        <f>IF(A41="","",IF((A41+112)&gt;Model!$B$4,0,MAX(0,Model!$B$6-IF((A41+112)&gt;=Model!$B$11,Model!$B$20,0)-IF(112&lt;Model!$B$15,Model!$B$22,0))/(1-Model!$B$9)/(1+Model!$B$18)^112))</f>
        <v/>
      </c>
      <c r="DW41" s="7">
        <f>IF(A41="","",IF((A41+113)&gt;Model!$B$4,0,MAX(0,Model!$B$6-IF((A41+113)&gt;=Model!$B$11,Model!$B$20,0)-IF(113&lt;Model!$B$15,Model!$B$22,0))/(1-Model!$B$9)/(1+Model!$B$18)^113))</f>
        <v/>
      </c>
      <c r="DX41" s="7">
        <f>IF(A41="","",IF((A41+114)&gt;Model!$B$4,0,MAX(0,Model!$B$6-IF((A41+114)&gt;=Model!$B$11,Model!$B$20,0)-IF(114&lt;Model!$B$15,Model!$B$22,0))/(1-Model!$B$9)/(1+Model!$B$18)^114))</f>
        <v/>
      </c>
      <c r="DY41" s="7">
        <f>IF(A41="","",IF((A41+115)&gt;Model!$B$4,0,MAX(0,Model!$B$6-IF((A41+115)&gt;=Model!$B$11,Model!$B$20,0)-IF(115&lt;Model!$B$15,Model!$B$22,0))/(1-Model!$B$9)/(1+Model!$B$18)^115))</f>
        <v/>
      </c>
      <c r="DZ41" s="7">
        <f>IF(A41="","",IF((A41+116)&gt;Model!$B$4,0,MAX(0,Model!$B$6-IF((A41+116)&gt;=Model!$B$11,Model!$B$20,0)-IF(116&lt;Model!$B$15,Model!$B$22,0))/(1-Model!$B$9)/(1+Model!$B$18)^116))</f>
        <v/>
      </c>
      <c r="EA41" s="7">
        <f>IF(A41="","",IF((A41+117)&gt;Model!$B$4,0,MAX(0,Model!$B$6-IF((A41+117)&gt;=Model!$B$11,Model!$B$20,0)-IF(117&lt;Model!$B$15,Model!$B$22,0))/(1-Model!$B$9)/(1+Model!$B$18)^117))</f>
        <v/>
      </c>
      <c r="EB41" s="7">
        <f>IF(A41="","",IF((A41+118)&gt;Model!$B$4,0,MAX(0,Model!$B$6-IF((A41+118)&gt;=Model!$B$11,Model!$B$20,0)-IF(118&lt;Model!$B$15,Model!$B$22,0))/(1-Model!$B$9)/(1+Model!$B$18)^118))</f>
        <v/>
      </c>
      <c r="EC41" s="7">
        <f>IF(A41="","",IF((A41+119)&gt;Model!$B$4,0,MAX(0,Model!$B$6-IF((A41+119)&gt;=Model!$B$11,Model!$B$20,0)-IF(119&lt;Model!$B$15,Model!$B$22,0))/(1-Model!$B$9)/(1+Model!$B$18)^119))</f>
        <v/>
      </c>
      <c r="ED41" s="7">
        <f>IF(A41="","",IF((A41+120)&gt;Model!$B$4,0,MAX(0,Model!$B$6-IF((A41+120)&gt;=Model!$B$11,Model!$B$20,0)-IF(120&lt;Model!$B$15,Model!$B$22,0))/(1-Model!$B$9)/(1+Model!$B$18)^120))</f>
        <v/>
      </c>
    </row>
    <row r="42">
      <c r="A42">
        <f>IF(Model!$B$10+ROW()-2&lt;=Model!$B$4,Model!$B$10+ROW()-2,"")</f>
        <v/>
      </c>
      <c r="B42">
        <f>IF(A42="","",A42-Model!$B$10)</f>
        <v/>
      </c>
      <c r="C42" s="7">
        <f>IF(A42="","",Model!$B$5*(1+Model!$B$18)^B42)</f>
        <v/>
      </c>
      <c r="D42" s="7">
        <f>IF(A42="","",SUM(N42:ED42))</f>
        <v/>
      </c>
      <c r="E42" s="7">
        <f>IF(A42="","",IF(A42&gt;=Model!$B$11,Model!$B$20,0))</f>
        <v/>
      </c>
      <c r="F42" s="7">
        <f>IF(A42="","",IF(Model!$B$15&gt;0,Model!$B$22,0))</f>
        <v/>
      </c>
      <c r="G42" s="7">
        <f>IF(A42="","",E42+F42)</f>
        <v/>
      </c>
      <c r="H42" s="7">
        <f>IF(A42="","",MAX(0,Model!$B$6-G42))</f>
        <v/>
      </c>
      <c r="I42" s="7">
        <f>IF(A42="","",H42/(1-Model!$B$9))</f>
        <v/>
      </c>
      <c r="J42" s="7">
        <f>IF(A42="","",C42-D42)</f>
        <v/>
      </c>
      <c r="K42">
        <f>IF(A42="","",C42&gt;=D42)</f>
        <v/>
      </c>
      <c r="L42" s="7">
        <f>IF(A42="","",IF(A42&gt;=Model!$B$11,Model!$B$19*(1+Model!$B$13)^B42,0))</f>
        <v/>
      </c>
      <c r="M42" s="7">
        <f>IF(A42="","",IF(Model!$B$15&gt;0,Model!$B$21*(1+Model!$B$13)^B42,0))</f>
        <v/>
      </c>
      <c r="N42" s="7">
        <f>IF(A42="","",IF((A42+0)&gt;Model!$B$4,0,MAX(0,Model!$B$6-IF((A42+0)&gt;=Model!$B$11,Model!$B$20,0)-IF(0&lt;Model!$B$15,Model!$B$22,0))/(1-Model!$B$9)/(1+Model!$B$18)^0))</f>
        <v/>
      </c>
      <c r="O42" s="7">
        <f>IF(A42="","",IF((A42+1)&gt;Model!$B$4,0,MAX(0,Model!$B$6-IF((A42+1)&gt;=Model!$B$11,Model!$B$20,0)-IF(1&lt;Model!$B$15,Model!$B$22,0))/(1-Model!$B$9)/(1+Model!$B$18)^1))</f>
        <v/>
      </c>
      <c r="P42" s="7">
        <f>IF(A42="","",IF((A42+2)&gt;Model!$B$4,0,MAX(0,Model!$B$6-IF((A42+2)&gt;=Model!$B$11,Model!$B$20,0)-IF(2&lt;Model!$B$15,Model!$B$22,0))/(1-Model!$B$9)/(1+Model!$B$18)^2))</f>
        <v/>
      </c>
      <c r="Q42" s="7">
        <f>IF(A42="","",IF((A42+3)&gt;Model!$B$4,0,MAX(0,Model!$B$6-IF((A42+3)&gt;=Model!$B$11,Model!$B$20,0)-IF(3&lt;Model!$B$15,Model!$B$22,0))/(1-Model!$B$9)/(1+Model!$B$18)^3))</f>
        <v/>
      </c>
      <c r="R42" s="7">
        <f>IF(A42="","",IF((A42+4)&gt;Model!$B$4,0,MAX(0,Model!$B$6-IF((A42+4)&gt;=Model!$B$11,Model!$B$20,0)-IF(4&lt;Model!$B$15,Model!$B$22,0))/(1-Model!$B$9)/(1+Model!$B$18)^4))</f>
        <v/>
      </c>
      <c r="S42" s="7">
        <f>IF(A42="","",IF((A42+5)&gt;Model!$B$4,0,MAX(0,Model!$B$6-IF((A42+5)&gt;=Model!$B$11,Model!$B$20,0)-IF(5&lt;Model!$B$15,Model!$B$22,0))/(1-Model!$B$9)/(1+Model!$B$18)^5))</f>
        <v/>
      </c>
      <c r="T42" s="7">
        <f>IF(A42="","",IF((A42+6)&gt;Model!$B$4,0,MAX(0,Model!$B$6-IF((A42+6)&gt;=Model!$B$11,Model!$B$20,0)-IF(6&lt;Model!$B$15,Model!$B$22,0))/(1-Model!$B$9)/(1+Model!$B$18)^6))</f>
        <v/>
      </c>
      <c r="U42" s="7">
        <f>IF(A42="","",IF((A42+7)&gt;Model!$B$4,0,MAX(0,Model!$B$6-IF((A42+7)&gt;=Model!$B$11,Model!$B$20,0)-IF(7&lt;Model!$B$15,Model!$B$22,0))/(1-Model!$B$9)/(1+Model!$B$18)^7))</f>
        <v/>
      </c>
      <c r="V42" s="7">
        <f>IF(A42="","",IF((A42+8)&gt;Model!$B$4,0,MAX(0,Model!$B$6-IF((A42+8)&gt;=Model!$B$11,Model!$B$20,0)-IF(8&lt;Model!$B$15,Model!$B$22,0))/(1-Model!$B$9)/(1+Model!$B$18)^8))</f>
        <v/>
      </c>
      <c r="W42" s="7">
        <f>IF(A42="","",IF((A42+9)&gt;Model!$B$4,0,MAX(0,Model!$B$6-IF((A42+9)&gt;=Model!$B$11,Model!$B$20,0)-IF(9&lt;Model!$B$15,Model!$B$22,0))/(1-Model!$B$9)/(1+Model!$B$18)^9))</f>
        <v/>
      </c>
      <c r="X42" s="7">
        <f>IF(A42="","",IF((A42+10)&gt;Model!$B$4,0,MAX(0,Model!$B$6-IF((A42+10)&gt;=Model!$B$11,Model!$B$20,0)-IF(10&lt;Model!$B$15,Model!$B$22,0))/(1-Model!$B$9)/(1+Model!$B$18)^10))</f>
        <v/>
      </c>
      <c r="Y42" s="7">
        <f>IF(A42="","",IF((A42+11)&gt;Model!$B$4,0,MAX(0,Model!$B$6-IF((A42+11)&gt;=Model!$B$11,Model!$B$20,0)-IF(11&lt;Model!$B$15,Model!$B$22,0))/(1-Model!$B$9)/(1+Model!$B$18)^11))</f>
        <v/>
      </c>
      <c r="Z42" s="7">
        <f>IF(A42="","",IF((A42+12)&gt;Model!$B$4,0,MAX(0,Model!$B$6-IF((A42+12)&gt;=Model!$B$11,Model!$B$20,0)-IF(12&lt;Model!$B$15,Model!$B$22,0))/(1-Model!$B$9)/(1+Model!$B$18)^12))</f>
        <v/>
      </c>
      <c r="AA42" s="7">
        <f>IF(A42="","",IF((A42+13)&gt;Model!$B$4,0,MAX(0,Model!$B$6-IF((A42+13)&gt;=Model!$B$11,Model!$B$20,0)-IF(13&lt;Model!$B$15,Model!$B$22,0))/(1-Model!$B$9)/(1+Model!$B$18)^13))</f>
        <v/>
      </c>
      <c r="AB42" s="7">
        <f>IF(A42="","",IF((A42+14)&gt;Model!$B$4,0,MAX(0,Model!$B$6-IF((A42+14)&gt;=Model!$B$11,Model!$B$20,0)-IF(14&lt;Model!$B$15,Model!$B$22,0))/(1-Model!$B$9)/(1+Model!$B$18)^14))</f>
        <v/>
      </c>
      <c r="AC42" s="7">
        <f>IF(A42="","",IF((A42+15)&gt;Model!$B$4,0,MAX(0,Model!$B$6-IF((A42+15)&gt;=Model!$B$11,Model!$B$20,0)-IF(15&lt;Model!$B$15,Model!$B$22,0))/(1-Model!$B$9)/(1+Model!$B$18)^15))</f>
        <v/>
      </c>
      <c r="AD42" s="7">
        <f>IF(A42="","",IF((A42+16)&gt;Model!$B$4,0,MAX(0,Model!$B$6-IF((A42+16)&gt;=Model!$B$11,Model!$B$20,0)-IF(16&lt;Model!$B$15,Model!$B$22,0))/(1-Model!$B$9)/(1+Model!$B$18)^16))</f>
        <v/>
      </c>
      <c r="AE42" s="7">
        <f>IF(A42="","",IF((A42+17)&gt;Model!$B$4,0,MAX(0,Model!$B$6-IF((A42+17)&gt;=Model!$B$11,Model!$B$20,0)-IF(17&lt;Model!$B$15,Model!$B$22,0))/(1-Model!$B$9)/(1+Model!$B$18)^17))</f>
        <v/>
      </c>
      <c r="AF42" s="7">
        <f>IF(A42="","",IF((A42+18)&gt;Model!$B$4,0,MAX(0,Model!$B$6-IF((A42+18)&gt;=Model!$B$11,Model!$B$20,0)-IF(18&lt;Model!$B$15,Model!$B$22,0))/(1-Model!$B$9)/(1+Model!$B$18)^18))</f>
        <v/>
      </c>
      <c r="AG42" s="7">
        <f>IF(A42="","",IF((A42+19)&gt;Model!$B$4,0,MAX(0,Model!$B$6-IF((A42+19)&gt;=Model!$B$11,Model!$B$20,0)-IF(19&lt;Model!$B$15,Model!$B$22,0))/(1-Model!$B$9)/(1+Model!$B$18)^19))</f>
        <v/>
      </c>
      <c r="AH42" s="7">
        <f>IF(A42="","",IF((A42+20)&gt;Model!$B$4,0,MAX(0,Model!$B$6-IF((A42+20)&gt;=Model!$B$11,Model!$B$20,0)-IF(20&lt;Model!$B$15,Model!$B$22,0))/(1-Model!$B$9)/(1+Model!$B$18)^20))</f>
        <v/>
      </c>
      <c r="AI42" s="7">
        <f>IF(A42="","",IF((A42+21)&gt;Model!$B$4,0,MAX(0,Model!$B$6-IF((A42+21)&gt;=Model!$B$11,Model!$B$20,0)-IF(21&lt;Model!$B$15,Model!$B$22,0))/(1-Model!$B$9)/(1+Model!$B$18)^21))</f>
        <v/>
      </c>
      <c r="AJ42" s="7">
        <f>IF(A42="","",IF((A42+22)&gt;Model!$B$4,0,MAX(0,Model!$B$6-IF((A42+22)&gt;=Model!$B$11,Model!$B$20,0)-IF(22&lt;Model!$B$15,Model!$B$22,0))/(1-Model!$B$9)/(1+Model!$B$18)^22))</f>
        <v/>
      </c>
      <c r="AK42" s="7">
        <f>IF(A42="","",IF((A42+23)&gt;Model!$B$4,0,MAX(0,Model!$B$6-IF((A42+23)&gt;=Model!$B$11,Model!$B$20,0)-IF(23&lt;Model!$B$15,Model!$B$22,0))/(1-Model!$B$9)/(1+Model!$B$18)^23))</f>
        <v/>
      </c>
      <c r="AL42" s="7">
        <f>IF(A42="","",IF((A42+24)&gt;Model!$B$4,0,MAX(0,Model!$B$6-IF((A42+24)&gt;=Model!$B$11,Model!$B$20,0)-IF(24&lt;Model!$B$15,Model!$B$22,0))/(1-Model!$B$9)/(1+Model!$B$18)^24))</f>
        <v/>
      </c>
      <c r="AM42" s="7">
        <f>IF(A42="","",IF((A42+25)&gt;Model!$B$4,0,MAX(0,Model!$B$6-IF((A42+25)&gt;=Model!$B$11,Model!$B$20,0)-IF(25&lt;Model!$B$15,Model!$B$22,0))/(1-Model!$B$9)/(1+Model!$B$18)^25))</f>
        <v/>
      </c>
      <c r="AN42" s="7">
        <f>IF(A42="","",IF((A42+26)&gt;Model!$B$4,0,MAX(0,Model!$B$6-IF((A42+26)&gt;=Model!$B$11,Model!$B$20,0)-IF(26&lt;Model!$B$15,Model!$B$22,0))/(1-Model!$B$9)/(1+Model!$B$18)^26))</f>
        <v/>
      </c>
      <c r="AO42" s="7">
        <f>IF(A42="","",IF((A42+27)&gt;Model!$B$4,0,MAX(0,Model!$B$6-IF((A42+27)&gt;=Model!$B$11,Model!$B$20,0)-IF(27&lt;Model!$B$15,Model!$B$22,0))/(1-Model!$B$9)/(1+Model!$B$18)^27))</f>
        <v/>
      </c>
      <c r="AP42" s="7">
        <f>IF(A42="","",IF((A42+28)&gt;Model!$B$4,0,MAX(0,Model!$B$6-IF((A42+28)&gt;=Model!$B$11,Model!$B$20,0)-IF(28&lt;Model!$B$15,Model!$B$22,0))/(1-Model!$B$9)/(1+Model!$B$18)^28))</f>
        <v/>
      </c>
      <c r="AQ42" s="7">
        <f>IF(A42="","",IF((A42+29)&gt;Model!$B$4,0,MAX(0,Model!$B$6-IF((A42+29)&gt;=Model!$B$11,Model!$B$20,0)-IF(29&lt;Model!$B$15,Model!$B$22,0))/(1-Model!$B$9)/(1+Model!$B$18)^29))</f>
        <v/>
      </c>
      <c r="AR42" s="7">
        <f>IF(A42="","",IF((A42+30)&gt;Model!$B$4,0,MAX(0,Model!$B$6-IF((A42+30)&gt;=Model!$B$11,Model!$B$20,0)-IF(30&lt;Model!$B$15,Model!$B$22,0))/(1-Model!$B$9)/(1+Model!$B$18)^30))</f>
        <v/>
      </c>
      <c r="AS42" s="7">
        <f>IF(A42="","",IF((A42+31)&gt;Model!$B$4,0,MAX(0,Model!$B$6-IF((A42+31)&gt;=Model!$B$11,Model!$B$20,0)-IF(31&lt;Model!$B$15,Model!$B$22,0))/(1-Model!$B$9)/(1+Model!$B$18)^31))</f>
        <v/>
      </c>
      <c r="AT42" s="7">
        <f>IF(A42="","",IF((A42+32)&gt;Model!$B$4,0,MAX(0,Model!$B$6-IF((A42+32)&gt;=Model!$B$11,Model!$B$20,0)-IF(32&lt;Model!$B$15,Model!$B$22,0))/(1-Model!$B$9)/(1+Model!$B$18)^32))</f>
        <v/>
      </c>
      <c r="AU42" s="7">
        <f>IF(A42="","",IF((A42+33)&gt;Model!$B$4,0,MAX(0,Model!$B$6-IF((A42+33)&gt;=Model!$B$11,Model!$B$20,0)-IF(33&lt;Model!$B$15,Model!$B$22,0))/(1-Model!$B$9)/(1+Model!$B$18)^33))</f>
        <v/>
      </c>
      <c r="AV42" s="7">
        <f>IF(A42="","",IF((A42+34)&gt;Model!$B$4,0,MAX(0,Model!$B$6-IF((A42+34)&gt;=Model!$B$11,Model!$B$20,0)-IF(34&lt;Model!$B$15,Model!$B$22,0))/(1-Model!$B$9)/(1+Model!$B$18)^34))</f>
        <v/>
      </c>
      <c r="AW42" s="7">
        <f>IF(A42="","",IF((A42+35)&gt;Model!$B$4,0,MAX(0,Model!$B$6-IF((A42+35)&gt;=Model!$B$11,Model!$B$20,0)-IF(35&lt;Model!$B$15,Model!$B$22,0))/(1-Model!$B$9)/(1+Model!$B$18)^35))</f>
        <v/>
      </c>
      <c r="AX42" s="7">
        <f>IF(A42="","",IF((A42+36)&gt;Model!$B$4,0,MAX(0,Model!$B$6-IF((A42+36)&gt;=Model!$B$11,Model!$B$20,0)-IF(36&lt;Model!$B$15,Model!$B$22,0))/(1-Model!$B$9)/(1+Model!$B$18)^36))</f>
        <v/>
      </c>
      <c r="AY42" s="7">
        <f>IF(A42="","",IF((A42+37)&gt;Model!$B$4,0,MAX(0,Model!$B$6-IF((A42+37)&gt;=Model!$B$11,Model!$B$20,0)-IF(37&lt;Model!$B$15,Model!$B$22,0))/(1-Model!$B$9)/(1+Model!$B$18)^37))</f>
        <v/>
      </c>
      <c r="AZ42" s="7">
        <f>IF(A42="","",IF((A42+38)&gt;Model!$B$4,0,MAX(0,Model!$B$6-IF((A42+38)&gt;=Model!$B$11,Model!$B$20,0)-IF(38&lt;Model!$B$15,Model!$B$22,0))/(1-Model!$B$9)/(1+Model!$B$18)^38))</f>
        <v/>
      </c>
      <c r="BA42" s="7">
        <f>IF(A42="","",IF((A42+39)&gt;Model!$B$4,0,MAX(0,Model!$B$6-IF((A42+39)&gt;=Model!$B$11,Model!$B$20,0)-IF(39&lt;Model!$B$15,Model!$B$22,0))/(1-Model!$B$9)/(1+Model!$B$18)^39))</f>
        <v/>
      </c>
      <c r="BB42" s="7">
        <f>IF(A42="","",IF((A42+40)&gt;Model!$B$4,0,MAX(0,Model!$B$6-IF((A42+40)&gt;=Model!$B$11,Model!$B$20,0)-IF(40&lt;Model!$B$15,Model!$B$22,0))/(1-Model!$B$9)/(1+Model!$B$18)^40))</f>
        <v/>
      </c>
      <c r="BC42" s="7">
        <f>IF(A42="","",IF((A42+41)&gt;Model!$B$4,0,MAX(0,Model!$B$6-IF((A42+41)&gt;=Model!$B$11,Model!$B$20,0)-IF(41&lt;Model!$B$15,Model!$B$22,0))/(1-Model!$B$9)/(1+Model!$B$18)^41))</f>
        <v/>
      </c>
      <c r="BD42" s="7">
        <f>IF(A42="","",IF((A42+42)&gt;Model!$B$4,0,MAX(0,Model!$B$6-IF((A42+42)&gt;=Model!$B$11,Model!$B$20,0)-IF(42&lt;Model!$B$15,Model!$B$22,0))/(1-Model!$B$9)/(1+Model!$B$18)^42))</f>
        <v/>
      </c>
      <c r="BE42" s="7">
        <f>IF(A42="","",IF((A42+43)&gt;Model!$B$4,0,MAX(0,Model!$B$6-IF((A42+43)&gt;=Model!$B$11,Model!$B$20,0)-IF(43&lt;Model!$B$15,Model!$B$22,0))/(1-Model!$B$9)/(1+Model!$B$18)^43))</f>
        <v/>
      </c>
      <c r="BF42" s="7">
        <f>IF(A42="","",IF((A42+44)&gt;Model!$B$4,0,MAX(0,Model!$B$6-IF((A42+44)&gt;=Model!$B$11,Model!$B$20,0)-IF(44&lt;Model!$B$15,Model!$B$22,0))/(1-Model!$B$9)/(1+Model!$B$18)^44))</f>
        <v/>
      </c>
      <c r="BG42" s="7">
        <f>IF(A42="","",IF((A42+45)&gt;Model!$B$4,0,MAX(0,Model!$B$6-IF((A42+45)&gt;=Model!$B$11,Model!$B$20,0)-IF(45&lt;Model!$B$15,Model!$B$22,0))/(1-Model!$B$9)/(1+Model!$B$18)^45))</f>
        <v/>
      </c>
      <c r="BH42" s="7">
        <f>IF(A42="","",IF((A42+46)&gt;Model!$B$4,0,MAX(0,Model!$B$6-IF((A42+46)&gt;=Model!$B$11,Model!$B$20,0)-IF(46&lt;Model!$B$15,Model!$B$22,0))/(1-Model!$B$9)/(1+Model!$B$18)^46))</f>
        <v/>
      </c>
      <c r="BI42" s="7">
        <f>IF(A42="","",IF((A42+47)&gt;Model!$B$4,0,MAX(0,Model!$B$6-IF((A42+47)&gt;=Model!$B$11,Model!$B$20,0)-IF(47&lt;Model!$B$15,Model!$B$22,0))/(1-Model!$B$9)/(1+Model!$B$18)^47))</f>
        <v/>
      </c>
      <c r="BJ42" s="7">
        <f>IF(A42="","",IF((A42+48)&gt;Model!$B$4,0,MAX(0,Model!$B$6-IF((A42+48)&gt;=Model!$B$11,Model!$B$20,0)-IF(48&lt;Model!$B$15,Model!$B$22,0))/(1-Model!$B$9)/(1+Model!$B$18)^48))</f>
        <v/>
      </c>
      <c r="BK42" s="7">
        <f>IF(A42="","",IF((A42+49)&gt;Model!$B$4,0,MAX(0,Model!$B$6-IF((A42+49)&gt;=Model!$B$11,Model!$B$20,0)-IF(49&lt;Model!$B$15,Model!$B$22,0))/(1-Model!$B$9)/(1+Model!$B$18)^49))</f>
        <v/>
      </c>
      <c r="BL42" s="7">
        <f>IF(A42="","",IF((A42+50)&gt;Model!$B$4,0,MAX(0,Model!$B$6-IF((A42+50)&gt;=Model!$B$11,Model!$B$20,0)-IF(50&lt;Model!$B$15,Model!$B$22,0))/(1-Model!$B$9)/(1+Model!$B$18)^50))</f>
        <v/>
      </c>
      <c r="BM42" s="7">
        <f>IF(A42="","",IF((A42+51)&gt;Model!$B$4,0,MAX(0,Model!$B$6-IF((A42+51)&gt;=Model!$B$11,Model!$B$20,0)-IF(51&lt;Model!$B$15,Model!$B$22,0))/(1-Model!$B$9)/(1+Model!$B$18)^51))</f>
        <v/>
      </c>
      <c r="BN42" s="7">
        <f>IF(A42="","",IF((A42+52)&gt;Model!$B$4,0,MAX(0,Model!$B$6-IF((A42+52)&gt;=Model!$B$11,Model!$B$20,0)-IF(52&lt;Model!$B$15,Model!$B$22,0))/(1-Model!$B$9)/(1+Model!$B$18)^52))</f>
        <v/>
      </c>
      <c r="BO42" s="7">
        <f>IF(A42="","",IF((A42+53)&gt;Model!$B$4,0,MAX(0,Model!$B$6-IF((A42+53)&gt;=Model!$B$11,Model!$B$20,0)-IF(53&lt;Model!$B$15,Model!$B$22,0))/(1-Model!$B$9)/(1+Model!$B$18)^53))</f>
        <v/>
      </c>
      <c r="BP42" s="7">
        <f>IF(A42="","",IF((A42+54)&gt;Model!$B$4,0,MAX(0,Model!$B$6-IF((A42+54)&gt;=Model!$B$11,Model!$B$20,0)-IF(54&lt;Model!$B$15,Model!$B$22,0))/(1-Model!$B$9)/(1+Model!$B$18)^54))</f>
        <v/>
      </c>
      <c r="BQ42" s="7">
        <f>IF(A42="","",IF((A42+55)&gt;Model!$B$4,0,MAX(0,Model!$B$6-IF((A42+55)&gt;=Model!$B$11,Model!$B$20,0)-IF(55&lt;Model!$B$15,Model!$B$22,0))/(1-Model!$B$9)/(1+Model!$B$18)^55))</f>
        <v/>
      </c>
      <c r="BR42" s="7">
        <f>IF(A42="","",IF((A42+56)&gt;Model!$B$4,0,MAX(0,Model!$B$6-IF((A42+56)&gt;=Model!$B$11,Model!$B$20,0)-IF(56&lt;Model!$B$15,Model!$B$22,0))/(1-Model!$B$9)/(1+Model!$B$18)^56))</f>
        <v/>
      </c>
      <c r="BS42" s="7">
        <f>IF(A42="","",IF((A42+57)&gt;Model!$B$4,0,MAX(0,Model!$B$6-IF((A42+57)&gt;=Model!$B$11,Model!$B$20,0)-IF(57&lt;Model!$B$15,Model!$B$22,0))/(1-Model!$B$9)/(1+Model!$B$18)^57))</f>
        <v/>
      </c>
      <c r="BT42" s="7">
        <f>IF(A42="","",IF((A42+58)&gt;Model!$B$4,0,MAX(0,Model!$B$6-IF((A42+58)&gt;=Model!$B$11,Model!$B$20,0)-IF(58&lt;Model!$B$15,Model!$B$22,0))/(1-Model!$B$9)/(1+Model!$B$18)^58))</f>
        <v/>
      </c>
      <c r="BU42" s="7">
        <f>IF(A42="","",IF((A42+59)&gt;Model!$B$4,0,MAX(0,Model!$B$6-IF((A42+59)&gt;=Model!$B$11,Model!$B$20,0)-IF(59&lt;Model!$B$15,Model!$B$22,0))/(1-Model!$B$9)/(1+Model!$B$18)^59))</f>
        <v/>
      </c>
      <c r="BV42" s="7">
        <f>IF(A42="","",IF((A42+60)&gt;Model!$B$4,0,MAX(0,Model!$B$6-IF((A42+60)&gt;=Model!$B$11,Model!$B$20,0)-IF(60&lt;Model!$B$15,Model!$B$22,0))/(1-Model!$B$9)/(1+Model!$B$18)^60))</f>
        <v/>
      </c>
      <c r="BW42" s="7">
        <f>IF(A42="","",IF((A42+61)&gt;Model!$B$4,0,MAX(0,Model!$B$6-IF((A42+61)&gt;=Model!$B$11,Model!$B$20,0)-IF(61&lt;Model!$B$15,Model!$B$22,0))/(1-Model!$B$9)/(1+Model!$B$18)^61))</f>
        <v/>
      </c>
      <c r="BX42" s="7">
        <f>IF(A42="","",IF((A42+62)&gt;Model!$B$4,0,MAX(0,Model!$B$6-IF((A42+62)&gt;=Model!$B$11,Model!$B$20,0)-IF(62&lt;Model!$B$15,Model!$B$22,0))/(1-Model!$B$9)/(1+Model!$B$18)^62))</f>
        <v/>
      </c>
      <c r="BY42" s="7">
        <f>IF(A42="","",IF((A42+63)&gt;Model!$B$4,0,MAX(0,Model!$B$6-IF((A42+63)&gt;=Model!$B$11,Model!$B$20,0)-IF(63&lt;Model!$B$15,Model!$B$22,0))/(1-Model!$B$9)/(1+Model!$B$18)^63))</f>
        <v/>
      </c>
      <c r="BZ42" s="7">
        <f>IF(A42="","",IF((A42+64)&gt;Model!$B$4,0,MAX(0,Model!$B$6-IF((A42+64)&gt;=Model!$B$11,Model!$B$20,0)-IF(64&lt;Model!$B$15,Model!$B$22,0))/(1-Model!$B$9)/(1+Model!$B$18)^64))</f>
        <v/>
      </c>
      <c r="CA42" s="7">
        <f>IF(A42="","",IF((A42+65)&gt;Model!$B$4,0,MAX(0,Model!$B$6-IF((A42+65)&gt;=Model!$B$11,Model!$B$20,0)-IF(65&lt;Model!$B$15,Model!$B$22,0))/(1-Model!$B$9)/(1+Model!$B$18)^65))</f>
        <v/>
      </c>
      <c r="CB42" s="7">
        <f>IF(A42="","",IF((A42+66)&gt;Model!$B$4,0,MAX(0,Model!$B$6-IF((A42+66)&gt;=Model!$B$11,Model!$B$20,0)-IF(66&lt;Model!$B$15,Model!$B$22,0))/(1-Model!$B$9)/(1+Model!$B$18)^66))</f>
        <v/>
      </c>
      <c r="CC42" s="7">
        <f>IF(A42="","",IF((A42+67)&gt;Model!$B$4,0,MAX(0,Model!$B$6-IF((A42+67)&gt;=Model!$B$11,Model!$B$20,0)-IF(67&lt;Model!$B$15,Model!$B$22,0))/(1-Model!$B$9)/(1+Model!$B$18)^67))</f>
        <v/>
      </c>
      <c r="CD42" s="7">
        <f>IF(A42="","",IF((A42+68)&gt;Model!$B$4,0,MAX(0,Model!$B$6-IF((A42+68)&gt;=Model!$B$11,Model!$B$20,0)-IF(68&lt;Model!$B$15,Model!$B$22,0))/(1-Model!$B$9)/(1+Model!$B$18)^68))</f>
        <v/>
      </c>
      <c r="CE42" s="7">
        <f>IF(A42="","",IF((A42+69)&gt;Model!$B$4,0,MAX(0,Model!$B$6-IF((A42+69)&gt;=Model!$B$11,Model!$B$20,0)-IF(69&lt;Model!$B$15,Model!$B$22,0))/(1-Model!$B$9)/(1+Model!$B$18)^69))</f>
        <v/>
      </c>
      <c r="CF42" s="7">
        <f>IF(A42="","",IF((A42+70)&gt;Model!$B$4,0,MAX(0,Model!$B$6-IF((A42+70)&gt;=Model!$B$11,Model!$B$20,0)-IF(70&lt;Model!$B$15,Model!$B$22,0))/(1-Model!$B$9)/(1+Model!$B$18)^70))</f>
        <v/>
      </c>
      <c r="CG42" s="7">
        <f>IF(A42="","",IF((A42+71)&gt;Model!$B$4,0,MAX(0,Model!$B$6-IF((A42+71)&gt;=Model!$B$11,Model!$B$20,0)-IF(71&lt;Model!$B$15,Model!$B$22,0))/(1-Model!$B$9)/(1+Model!$B$18)^71))</f>
        <v/>
      </c>
      <c r="CH42" s="7">
        <f>IF(A42="","",IF((A42+72)&gt;Model!$B$4,0,MAX(0,Model!$B$6-IF((A42+72)&gt;=Model!$B$11,Model!$B$20,0)-IF(72&lt;Model!$B$15,Model!$B$22,0))/(1-Model!$B$9)/(1+Model!$B$18)^72))</f>
        <v/>
      </c>
      <c r="CI42" s="7">
        <f>IF(A42="","",IF((A42+73)&gt;Model!$B$4,0,MAX(0,Model!$B$6-IF((A42+73)&gt;=Model!$B$11,Model!$B$20,0)-IF(73&lt;Model!$B$15,Model!$B$22,0))/(1-Model!$B$9)/(1+Model!$B$18)^73))</f>
        <v/>
      </c>
      <c r="CJ42" s="7">
        <f>IF(A42="","",IF((A42+74)&gt;Model!$B$4,0,MAX(0,Model!$B$6-IF((A42+74)&gt;=Model!$B$11,Model!$B$20,0)-IF(74&lt;Model!$B$15,Model!$B$22,0))/(1-Model!$B$9)/(1+Model!$B$18)^74))</f>
        <v/>
      </c>
      <c r="CK42" s="7">
        <f>IF(A42="","",IF((A42+75)&gt;Model!$B$4,0,MAX(0,Model!$B$6-IF((A42+75)&gt;=Model!$B$11,Model!$B$20,0)-IF(75&lt;Model!$B$15,Model!$B$22,0))/(1-Model!$B$9)/(1+Model!$B$18)^75))</f>
        <v/>
      </c>
      <c r="CL42" s="7">
        <f>IF(A42="","",IF((A42+76)&gt;Model!$B$4,0,MAX(0,Model!$B$6-IF((A42+76)&gt;=Model!$B$11,Model!$B$20,0)-IF(76&lt;Model!$B$15,Model!$B$22,0))/(1-Model!$B$9)/(1+Model!$B$18)^76))</f>
        <v/>
      </c>
      <c r="CM42" s="7">
        <f>IF(A42="","",IF((A42+77)&gt;Model!$B$4,0,MAX(0,Model!$B$6-IF((A42+77)&gt;=Model!$B$11,Model!$B$20,0)-IF(77&lt;Model!$B$15,Model!$B$22,0))/(1-Model!$B$9)/(1+Model!$B$18)^77))</f>
        <v/>
      </c>
      <c r="CN42" s="7">
        <f>IF(A42="","",IF((A42+78)&gt;Model!$B$4,0,MAX(0,Model!$B$6-IF((A42+78)&gt;=Model!$B$11,Model!$B$20,0)-IF(78&lt;Model!$B$15,Model!$B$22,0))/(1-Model!$B$9)/(1+Model!$B$18)^78))</f>
        <v/>
      </c>
      <c r="CO42" s="7">
        <f>IF(A42="","",IF((A42+79)&gt;Model!$B$4,0,MAX(0,Model!$B$6-IF((A42+79)&gt;=Model!$B$11,Model!$B$20,0)-IF(79&lt;Model!$B$15,Model!$B$22,0))/(1-Model!$B$9)/(1+Model!$B$18)^79))</f>
        <v/>
      </c>
      <c r="CP42" s="7">
        <f>IF(A42="","",IF((A42+80)&gt;Model!$B$4,0,MAX(0,Model!$B$6-IF((A42+80)&gt;=Model!$B$11,Model!$B$20,0)-IF(80&lt;Model!$B$15,Model!$B$22,0))/(1-Model!$B$9)/(1+Model!$B$18)^80))</f>
        <v/>
      </c>
      <c r="CQ42" s="7">
        <f>IF(A42="","",IF((A42+81)&gt;Model!$B$4,0,MAX(0,Model!$B$6-IF((A42+81)&gt;=Model!$B$11,Model!$B$20,0)-IF(81&lt;Model!$B$15,Model!$B$22,0))/(1-Model!$B$9)/(1+Model!$B$18)^81))</f>
        <v/>
      </c>
      <c r="CR42" s="7">
        <f>IF(A42="","",IF((A42+82)&gt;Model!$B$4,0,MAX(0,Model!$B$6-IF((A42+82)&gt;=Model!$B$11,Model!$B$20,0)-IF(82&lt;Model!$B$15,Model!$B$22,0))/(1-Model!$B$9)/(1+Model!$B$18)^82))</f>
        <v/>
      </c>
      <c r="CS42" s="7">
        <f>IF(A42="","",IF((A42+83)&gt;Model!$B$4,0,MAX(0,Model!$B$6-IF((A42+83)&gt;=Model!$B$11,Model!$B$20,0)-IF(83&lt;Model!$B$15,Model!$B$22,0))/(1-Model!$B$9)/(1+Model!$B$18)^83))</f>
        <v/>
      </c>
      <c r="CT42" s="7">
        <f>IF(A42="","",IF((A42+84)&gt;Model!$B$4,0,MAX(0,Model!$B$6-IF((A42+84)&gt;=Model!$B$11,Model!$B$20,0)-IF(84&lt;Model!$B$15,Model!$B$22,0))/(1-Model!$B$9)/(1+Model!$B$18)^84))</f>
        <v/>
      </c>
      <c r="CU42" s="7">
        <f>IF(A42="","",IF((A42+85)&gt;Model!$B$4,0,MAX(0,Model!$B$6-IF((A42+85)&gt;=Model!$B$11,Model!$B$20,0)-IF(85&lt;Model!$B$15,Model!$B$22,0))/(1-Model!$B$9)/(1+Model!$B$18)^85))</f>
        <v/>
      </c>
      <c r="CV42" s="7">
        <f>IF(A42="","",IF((A42+86)&gt;Model!$B$4,0,MAX(0,Model!$B$6-IF((A42+86)&gt;=Model!$B$11,Model!$B$20,0)-IF(86&lt;Model!$B$15,Model!$B$22,0))/(1-Model!$B$9)/(1+Model!$B$18)^86))</f>
        <v/>
      </c>
      <c r="CW42" s="7">
        <f>IF(A42="","",IF((A42+87)&gt;Model!$B$4,0,MAX(0,Model!$B$6-IF((A42+87)&gt;=Model!$B$11,Model!$B$20,0)-IF(87&lt;Model!$B$15,Model!$B$22,0))/(1-Model!$B$9)/(1+Model!$B$18)^87))</f>
        <v/>
      </c>
      <c r="CX42" s="7">
        <f>IF(A42="","",IF((A42+88)&gt;Model!$B$4,0,MAX(0,Model!$B$6-IF((A42+88)&gt;=Model!$B$11,Model!$B$20,0)-IF(88&lt;Model!$B$15,Model!$B$22,0))/(1-Model!$B$9)/(1+Model!$B$18)^88))</f>
        <v/>
      </c>
      <c r="CY42" s="7">
        <f>IF(A42="","",IF((A42+89)&gt;Model!$B$4,0,MAX(0,Model!$B$6-IF((A42+89)&gt;=Model!$B$11,Model!$B$20,0)-IF(89&lt;Model!$B$15,Model!$B$22,0))/(1-Model!$B$9)/(1+Model!$B$18)^89))</f>
        <v/>
      </c>
      <c r="CZ42" s="7">
        <f>IF(A42="","",IF((A42+90)&gt;Model!$B$4,0,MAX(0,Model!$B$6-IF((A42+90)&gt;=Model!$B$11,Model!$B$20,0)-IF(90&lt;Model!$B$15,Model!$B$22,0))/(1-Model!$B$9)/(1+Model!$B$18)^90))</f>
        <v/>
      </c>
      <c r="DA42" s="7">
        <f>IF(A42="","",IF((A42+91)&gt;Model!$B$4,0,MAX(0,Model!$B$6-IF((A42+91)&gt;=Model!$B$11,Model!$B$20,0)-IF(91&lt;Model!$B$15,Model!$B$22,0))/(1-Model!$B$9)/(1+Model!$B$18)^91))</f>
        <v/>
      </c>
      <c r="DB42" s="7">
        <f>IF(A42="","",IF((A42+92)&gt;Model!$B$4,0,MAX(0,Model!$B$6-IF((A42+92)&gt;=Model!$B$11,Model!$B$20,0)-IF(92&lt;Model!$B$15,Model!$B$22,0))/(1-Model!$B$9)/(1+Model!$B$18)^92))</f>
        <v/>
      </c>
      <c r="DC42" s="7">
        <f>IF(A42="","",IF((A42+93)&gt;Model!$B$4,0,MAX(0,Model!$B$6-IF((A42+93)&gt;=Model!$B$11,Model!$B$20,0)-IF(93&lt;Model!$B$15,Model!$B$22,0))/(1-Model!$B$9)/(1+Model!$B$18)^93))</f>
        <v/>
      </c>
      <c r="DD42" s="7">
        <f>IF(A42="","",IF((A42+94)&gt;Model!$B$4,0,MAX(0,Model!$B$6-IF((A42+94)&gt;=Model!$B$11,Model!$B$20,0)-IF(94&lt;Model!$B$15,Model!$B$22,0))/(1-Model!$B$9)/(1+Model!$B$18)^94))</f>
        <v/>
      </c>
      <c r="DE42" s="7">
        <f>IF(A42="","",IF((A42+95)&gt;Model!$B$4,0,MAX(0,Model!$B$6-IF((A42+95)&gt;=Model!$B$11,Model!$B$20,0)-IF(95&lt;Model!$B$15,Model!$B$22,0))/(1-Model!$B$9)/(1+Model!$B$18)^95))</f>
        <v/>
      </c>
      <c r="DF42" s="7">
        <f>IF(A42="","",IF((A42+96)&gt;Model!$B$4,0,MAX(0,Model!$B$6-IF((A42+96)&gt;=Model!$B$11,Model!$B$20,0)-IF(96&lt;Model!$B$15,Model!$B$22,0))/(1-Model!$B$9)/(1+Model!$B$18)^96))</f>
        <v/>
      </c>
      <c r="DG42" s="7">
        <f>IF(A42="","",IF((A42+97)&gt;Model!$B$4,0,MAX(0,Model!$B$6-IF((A42+97)&gt;=Model!$B$11,Model!$B$20,0)-IF(97&lt;Model!$B$15,Model!$B$22,0))/(1-Model!$B$9)/(1+Model!$B$18)^97))</f>
        <v/>
      </c>
      <c r="DH42" s="7">
        <f>IF(A42="","",IF((A42+98)&gt;Model!$B$4,0,MAX(0,Model!$B$6-IF((A42+98)&gt;=Model!$B$11,Model!$B$20,0)-IF(98&lt;Model!$B$15,Model!$B$22,0))/(1-Model!$B$9)/(1+Model!$B$18)^98))</f>
        <v/>
      </c>
      <c r="DI42" s="7">
        <f>IF(A42="","",IF((A42+99)&gt;Model!$B$4,0,MAX(0,Model!$B$6-IF((A42+99)&gt;=Model!$B$11,Model!$B$20,0)-IF(99&lt;Model!$B$15,Model!$B$22,0))/(1-Model!$B$9)/(1+Model!$B$18)^99))</f>
        <v/>
      </c>
      <c r="DJ42" s="7">
        <f>IF(A42="","",IF((A42+100)&gt;Model!$B$4,0,MAX(0,Model!$B$6-IF((A42+100)&gt;=Model!$B$11,Model!$B$20,0)-IF(100&lt;Model!$B$15,Model!$B$22,0))/(1-Model!$B$9)/(1+Model!$B$18)^100))</f>
        <v/>
      </c>
      <c r="DK42" s="7">
        <f>IF(A42="","",IF((A42+101)&gt;Model!$B$4,0,MAX(0,Model!$B$6-IF((A42+101)&gt;=Model!$B$11,Model!$B$20,0)-IF(101&lt;Model!$B$15,Model!$B$22,0))/(1-Model!$B$9)/(1+Model!$B$18)^101))</f>
        <v/>
      </c>
      <c r="DL42" s="7">
        <f>IF(A42="","",IF((A42+102)&gt;Model!$B$4,0,MAX(0,Model!$B$6-IF((A42+102)&gt;=Model!$B$11,Model!$B$20,0)-IF(102&lt;Model!$B$15,Model!$B$22,0))/(1-Model!$B$9)/(1+Model!$B$18)^102))</f>
        <v/>
      </c>
      <c r="DM42" s="7">
        <f>IF(A42="","",IF((A42+103)&gt;Model!$B$4,0,MAX(0,Model!$B$6-IF((A42+103)&gt;=Model!$B$11,Model!$B$20,0)-IF(103&lt;Model!$B$15,Model!$B$22,0))/(1-Model!$B$9)/(1+Model!$B$18)^103))</f>
        <v/>
      </c>
      <c r="DN42" s="7">
        <f>IF(A42="","",IF((A42+104)&gt;Model!$B$4,0,MAX(0,Model!$B$6-IF((A42+104)&gt;=Model!$B$11,Model!$B$20,0)-IF(104&lt;Model!$B$15,Model!$B$22,0))/(1-Model!$B$9)/(1+Model!$B$18)^104))</f>
        <v/>
      </c>
      <c r="DO42" s="7">
        <f>IF(A42="","",IF((A42+105)&gt;Model!$B$4,0,MAX(0,Model!$B$6-IF((A42+105)&gt;=Model!$B$11,Model!$B$20,0)-IF(105&lt;Model!$B$15,Model!$B$22,0))/(1-Model!$B$9)/(1+Model!$B$18)^105))</f>
        <v/>
      </c>
      <c r="DP42" s="7">
        <f>IF(A42="","",IF((A42+106)&gt;Model!$B$4,0,MAX(0,Model!$B$6-IF((A42+106)&gt;=Model!$B$11,Model!$B$20,0)-IF(106&lt;Model!$B$15,Model!$B$22,0))/(1-Model!$B$9)/(1+Model!$B$18)^106))</f>
        <v/>
      </c>
      <c r="DQ42" s="7">
        <f>IF(A42="","",IF((A42+107)&gt;Model!$B$4,0,MAX(0,Model!$B$6-IF((A42+107)&gt;=Model!$B$11,Model!$B$20,0)-IF(107&lt;Model!$B$15,Model!$B$22,0))/(1-Model!$B$9)/(1+Model!$B$18)^107))</f>
        <v/>
      </c>
      <c r="DR42" s="7">
        <f>IF(A42="","",IF((A42+108)&gt;Model!$B$4,0,MAX(0,Model!$B$6-IF((A42+108)&gt;=Model!$B$11,Model!$B$20,0)-IF(108&lt;Model!$B$15,Model!$B$22,0))/(1-Model!$B$9)/(1+Model!$B$18)^108))</f>
        <v/>
      </c>
      <c r="DS42" s="7">
        <f>IF(A42="","",IF((A42+109)&gt;Model!$B$4,0,MAX(0,Model!$B$6-IF((A42+109)&gt;=Model!$B$11,Model!$B$20,0)-IF(109&lt;Model!$B$15,Model!$B$22,0))/(1-Model!$B$9)/(1+Model!$B$18)^109))</f>
        <v/>
      </c>
      <c r="DT42" s="7">
        <f>IF(A42="","",IF((A42+110)&gt;Model!$B$4,0,MAX(0,Model!$B$6-IF((A42+110)&gt;=Model!$B$11,Model!$B$20,0)-IF(110&lt;Model!$B$15,Model!$B$22,0))/(1-Model!$B$9)/(1+Model!$B$18)^110))</f>
        <v/>
      </c>
      <c r="DU42" s="7">
        <f>IF(A42="","",IF((A42+111)&gt;Model!$B$4,0,MAX(0,Model!$B$6-IF((A42+111)&gt;=Model!$B$11,Model!$B$20,0)-IF(111&lt;Model!$B$15,Model!$B$22,0))/(1-Model!$B$9)/(1+Model!$B$18)^111))</f>
        <v/>
      </c>
      <c r="DV42" s="7">
        <f>IF(A42="","",IF((A42+112)&gt;Model!$B$4,0,MAX(0,Model!$B$6-IF((A42+112)&gt;=Model!$B$11,Model!$B$20,0)-IF(112&lt;Model!$B$15,Model!$B$22,0))/(1-Model!$B$9)/(1+Model!$B$18)^112))</f>
        <v/>
      </c>
      <c r="DW42" s="7">
        <f>IF(A42="","",IF((A42+113)&gt;Model!$B$4,0,MAX(0,Model!$B$6-IF((A42+113)&gt;=Model!$B$11,Model!$B$20,0)-IF(113&lt;Model!$B$15,Model!$B$22,0))/(1-Model!$B$9)/(1+Model!$B$18)^113))</f>
        <v/>
      </c>
      <c r="DX42" s="7">
        <f>IF(A42="","",IF((A42+114)&gt;Model!$B$4,0,MAX(0,Model!$B$6-IF((A42+114)&gt;=Model!$B$11,Model!$B$20,0)-IF(114&lt;Model!$B$15,Model!$B$22,0))/(1-Model!$B$9)/(1+Model!$B$18)^114))</f>
        <v/>
      </c>
      <c r="DY42" s="7">
        <f>IF(A42="","",IF((A42+115)&gt;Model!$B$4,0,MAX(0,Model!$B$6-IF((A42+115)&gt;=Model!$B$11,Model!$B$20,0)-IF(115&lt;Model!$B$15,Model!$B$22,0))/(1-Model!$B$9)/(1+Model!$B$18)^115))</f>
        <v/>
      </c>
      <c r="DZ42" s="7">
        <f>IF(A42="","",IF((A42+116)&gt;Model!$B$4,0,MAX(0,Model!$B$6-IF((A42+116)&gt;=Model!$B$11,Model!$B$20,0)-IF(116&lt;Model!$B$15,Model!$B$22,0))/(1-Model!$B$9)/(1+Model!$B$18)^116))</f>
        <v/>
      </c>
      <c r="EA42" s="7">
        <f>IF(A42="","",IF((A42+117)&gt;Model!$B$4,0,MAX(0,Model!$B$6-IF((A42+117)&gt;=Model!$B$11,Model!$B$20,0)-IF(117&lt;Model!$B$15,Model!$B$22,0))/(1-Model!$B$9)/(1+Model!$B$18)^117))</f>
        <v/>
      </c>
      <c r="EB42" s="7">
        <f>IF(A42="","",IF((A42+118)&gt;Model!$B$4,0,MAX(0,Model!$B$6-IF((A42+118)&gt;=Model!$B$11,Model!$B$20,0)-IF(118&lt;Model!$B$15,Model!$B$22,0))/(1-Model!$B$9)/(1+Model!$B$18)^118))</f>
        <v/>
      </c>
      <c r="EC42" s="7">
        <f>IF(A42="","",IF((A42+119)&gt;Model!$B$4,0,MAX(0,Model!$B$6-IF((A42+119)&gt;=Model!$B$11,Model!$B$20,0)-IF(119&lt;Model!$B$15,Model!$B$22,0))/(1-Model!$B$9)/(1+Model!$B$18)^119))</f>
        <v/>
      </c>
      <c r="ED42" s="7">
        <f>IF(A42="","",IF((A42+120)&gt;Model!$B$4,0,MAX(0,Model!$B$6-IF((A42+120)&gt;=Model!$B$11,Model!$B$20,0)-IF(120&lt;Model!$B$15,Model!$B$22,0))/(1-Model!$B$9)/(1+Model!$B$18)^120))</f>
        <v/>
      </c>
    </row>
    <row r="43">
      <c r="A43">
        <f>IF(Model!$B$10+ROW()-2&lt;=Model!$B$4,Model!$B$10+ROW()-2,"")</f>
        <v/>
      </c>
      <c r="B43">
        <f>IF(A43="","",A43-Model!$B$10)</f>
        <v/>
      </c>
      <c r="C43" s="7">
        <f>IF(A43="","",Model!$B$5*(1+Model!$B$18)^B43)</f>
        <v/>
      </c>
      <c r="D43" s="7">
        <f>IF(A43="","",SUM(N43:ED43))</f>
        <v/>
      </c>
      <c r="E43" s="7">
        <f>IF(A43="","",IF(A43&gt;=Model!$B$11,Model!$B$20,0))</f>
        <v/>
      </c>
      <c r="F43" s="7">
        <f>IF(A43="","",IF(Model!$B$15&gt;0,Model!$B$22,0))</f>
        <v/>
      </c>
      <c r="G43" s="7">
        <f>IF(A43="","",E43+F43)</f>
        <v/>
      </c>
      <c r="H43" s="7">
        <f>IF(A43="","",MAX(0,Model!$B$6-G43))</f>
        <v/>
      </c>
      <c r="I43" s="7">
        <f>IF(A43="","",H43/(1-Model!$B$9))</f>
        <v/>
      </c>
      <c r="J43" s="7">
        <f>IF(A43="","",C43-D43)</f>
        <v/>
      </c>
      <c r="K43">
        <f>IF(A43="","",C43&gt;=D43)</f>
        <v/>
      </c>
      <c r="L43" s="7">
        <f>IF(A43="","",IF(A43&gt;=Model!$B$11,Model!$B$19*(1+Model!$B$13)^B43,0))</f>
        <v/>
      </c>
      <c r="M43" s="7">
        <f>IF(A43="","",IF(Model!$B$15&gt;0,Model!$B$21*(1+Model!$B$13)^B43,0))</f>
        <v/>
      </c>
      <c r="N43" s="7">
        <f>IF(A43="","",IF((A43+0)&gt;Model!$B$4,0,MAX(0,Model!$B$6-IF((A43+0)&gt;=Model!$B$11,Model!$B$20,0)-IF(0&lt;Model!$B$15,Model!$B$22,0))/(1-Model!$B$9)/(1+Model!$B$18)^0))</f>
        <v/>
      </c>
      <c r="O43" s="7">
        <f>IF(A43="","",IF((A43+1)&gt;Model!$B$4,0,MAX(0,Model!$B$6-IF((A43+1)&gt;=Model!$B$11,Model!$B$20,0)-IF(1&lt;Model!$B$15,Model!$B$22,0))/(1-Model!$B$9)/(1+Model!$B$18)^1))</f>
        <v/>
      </c>
      <c r="P43" s="7">
        <f>IF(A43="","",IF((A43+2)&gt;Model!$B$4,0,MAX(0,Model!$B$6-IF((A43+2)&gt;=Model!$B$11,Model!$B$20,0)-IF(2&lt;Model!$B$15,Model!$B$22,0))/(1-Model!$B$9)/(1+Model!$B$18)^2))</f>
        <v/>
      </c>
      <c r="Q43" s="7">
        <f>IF(A43="","",IF((A43+3)&gt;Model!$B$4,0,MAX(0,Model!$B$6-IF((A43+3)&gt;=Model!$B$11,Model!$B$20,0)-IF(3&lt;Model!$B$15,Model!$B$22,0))/(1-Model!$B$9)/(1+Model!$B$18)^3))</f>
        <v/>
      </c>
      <c r="R43" s="7">
        <f>IF(A43="","",IF((A43+4)&gt;Model!$B$4,0,MAX(0,Model!$B$6-IF((A43+4)&gt;=Model!$B$11,Model!$B$20,0)-IF(4&lt;Model!$B$15,Model!$B$22,0))/(1-Model!$B$9)/(1+Model!$B$18)^4))</f>
        <v/>
      </c>
      <c r="S43" s="7">
        <f>IF(A43="","",IF((A43+5)&gt;Model!$B$4,0,MAX(0,Model!$B$6-IF((A43+5)&gt;=Model!$B$11,Model!$B$20,0)-IF(5&lt;Model!$B$15,Model!$B$22,0))/(1-Model!$B$9)/(1+Model!$B$18)^5))</f>
        <v/>
      </c>
      <c r="T43" s="7">
        <f>IF(A43="","",IF((A43+6)&gt;Model!$B$4,0,MAX(0,Model!$B$6-IF((A43+6)&gt;=Model!$B$11,Model!$B$20,0)-IF(6&lt;Model!$B$15,Model!$B$22,0))/(1-Model!$B$9)/(1+Model!$B$18)^6))</f>
        <v/>
      </c>
      <c r="U43" s="7">
        <f>IF(A43="","",IF((A43+7)&gt;Model!$B$4,0,MAX(0,Model!$B$6-IF((A43+7)&gt;=Model!$B$11,Model!$B$20,0)-IF(7&lt;Model!$B$15,Model!$B$22,0))/(1-Model!$B$9)/(1+Model!$B$18)^7))</f>
        <v/>
      </c>
      <c r="V43" s="7">
        <f>IF(A43="","",IF((A43+8)&gt;Model!$B$4,0,MAX(0,Model!$B$6-IF((A43+8)&gt;=Model!$B$11,Model!$B$20,0)-IF(8&lt;Model!$B$15,Model!$B$22,0))/(1-Model!$B$9)/(1+Model!$B$18)^8))</f>
        <v/>
      </c>
      <c r="W43" s="7">
        <f>IF(A43="","",IF((A43+9)&gt;Model!$B$4,0,MAX(0,Model!$B$6-IF((A43+9)&gt;=Model!$B$11,Model!$B$20,0)-IF(9&lt;Model!$B$15,Model!$B$22,0))/(1-Model!$B$9)/(1+Model!$B$18)^9))</f>
        <v/>
      </c>
      <c r="X43" s="7">
        <f>IF(A43="","",IF((A43+10)&gt;Model!$B$4,0,MAX(0,Model!$B$6-IF((A43+10)&gt;=Model!$B$11,Model!$B$20,0)-IF(10&lt;Model!$B$15,Model!$B$22,0))/(1-Model!$B$9)/(1+Model!$B$18)^10))</f>
        <v/>
      </c>
      <c r="Y43" s="7">
        <f>IF(A43="","",IF((A43+11)&gt;Model!$B$4,0,MAX(0,Model!$B$6-IF((A43+11)&gt;=Model!$B$11,Model!$B$20,0)-IF(11&lt;Model!$B$15,Model!$B$22,0))/(1-Model!$B$9)/(1+Model!$B$18)^11))</f>
        <v/>
      </c>
      <c r="Z43" s="7">
        <f>IF(A43="","",IF((A43+12)&gt;Model!$B$4,0,MAX(0,Model!$B$6-IF((A43+12)&gt;=Model!$B$11,Model!$B$20,0)-IF(12&lt;Model!$B$15,Model!$B$22,0))/(1-Model!$B$9)/(1+Model!$B$18)^12))</f>
        <v/>
      </c>
      <c r="AA43" s="7">
        <f>IF(A43="","",IF((A43+13)&gt;Model!$B$4,0,MAX(0,Model!$B$6-IF((A43+13)&gt;=Model!$B$11,Model!$B$20,0)-IF(13&lt;Model!$B$15,Model!$B$22,0))/(1-Model!$B$9)/(1+Model!$B$18)^13))</f>
        <v/>
      </c>
      <c r="AB43" s="7">
        <f>IF(A43="","",IF((A43+14)&gt;Model!$B$4,0,MAX(0,Model!$B$6-IF((A43+14)&gt;=Model!$B$11,Model!$B$20,0)-IF(14&lt;Model!$B$15,Model!$B$22,0))/(1-Model!$B$9)/(1+Model!$B$18)^14))</f>
        <v/>
      </c>
      <c r="AC43" s="7">
        <f>IF(A43="","",IF((A43+15)&gt;Model!$B$4,0,MAX(0,Model!$B$6-IF((A43+15)&gt;=Model!$B$11,Model!$B$20,0)-IF(15&lt;Model!$B$15,Model!$B$22,0))/(1-Model!$B$9)/(1+Model!$B$18)^15))</f>
        <v/>
      </c>
      <c r="AD43" s="7">
        <f>IF(A43="","",IF((A43+16)&gt;Model!$B$4,0,MAX(0,Model!$B$6-IF((A43+16)&gt;=Model!$B$11,Model!$B$20,0)-IF(16&lt;Model!$B$15,Model!$B$22,0))/(1-Model!$B$9)/(1+Model!$B$18)^16))</f>
        <v/>
      </c>
      <c r="AE43" s="7">
        <f>IF(A43="","",IF((A43+17)&gt;Model!$B$4,0,MAX(0,Model!$B$6-IF((A43+17)&gt;=Model!$B$11,Model!$B$20,0)-IF(17&lt;Model!$B$15,Model!$B$22,0))/(1-Model!$B$9)/(1+Model!$B$18)^17))</f>
        <v/>
      </c>
      <c r="AF43" s="7">
        <f>IF(A43="","",IF((A43+18)&gt;Model!$B$4,0,MAX(0,Model!$B$6-IF((A43+18)&gt;=Model!$B$11,Model!$B$20,0)-IF(18&lt;Model!$B$15,Model!$B$22,0))/(1-Model!$B$9)/(1+Model!$B$18)^18))</f>
        <v/>
      </c>
      <c r="AG43" s="7">
        <f>IF(A43="","",IF((A43+19)&gt;Model!$B$4,0,MAX(0,Model!$B$6-IF((A43+19)&gt;=Model!$B$11,Model!$B$20,0)-IF(19&lt;Model!$B$15,Model!$B$22,0))/(1-Model!$B$9)/(1+Model!$B$18)^19))</f>
        <v/>
      </c>
      <c r="AH43" s="7">
        <f>IF(A43="","",IF((A43+20)&gt;Model!$B$4,0,MAX(0,Model!$B$6-IF((A43+20)&gt;=Model!$B$11,Model!$B$20,0)-IF(20&lt;Model!$B$15,Model!$B$22,0))/(1-Model!$B$9)/(1+Model!$B$18)^20))</f>
        <v/>
      </c>
      <c r="AI43" s="7">
        <f>IF(A43="","",IF((A43+21)&gt;Model!$B$4,0,MAX(0,Model!$B$6-IF((A43+21)&gt;=Model!$B$11,Model!$B$20,0)-IF(21&lt;Model!$B$15,Model!$B$22,0))/(1-Model!$B$9)/(1+Model!$B$18)^21))</f>
        <v/>
      </c>
      <c r="AJ43" s="7">
        <f>IF(A43="","",IF((A43+22)&gt;Model!$B$4,0,MAX(0,Model!$B$6-IF((A43+22)&gt;=Model!$B$11,Model!$B$20,0)-IF(22&lt;Model!$B$15,Model!$B$22,0))/(1-Model!$B$9)/(1+Model!$B$18)^22))</f>
        <v/>
      </c>
      <c r="AK43" s="7">
        <f>IF(A43="","",IF((A43+23)&gt;Model!$B$4,0,MAX(0,Model!$B$6-IF((A43+23)&gt;=Model!$B$11,Model!$B$20,0)-IF(23&lt;Model!$B$15,Model!$B$22,0))/(1-Model!$B$9)/(1+Model!$B$18)^23))</f>
        <v/>
      </c>
      <c r="AL43" s="7">
        <f>IF(A43="","",IF((A43+24)&gt;Model!$B$4,0,MAX(0,Model!$B$6-IF((A43+24)&gt;=Model!$B$11,Model!$B$20,0)-IF(24&lt;Model!$B$15,Model!$B$22,0))/(1-Model!$B$9)/(1+Model!$B$18)^24))</f>
        <v/>
      </c>
      <c r="AM43" s="7">
        <f>IF(A43="","",IF((A43+25)&gt;Model!$B$4,0,MAX(0,Model!$B$6-IF((A43+25)&gt;=Model!$B$11,Model!$B$20,0)-IF(25&lt;Model!$B$15,Model!$B$22,0))/(1-Model!$B$9)/(1+Model!$B$18)^25))</f>
        <v/>
      </c>
      <c r="AN43" s="7">
        <f>IF(A43="","",IF((A43+26)&gt;Model!$B$4,0,MAX(0,Model!$B$6-IF((A43+26)&gt;=Model!$B$11,Model!$B$20,0)-IF(26&lt;Model!$B$15,Model!$B$22,0))/(1-Model!$B$9)/(1+Model!$B$18)^26))</f>
        <v/>
      </c>
      <c r="AO43" s="7">
        <f>IF(A43="","",IF((A43+27)&gt;Model!$B$4,0,MAX(0,Model!$B$6-IF((A43+27)&gt;=Model!$B$11,Model!$B$20,0)-IF(27&lt;Model!$B$15,Model!$B$22,0))/(1-Model!$B$9)/(1+Model!$B$18)^27))</f>
        <v/>
      </c>
      <c r="AP43" s="7">
        <f>IF(A43="","",IF((A43+28)&gt;Model!$B$4,0,MAX(0,Model!$B$6-IF((A43+28)&gt;=Model!$B$11,Model!$B$20,0)-IF(28&lt;Model!$B$15,Model!$B$22,0))/(1-Model!$B$9)/(1+Model!$B$18)^28))</f>
        <v/>
      </c>
      <c r="AQ43" s="7">
        <f>IF(A43="","",IF((A43+29)&gt;Model!$B$4,0,MAX(0,Model!$B$6-IF((A43+29)&gt;=Model!$B$11,Model!$B$20,0)-IF(29&lt;Model!$B$15,Model!$B$22,0))/(1-Model!$B$9)/(1+Model!$B$18)^29))</f>
        <v/>
      </c>
      <c r="AR43" s="7">
        <f>IF(A43="","",IF((A43+30)&gt;Model!$B$4,0,MAX(0,Model!$B$6-IF((A43+30)&gt;=Model!$B$11,Model!$B$20,0)-IF(30&lt;Model!$B$15,Model!$B$22,0))/(1-Model!$B$9)/(1+Model!$B$18)^30))</f>
        <v/>
      </c>
      <c r="AS43" s="7">
        <f>IF(A43="","",IF((A43+31)&gt;Model!$B$4,0,MAX(0,Model!$B$6-IF((A43+31)&gt;=Model!$B$11,Model!$B$20,0)-IF(31&lt;Model!$B$15,Model!$B$22,0))/(1-Model!$B$9)/(1+Model!$B$18)^31))</f>
        <v/>
      </c>
      <c r="AT43" s="7">
        <f>IF(A43="","",IF((A43+32)&gt;Model!$B$4,0,MAX(0,Model!$B$6-IF((A43+32)&gt;=Model!$B$11,Model!$B$20,0)-IF(32&lt;Model!$B$15,Model!$B$22,0))/(1-Model!$B$9)/(1+Model!$B$18)^32))</f>
        <v/>
      </c>
      <c r="AU43" s="7">
        <f>IF(A43="","",IF((A43+33)&gt;Model!$B$4,0,MAX(0,Model!$B$6-IF((A43+33)&gt;=Model!$B$11,Model!$B$20,0)-IF(33&lt;Model!$B$15,Model!$B$22,0))/(1-Model!$B$9)/(1+Model!$B$18)^33))</f>
        <v/>
      </c>
      <c r="AV43" s="7">
        <f>IF(A43="","",IF((A43+34)&gt;Model!$B$4,0,MAX(0,Model!$B$6-IF((A43+34)&gt;=Model!$B$11,Model!$B$20,0)-IF(34&lt;Model!$B$15,Model!$B$22,0))/(1-Model!$B$9)/(1+Model!$B$18)^34))</f>
        <v/>
      </c>
      <c r="AW43" s="7">
        <f>IF(A43="","",IF((A43+35)&gt;Model!$B$4,0,MAX(0,Model!$B$6-IF((A43+35)&gt;=Model!$B$11,Model!$B$20,0)-IF(35&lt;Model!$B$15,Model!$B$22,0))/(1-Model!$B$9)/(1+Model!$B$18)^35))</f>
        <v/>
      </c>
      <c r="AX43" s="7">
        <f>IF(A43="","",IF((A43+36)&gt;Model!$B$4,0,MAX(0,Model!$B$6-IF((A43+36)&gt;=Model!$B$11,Model!$B$20,0)-IF(36&lt;Model!$B$15,Model!$B$22,0))/(1-Model!$B$9)/(1+Model!$B$18)^36))</f>
        <v/>
      </c>
      <c r="AY43" s="7">
        <f>IF(A43="","",IF((A43+37)&gt;Model!$B$4,0,MAX(0,Model!$B$6-IF((A43+37)&gt;=Model!$B$11,Model!$B$20,0)-IF(37&lt;Model!$B$15,Model!$B$22,0))/(1-Model!$B$9)/(1+Model!$B$18)^37))</f>
        <v/>
      </c>
      <c r="AZ43" s="7">
        <f>IF(A43="","",IF((A43+38)&gt;Model!$B$4,0,MAX(0,Model!$B$6-IF((A43+38)&gt;=Model!$B$11,Model!$B$20,0)-IF(38&lt;Model!$B$15,Model!$B$22,0))/(1-Model!$B$9)/(1+Model!$B$18)^38))</f>
        <v/>
      </c>
      <c r="BA43" s="7">
        <f>IF(A43="","",IF((A43+39)&gt;Model!$B$4,0,MAX(0,Model!$B$6-IF((A43+39)&gt;=Model!$B$11,Model!$B$20,0)-IF(39&lt;Model!$B$15,Model!$B$22,0))/(1-Model!$B$9)/(1+Model!$B$18)^39))</f>
        <v/>
      </c>
      <c r="BB43" s="7">
        <f>IF(A43="","",IF((A43+40)&gt;Model!$B$4,0,MAX(0,Model!$B$6-IF((A43+40)&gt;=Model!$B$11,Model!$B$20,0)-IF(40&lt;Model!$B$15,Model!$B$22,0))/(1-Model!$B$9)/(1+Model!$B$18)^40))</f>
        <v/>
      </c>
      <c r="BC43" s="7">
        <f>IF(A43="","",IF((A43+41)&gt;Model!$B$4,0,MAX(0,Model!$B$6-IF((A43+41)&gt;=Model!$B$11,Model!$B$20,0)-IF(41&lt;Model!$B$15,Model!$B$22,0))/(1-Model!$B$9)/(1+Model!$B$18)^41))</f>
        <v/>
      </c>
      <c r="BD43" s="7">
        <f>IF(A43="","",IF((A43+42)&gt;Model!$B$4,0,MAX(0,Model!$B$6-IF((A43+42)&gt;=Model!$B$11,Model!$B$20,0)-IF(42&lt;Model!$B$15,Model!$B$22,0))/(1-Model!$B$9)/(1+Model!$B$18)^42))</f>
        <v/>
      </c>
      <c r="BE43" s="7">
        <f>IF(A43="","",IF((A43+43)&gt;Model!$B$4,0,MAX(0,Model!$B$6-IF((A43+43)&gt;=Model!$B$11,Model!$B$20,0)-IF(43&lt;Model!$B$15,Model!$B$22,0))/(1-Model!$B$9)/(1+Model!$B$18)^43))</f>
        <v/>
      </c>
      <c r="BF43" s="7">
        <f>IF(A43="","",IF((A43+44)&gt;Model!$B$4,0,MAX(0,Model!$B$6-IF((A43+44)&gt;=Model!$B$11,Model!$B$20,0)-IF(44&lt;Model!$B$15,Model!$B$22,0))/(1-Model!$B$9)/(1+Model!$B$18)^44))</f>
        <v/>
      </c>
      <c r="BG43" s="7">
        <f>IF(A43="","",IF((A43+45)&gt;Model!$B$4,0,MAX(0,Model!$B$6-IF((A43+45)&gt;=Model!$B$11,Model!$B$20,0)-IF(45&lt;Model!$B$15,Model!$B$22,0))/(1-Model!$B$9)/(1+Model!$B$18)^45))</f>
        <v/>
      </c>
      <c r="BH43" s="7">
        <f>IF(A43="","",IF((A43+46)&gt;Model!$B$4,0,MAX(0,Model!$B$6-IF((A43+46)&gt;=Model!$B$11,Model!$B$20,0)-IF(46&lt;Model!$B$15,Model!$B$22,0))/(1-Model!$B$9)/(1+Model!$B$18)^46))</f>
        <v/>
      </c>
      <c r="BI43" s="7">
        <f>IF(A43="","",IF((A43+47)&gt;Model!$B$4,0,MAX(0,Model!$B$6-IF((A43+47)&gt;=Model!$B$11,Model!$B$20,0)-IF(47&lt;Model!$B$15,Model!$B$22,0))/(1-Model!$B$9)/(1+Model!$B$18)^47))</f>
        <v/>
      </c>
      <c r="BJ43" s="7">
        <f>IF(A43="","",IF((A43+48)&gt;Model!$B$4,0,MAX(0,Model!$B$6-IF((A43+48)&gt;=Model!$B$11,Model!$B$20,0)-IF(48&lt;Model!$B$15,Model!$B$22,0))/(1-Model!$B$9)/(1+Model!$B$18)^48))</f>
        <v/>
      </c>
      <c r="BK43" s="7">
        <f>IF(A43="","",IF((A43+49)&gt;Model!$B$4,0,MAX(0,Model!$B$6-IF((A43+49)&gt;=Model!$B$11,Model!$B$20,0)-IF(49&lt;Model!$B$15,Model!$B$22,0))/(1-Model!$B$9)/(1+Model!$B$18)^49))</f>
        <v/>
      </c>
      <c r="BL43" s="7">
        <f>IF(A43="","",IF((A43+50)&gt;Model!$B$4,0,MAX(0,Model!$B$6-IF((A43+50)&gt;=Model!$B$11,Model!$B$20,0)-IF(50&lt;Model!$B$15,Model!$B$22,0))/(1-Model!$B$9)/(1+Model!$B$18)^50))</f>
        <v/>
      </c>
      <c r="BM43" s="7">
        <f>IF(A43="","",IF((A43+51)&gt;Model!$B$4,0,MAX(0,Model!$B$6-IF((A43+51)&gt;=Model!$B$11,Model!$B$20,0)-IF(51&lt;Model!$B$15,Model!$B$22,0))/(1-Model!$B$9)/(1+Model!$B$18)^51))</f>
        <v/>
      </c>
      <c r="BN43" s="7">
        <f>IF(A43="","",IF((A43+52)&gt;Model!$B$4,0,MAX(0,Model!$B$6-IF((A43+52)&gt;=Model!$B$11,Model!$B$20,0)-IF(52&lt;Model!$B$15,Model!$B$22,0))/(1-Model!$B$9)/(1+Model!$B$18)^52))</f>
        <v/>
      </c>
      <c r="BO43" s="7">
        <f>IF(A43="","",IF((A43+53)&gt;Model!$B$4,0,MAX(0,Model!$B$6-IF((A43+53)&gt;=Model!$B$11,Model!$B$20,0)-IF(53&lt;Model!$B$15,Model!$B$22,0))/(1-Model!$B$9)/(1+Model!$B$18)^53))</f>
        <v/>
      </c>
      <c r="BP43" s="7">
        <f>IF(A43="","",IF((A43+54)&gt;Model!$B$4,0,MAX(0,Model!$B$6-IF((A43+54)&gt;=Model!$B$11,Model!$B$20,0)-IF(54&lt;Model!$B$15,Model!$B$22,0))/(1-Model!$B$9)/(1+Model!$B$18)^54))</f>
        <v/>
      </c>
      <c r="BQ43" s="7">
        <f>IF(A43="","",IF((A43+55)&gt;Model!$B$4,0,MAX(0,Model!$B$6-IF((A43+55)&gt;=Model!$B$11,Model!$B$20,0)-IF(55&lt;Model!$B$15,Model!$B$22,0))/(1-Model!$B$9)/(1+Model!$B$18)^55))</f>
        <v/>
      </c>
      <c r="BR43" s="7">
        <f>IF(A43="","",IF((A43+56)&gt;Model!$B$4,0,MAX(0,Model!$B$6-IF((A43+56)&gt;=Model!$B$11,Model!$B$20,0)-IF(56&lt;Model!$B$15,Model!$B$22,0))/(1-Model!$B$9)/(1+Model!$B$18)^56))</f>
        <v/>
      </c>
      <c r="BS43" s="7">
        <f>IF(A43="","",IF((A43+57)&gt;Model!$B$4,0,MAX(0,Model!$B$6-IF((A43+57)&gt;=Model!$B$11,Model!$B$20,0)-IF(57&lt;Model!$B$15,Model!$B$22,0))/(1-Model!$B$9)/(1+Model!$B$18)^57))</f>
        <v/>
      </c>
      <c r="BT43" s="7">
        <f>IF(A43="","",IF((A43+58)&gt;Model!$B$4,0,MAX(0,Model!$B$6-IF((A43+58)&gt;=Model!$B$11,Model!$B$20,0)-IF(58&lt;Model!$B$15,Model!$B$22,0))/(1-Model!$B$9)/(1+Model!$B$18)^58))</f>
        <v/>
      </c>
      <c r="BU43" s="7">
        <f>IF(A43="","",IF((A43+59)&gt;Model!$B$4,0,MAX(0,Model!$B$6-IF((A43+59)&gt;=Model!$B$11,Model!$B$20,0)-IF(59&lt;Model!$B$15,Model!$B$22,0))/(1-Model!$B$9)/(1+Model!$B$18)^59))</f>
        <v/>
      </c>
      <c r="BV43" s="7">
        <f>IF(A43="","",IF((A43+60)&gt;Model!$B$4,0,MAX(0,Model!$B$6-IF((A43+60)&gt;=Model!$B$11,Model!$B$20,0)-IF(60&lt;Model!$B$15,Model!$B$22,0))/(1-Model!$B$9)/(1+Model!$B$18)^60))</f>
        <v/>
      </c>
      <c r="BW43" s="7">
        <f>IF(A43="","",IF((A43+61)&gt;Model!$B$4,0,MAX(0,Model!$B$6-IF((A43+61)&gt;=Model!$B$11,Model!$B$20,0)-IF(61&lt;Model!$B$15,Model!$B$22,0))/(1-Model!$B$9)/(1+Model!$B$18)^61))</f>
        <v/>
      </c>
      <c r="BX43" s="7">
        <f>IF(A43="","",IF((A43+62)&gt;Model!$B$4,0,MAX(0,Model!$B$6-IF((A43+62)&gt;=Model!$B$11,Model!$B$20,0)-IF(62&lt;Model!$B$15,Model!$B$22,0))/(1-Model!$B$9)/(1+Model!$B$18)^62))</f>
        <v/>
      </c>
      <c r="BY43" s="7">
        <f>IF(A43="","",IF((A43+63)&gt;Model!$B$4,0,MAX(0,Model!$B$6-IF((A43+63)&gt;=Model!$B$11,Model!$B$20,0)-IF(63&lt;Model!$B$15,Model!$B$22,0))/(1-Model!$B$9)/(1+Model!$B$18)^63))</f>
        <v/>
      </c>
      <c r="BZ43" s="7">
        <f>IF(A43="","",IF((A43+64)&gt;Model!$B$4,0,MAX(0,Model!$B$6-IF((A43+64)&gt;=Model!$B$11,Model!$B$20,0)-IF(64&lt;Model!$B$15,Model!$B$22,0))/(1-Model!$B$9)/(1+Model!$B$18)^64))</f>
        <v/>
      </c>
      <c r="CA43" s="7">
        <f>IF(A43="","",IF((A43+65)&gt;Model!$B$4,0,MAX(0,Model!$B$6-IF((A43+65)&gt;=Model!$B$11,Model!$B$20,0)-IF(65&lt;Model!$B$15,Model!$B$22,0))/(1-Model!$B$9)/(1+Model!$B$18)^65))</f>
        <v/>
      </c>
      <c r="CB43" s="7">
        <f>IF(A43="","",IF((A43+66)&gt;Model!$B$4,0,MAX(0,Model!$B$6-IF((A43+66)&gt;=Model!$B$11,Model!$B$20,0)-IF(66&lt;Model!$B$15,Model!$B$22,0))/(1-Model!$B$9)/(1+Model!$B$18)^66))</f>
        <v/>
      </c>
      <c r="CC43" s="7">
        <f>IF(A43="","",IF((A43+67)&gt;Model!$B$4,0,MAX(0,Model!$B$6-IF((A43+67)&gt;=Model!$B$11,Model!$B$20,0)-IF(67&lt;Model!$B$15,Model!$B$22,0))/(1-Model!$B$9)/(1+Model!$B$18)^67))</f>
        <v/>
      </c>
      <c r="CD43" s="7">
        <f>IF(A43="","",IF((A43+68)&gt;Model!$B$4,0,MAX(0,Model!$B$6-IF((A43+68)&gt;=Model!$B$11,Model!$B$20,0)-IF(68&lt;Model!$B$15,Model!$B$22,0))/(1-Model!$B$9)/(1+Model!$B$18)^68))</f>
        <v/>
      </c>
      <c r="CE43" s="7">
        <f>IF(A43="","",IF((A43+69)&gt;Model!$B$4,0,MAX(0,Model!$B$6-IF((A43+69)&gt;=Model!$B$11,Model!$B$20,0)-IF(69&lt;Model!$B$15,Model!$B$22,0))/(1-Model!$B$9)/(1+Model!$B$18)^69))</f>
        <v/>
      </c>
      <c r="CF43" s="7">
        <f>IF(A43="","",IF((A43+70)&gt;Model!$B$4,0,MAX(0,Model!$B$6-IF((A43+70)&gt;=Model!$B$11,Model!$B$20,0)-IF(70&lt;Model!$B$15,Model!$B$22,0))/(1-Model!$B$9)/(1+Model!$B$18)^70))</f>
        <v/>
      </c>
      <c r="CG43" s="7">
        <f>IF(A43="","",IF((A43+71)&gt;Model!$B$4,0,MAX(0,Model!$B$6-IF((A43+71)&gt;=Model!$B$11,Model!$B$20,0)-IF(71&lt;Model!$B$15,Model!$B$22,0))/(1-Model!$B$9)/(1+Model!$B$18)^71))</f>
        <v/>
      </c>
      <c r="CH43" s="7">
        <f>IF(A43="","",IF((A43+72)&gt;Model!$B$4,0,MAX(0,Model!$B$6-IF((A43+72)&gt;=Model!$B$11,Model!$B$20,0)-IF(72&lt;Model!$B$15,Model!$B$22,0))/(1-Model!$B$9)/(1+Model!$B$18)^72))</f>
        <v/>
      </c>
      <c r="CI43" s="7">
        <f>IF(A43="","",IF((A43+73)&gt;Model!$B$4,0,MAX(0,Model!$B$6-IF((A43+73)&gt;=Model!$B$11,Model!$B$20,0)-IF(73&lt;Model!$B$15,Model!$B$22,0))/(1-Model!$B$9)/(1+Model!$B$18)^73))</f>
        <v/>
      </c>
      <c r="CJ43" s="7">
        <f>IF(A43="","",IF((A43+74)&gt;Model!$B$4,0,MAX(0,Model!$B$6-IF((A43+74)&gt;=Model!$B$11,Model!$B$20,0)-IF(74&lt;Model!$B$15,Model!$B$22,0))/(1-Model!$B$9)/(1+Model!$B$18)^74))</f>
        <v/>
      </c>
      <c r="CK43" s="7">
        <f>IF(A43="","",IF((A43+75)&gt;Model!$B$4,0,MAX(0,Model!$B$6-IF((A43+75)&gt;=Model!$B$11,Model!$B$20,0)-IF(75&lt;Model!$B$15,Model!$B$22,0))/(1-Model!$B$9)/(1+Model!$B$18)^75))</f>
        <v/>
      </c>
      <c r="CL43" s="7">
        <f>IF(A43="","",IF((A43+76)&gt;Model!$B$4,0,MAX(0,Model!$B$6-IF((A43+76)&gt;=Model!$B$11,Model!$B$20,0)-IF(76&lt;Model!$B$15,Model!$B$22,0))/(1-Model!$B$9)/(1+Model!$B$18)^76))</f>
        <v/>
      </c>
      <c r="CM43" s="7">
        <f>IF(A43="","",IF((A43+77)&gt;Model!$B$4,0,MAX(0,Model!$B$6-IF((A43+77)&gt;=Model!$B$11,Model!$B$20,0)-IF(77&lt;Model!$B$15,Model!$B$22,0))/(1-Model!$B$9)/(1+Model!$B$18)^77))</f>
        <v/>
      </c>
      <c r="CN43" s="7">
        <f>IF(A43="","",IF((A43+78)&gt;Model!$B$4,0,MAX(0,Model!$B$6-IF((A43+78)&gt;=Model!$B$11,Model!$B$20,0)-IF(78&lt;Model!$B$15,Model!$B$22,0))/(1-Model!$B$9)/(1+Model!$B$18)^78))</f>
        <v/>
      </c>
      <c r="CO43" s="7">
        <f>IF(A43="","",IF((A43+79)&gt;Model!$B$4,0,MAX(0,Model!$B$6-IF((A43+79)&gt;=Model!$B$11,Model!$B$20,0)-IF(79&lt;Model!$B$15,Model!$B$22,0))/(1-Model!$B$9)/(1+Model!$B$18)^79))</f>
        <v/>
      </c>
      <c r="CP43" s="7">
        <f>IF(A43="","",IF((A43+80)&gt;Model!$B$4,0,MAX(0,Model!$B$6-IF((A43+80)&gt;=Model!$B$11,Model!$B$20,0)-IF(80&lt;Model!$B$15,Model!$B$22,0))/(1-Model!$B$9)/(1+Model!$B$18)^80))</f>
        <v/>
      </c>
      <c r="CQ43" s="7">
        <f>IF(A43="","",IF((A43+81)&gt;Model!$B$4,0,MAX(0,Model!$B$6-IF((A43+81)&gt;=Model!$B$11,Model!$B$20,0)-IF(81&lt;Model!$B$15,Model!$B$22,0))/(1-Model!$B$9)/(1+Model!$B$18)^81))</f>
        <v/>
      </c>
      <c r="CR43" s="7">
        <f>IF(A43="","",IF((A43+82)&gt;Model!$B$4,0,MAX(0,Model!$B$6-IF((A43+82)&gt;=Model!$B$11,Model!$B$20,0)-IF(82&lt;Model!$B$15,Model!$B$22,0))/(1-Model!$B$9)/(1+Model!$B$18)^82))</f>
        <v/>
      </c>
      <c r="CS43" s="7">
        <f>IF(A43="","",IF((A43+83)&gt;Model!$B$4,0,MAX(0,Model!$B$6-IF((A43+83)&gt;=Model!$B$11,Model!$B$20,0)-IF(83&lt;Model!$B$15,Model!$B$22,0))/(1-Model!$B$9)/(1+Model!$B$18)^83))</f>
        <v/>
      </c>
      <c r="CT43" s="7">
        <f>IF(A43="","",IF((A43+84)&gt;Model!$B$4,0,MAX(0,Model!$B$6-IF((A43+84)&gt;=Model!$B$11,Model!$B$20,0)-IF(84&lt;Model!$B$15,Model!$B$22,0))/(1-Model!$B$9)/(1+Model!$B$18)^84))</f>
        <v/>
      </c>
      <c r="CU43" s="7">
        <f>IF(A43="","",IF((A43+85)&gt;Model!$B$4,0,MAX(0,Model!$B$6-IF((A43+85)&gt;=Model!$B$11,Model!$B$20,0)-IF(85&lt;Model!$B$15,Model!$B$22,0))/(1-Model!$B$9)/(1+Model!$B$18)^85))</f>
        <v/>
      </c>
      <c r="CV43" s="7">
        <f>IF(A43="","",IF((A43+86)&gt;Model!$B$4,0,MAX(0,Model!$B$6-IF((A43+86)&gt;=Model!$B$11,Model!$B$20,0)-IF(86&lt;Model!$B$15,Model!$B$22,0))/(1-Model!$B$9)/(1+Model!$B$18)^86))</f>
        <v/>
      </c>
      <c r="CW43" s="7">
        <f>IF(A43="","",IF((A43+87)&gt;Model!$B$4,0,MAX(0,Model!$B$6-IF((A43+87)&gt;=Model!$B$11,Model!$B$20,0)-IF(87&lt;Model!$B$15,Model!$B$22,0))/(1-Model!$B$9)/(1+Model!$B$18)^87))</f>
        <v/>
      </c>
      <c r="CX43" s="7">
        <f>IF(A43="","",IF((A43+88)&gt;Model!$B$4,0,MAX(0,Model!$B$6-IF((A43+88)&gt;=Model!$B$11,Model!$B$20,0)-IF(88&lt;Model!$B$15,Model!$B$22,0))/(1-Model!$B$9)/(1+Model!$B$18)^88))</f>
        <v/>
      </c>
      <c r="CY43" s="7">
        <f>IF(A43="","",IF((A43+89)&gt;Model!$B$4,0,MAX(0,Model!$B$6-IF((A43+89)&gt;=Model!$B$11,Model!$B$20,0)-IF(89&lt;Model!$B$15,Model!$B$22,0))/(1-Model!$B$9)/(1+Model!$B$18)^89))</f>
        <v/>
      </c>
      <c r="CZ43" s="7">
        <f>IF(A43="","",IF((A43+90)&gt;Model!$B$4,0,MAX(0,Model!$B$6-IF((A43+90)&gt;=Model!$B$11,Model!$B$20,0)-IF(90&lt;Model!$B$15,Model!$B$22,0))/(1-Model!$B$9)/(1+Model!$B$18)^90))</f>
        <v/>
      </c>
      <c r="DA43" s="7">
        <f>IF(A43="","",IF((A43+91)&gt;Model!$B$4,0,MAX(0,Model!$B$6-IF((A43+91)&gt;=Model!$B$11,Model!$B$20,0)-IF(91&lt;Model!$B$15,Model!$B$22,0))/(1-Model!$B$9)/(1+Model!$B$18)^91))</f>
        <v/>
      </c>
      <c r="DB43" s="7">
        <f>IF(A43="","",IF((A43+92)&gt;Model!$B$4,0,MAX(0,Model!$B$6-IF((A43+92)&gt;=Model!$B$11,Model!$B$20,0)-IF(92&lt;Model!$B$15,Model!$B$22,0))/(1-Model!$B$9)/(1+Model!$B$18)^92))</f>
        <v/>
      </c>
      <c r="DC43" s="7">
        <f>IF(A43="","",IF((A43+93)&gt;Model!$B$4,0,MAX(0,Model!$B$6-IF((A43+93)&gt;=Model!$B$11,Model!$B$20,0)-IF(93&lt;Model!$B$15,Model!$B$22,0))/(1-Model!$B$9)/(1+Model!$B$18)^93))</f>
        <v/>
      </c>
      <c r="DD43" s="7">
        <f>IF(A43="","",IF((A43+94)&gt;Model!$B$4,0,MAX(0,Model!$B$6-IF((A43+94)&gt;=Model!$B$11,Model!$B$20,0)-IF(94&lt;Model!$B$15,Model!$B$22,0))/(1-Model!$B$9)/(1+Model!$B$18)^94))</f>
        <v/>
      </c>
      <c r="DE43" s="7">
        <f>IF(A43="","",IF((A43+95)&gt;Model!$B$4,0,MAX(0,Model!$B$6-IF((A43+95)&gt;=Model!$B$11,Model!$B$20,0)-IF(95&lt;Model!$B$15,Model!$B$22,0))/(1-Model!$B$9)/(1+Model!$B$18)^95))</f>
        <v/>
      </c>
      <c r="DF43" s="7">
        <f>IF(A43="","",IF((A43+96)&gt;Model!$B$4,0,MAX(0,Model!$B$6-IF((A43+96)&gt;=Model!$B$11,Model!$B$20,0)-IF(96&lt;Model!$B$15,Model!$B$22,0))/(1-Model!$B$9)/(1+Model!$B$18)^96))</f>
        <v/>
      </c>
      <c r="DG43" s="7">
        <f>IF(A43="","",IF((A43+97)&gt;Model!$B$4,0,MAX(0,Model!$B$6-IF((A43+97)&gt;=Model!$B$11,Model!$B$20,0)-IF(97&lt;Model!$B$15,Model!$B$22,0))/(1-Model!$B$9)/(1+Model!$B$18)^97))</f>
        <v/>
      </c>
      <c r="DH43" s="7">
        <f>IF(A43="","",IF((A43+98)&gt;Model!$B$4,0,MAX(0,Model!$B$6-IF((A43+98)&gt;=Model!$B$11,Model!$B$20,0)-IF(98&lt;Model!$B$15,Model!$B$22,0))/(1-Model!$B$9)/(1+Model!$B$18)^98))</f>
        <v/>
      </c>
      <c r="DI43" s="7">
        <f>IF(A43="","",IF((A43+99)&gt;Model!$B$4,0,MAX(0,Model!$B$6-IF((A43+99)&gt;=Model!$B$11,Model!$B$20,0)-IF(99&lt;Model!$B$15,Model!$B$22,0))/(1-Model!$B$9)/(1+Model!$B$18)^99))</f>
        <v/>
      </c>
      <c r="DJ43" s="7">
        <f>IF(A43="","",IF((A43+100)&gt;Model!$B$4,0,MAX(0,Model!$B$6-IF((A43+100)&gt;=Model!$B$11,Model!$B$20,0)-IF(100&lt;Model!$B$15,Model!$B$22,0))/(1-Model!$B$9)/(1+Model!$B$18)^100))</f>
        <v/>
      </c>
      <c r="DK43" s="7">
        <f>IF(A43="","",IF((A43+101)&gt;Model!$B$4,0,MAX(0,Model!$B$6-IF((A43+101)&gt;=Model!$B$11,Model!$B$20,0)-IF(101&lt;Model!$B$15,Model!$B$22,0))/(1-Model!$B$9)/(1+Model!$B$18)^101))</f>
        <v/>
      </c>
      <c r="DL43" s="7">
        <f>IF(A43="","",IF((A43+102)&gt;Model!$B$4,0,MAX(0,Model!$B$6-IF((A43+102)&gt;=Model!$B$11,Model!$B$20,0)-IF(102&lt;Model!$B$15,Model!$B$22,0))/(1-Model!$B$9)/(1+Model!$B$18)^102))</f>
        <v/>
      </c>
      <c r="DM43" s="7">
        <f>IF(A43="","",IF((A43+103)&gt;Model!$B$4,0,MAX(0,Model!$B$6-IF((A43+103)&gt;=Model!$B$11,Model!$B$20,0)-IF(103&lt;Model!$B$15,Model!$B$22,0))/(1-Model!$B$9)/(1+Model!$B$18)^103))</f>
        <v/>
      </c>
      <c r="DN43" s="7">
        <f>IF(A43="","",IF((A43+104)&gt;Model!$B$4,0,MAX(0,Model!$B$6-IF((A43+104)&gt;=Model!$B$11,Model!$B$20,0)-IF(104&lt;Model!$B$15,Model!$B$22,0))/(1-Model!$B$9)/(1+Model!$B$18)^104))</f>
        <v/>
      </c>
      <c r="DO43" s="7">
        <f>IF(A43="","",IF((A43+105)&gt;Model!$B$4,0,MAX(0,Model!$B$6-IF((A43+105)&gt;=Model!$B$11,Model!$B$20,0)-IF(105&lt;Model!$B$15,Model!$B$22,0))/(1-Model!$B$9)/(1+Model!$B$18)^105))</f>
        <v/>
      </c>
      <c r="DP43" s="7">
        <f>IF(A43="","",IF((A43+106)&gt;Model!$B$4,0,MAX(0,Model!$B$6-IF((A43+106)&gt;=Model!$B$11,Model!$B$20,0)-IF(106&lt;Model!$B$15,Model!$B$22,0))/(1-Model!$B$9)/(1+Model!$B$18)^106))</f>
        <v/>
      </c>
      <c r="DQ43" s="7">
        <f>IF(A43="","",IF((A43+107)&gt;Model!$B$4,0,MAX(0,Model!$B$6-IF((A43+107)&gt;=Model!$B$11,Model!$B$20,0)-IF(107&lt;Model!$B$15,Model!$B$22,0))/(1-Model!$B$9)/(1+Model!$B$18)^107))</f>
        <v/>
      </c>
      <c r="DR43" s="7">
        <f>IF(A43="","",IF((A43+108)&gt;Model!$B$4,0,MAX(0,Model!$B$6-IF((A43+108)&gt;=Model!$B$11,Model!$B$20,0)-IF(108&lt;Model!$B$15,Model!$B$22,0))/(1-Model!$B$9)/(1+Model!$B$18)^108))</f>
        <v/>
      </c>
      <c r="DS43" s="7">
        <f>IF(A43="","",IF((A43+109)&gt;Model!$B$4,0,MAX(0,Model!$B$6-IF((A43+109)&gt;=Model!$B$11,Model!$B$20,0)-IF(109&lt;Model!$B$15,Model!$B$22,0))/(1-Model!$B$9)/(1+Model!$B$18)^109))</f>
        <v/>
      </c>
      <c r="DT43" s="7">
        <f>IF(A43="","",IF((A43+110)&gt;Model!$B$4,0,MAX(0,Model!$B$6-IF((A43+110)&gt;=Model!$B$11,Model!$B$20,0)-IF(110&lt;Model!$B$15,Model!$B$22,0))/(1-Model!$B$9)/(1+Model!$B$18)^110))</f>
        <v/>
      </c>
      <c r="DU43" s="7">
        <f>IF(A43="","",IF((A43+111)&gt;Model!$B$4,0,MAX(0,Model!$B$6-IF((A43+111)&gt;=Model!$B$11,Model!$B$20,0)-IF(111&lt;Model!$B$15,Model!$B$22,0))/(1-Model!$B$9)/(1+Model!$B$18)^111))</f>
        <v/>
      </c>
      <c r="DV43" s="7">
        <f>IF(A43="","",IF((A43+112)&gt;Model!$B$4,0,MAX(0,Model!$B$6-IF((A43+112)&gt;=Model!$B$11,Model!$B$20,0)-IF(112&lt;Model!$B$15,Model!$B$22,0))/(1-Model!$B$9)/(1+Model!$B$18)^112))</f>
        <v/>
      </c>
      <c r="DW43" s="7">
        <f>IF(A43="","",IF((A43+113)&gt;Model!$B$4,0,MAX(0,Model!$B$6-IF((A43+113)&gt;=Model!$B$11,Model!$B$20,0)-IF(113&lt;Model!$B$15,Model!$B$22,0))/(1-Model!$B$9)/(1+Model!$B$18)^113))</f>
        <v/>
      </c>
      <c r="DX43" s="7">
        <f>IF(A43="","",IF((A43+114)&gt;Model!$B$4,0,MAX(0,Model!$B$6-IF((A43+114)&gt;=Model!$B$11,Model!$B$20,0)-IF(114&lt;Model!$B$15,Model!$B$22,0))/(1-Model!$B$9)/(1+Model!$B$18)^114))</f>
        <v/>
      </c>
      <c r="DY43" s="7">
        <f>IF(A43="","",IF((A43+115)&gt;Model!$B$4,0,MAX(0,Model!$B$6-IF((A43+115)&gt;=Model!$B$11,Model!$B$20,0)-IF(115&lt;Model!$B$15,Model!$B$22,0))/(1-Model!$B$9)/(1+Model!$B$18)^115))</f>
        <v/>
      </c>
      <c r="DZ43" s="7">
        <f>IF(A43="","",IF((A43+116)&gt;Model!$B$4,0,MAX(0,Model!$B$6-IF((A43+116)&gt;=Model!$B$11,Model!$B$20,0)-IF(116&lt;Model!$B$15,Model!$B$22,0))/(1-Model!$B$9)/(1+Model!$B$18)^116))</f>
        <v/>
      </c>
      <c r="EA43" s="7">
        <f>IF(A43="","",IF((A43+117)&gt;Model!$B$4,0,MAX(0,Model!$B$6-IF((A43+117)&gt;=Model!$B$11,Model!$B$20,0)-IF(117&lt;Model!$B$15,Model!$B$22,0))/(1-Model!$B$9)/(1+Model!$B$18)^117))</f>
        <v/>
      </c>
      <c r="EB43" s="7">
        <f>IF(A43="","",IF((A43+118)&gt;Model!$B$4,0,MAX(0,Model!$B$6-IF((A43+118)&gt;=Model!$B$11,Model!$B$20,0)-IF(118&lt;Model!$B$15,Model!$B$22,0))/(1-Model!$B$9)/(1+Model!$B$18)^118))</f>
        <v/>
      </c>
      <c r="EC43" s="7">
        <f>IF(A43="","",IF((A43+119)&gt;Model!$B$4,0,MAX(0,Model!$B$6-IF((A43+119)&gt;=Model!$B$11,Model!$B$20,0)-IF(119&lt;Model!$B$15,Model!$B$22,0))/(1-Model!$B$9)/(1+Model!$B$18)^119))</f>
        <v/>
      </c>
      <c r="ED43" s="7">
        <f>IF(A43="","",IF((A43+120)&gt;Model!$B$4,0,MAX(0,Model!$B$6-IF((A43+120)&gt;=Model!$B$11,Model!$B$20,0)-IF(120&lt;Model!$B$15,Model!$B$22,0))/(1-Model!$B$9)/(1+Model!$B$18)^120))</f>
        <v/>
      </c>
    </row>
    <row r="44">
      <c r="A44">
        <f>IF(Model!$B$10+ROW()-2&lt;=Model!$B$4,Model!$B$10+ROW()-2,"")</f>
        <v/>
      </c>
      <c r="B44">
        <f>IF(A44="","",A44-Model!$B$10)</f>
        <v/>
      </c>
      <c r="C44" s="7">
        <f>IF(A44="","",Model!$B$5*(1+Model!$B$18)^B44)</f>
        <v/>
      </c>
      <c r="D44" s="7">
        <f>IF(A44="","",SUM(N44:ED44))</f>
        <v/>
      </c>
      <c r="E44" s="7">
        <f>IF(A44="","",IF(A44&gt;=Model!$B$11,Model!$B$20,0))</f>
        <v/>
      </c>
      <c r="F44" s="7">
        <f>IF(A44="","",IF(Model!$B$15&gt;0,Model!$B$22,0))</f>
        <v/>
      </c>
      <c r="G44" s="7">
        <f>IF(A44="","",E44+F44)</f>
        <v/>
      </c>
      <c r="H44" s="7">
        <f>IF(A44="","",MAX(0,Model!$B$6-G44))</f>
        <v/>
      </c>
      <c r="I44" s="7">
        <f>IF(A44="","",H44/(1-Model!$B$9))</f>
        <v/>
      </c>
      <c r="J44" s="7">
        <f>IF(A44="","",C44-D44)</f>
        <v/>
      </c>
      <c r="K44">
        <f>IF(A44="","",C44&gt;=D44)</f>
        <v/>
      </c>
      <c r="L44" s="7">
        <f>IF(A44="","",IF(A44&gt;=Model!$B$11,Model!$B$19*(1+Model!$B$13)^B44,0))</f>
        <v/>
      </c>
      <c r="M44" s="7">
        <f>IF(A44="","",IF(Model!$B$15&gt;0,Model!$B$21*(1+Model!$B$13)^B44,0))</f>
        <v/>
      </c>
      <c r="N44" s="7">
        <f>IF(A44="","",IF((A44+0)&gt;Model!$B$4,0,MAX(0,Model!$B$6-IF((A44+0)&gt;=Model!$B$11,Model!$B$20,0)-IF(0&lt;Model!$B$15,Model!$B$22,0))/(1-Model!$B$9)/(1+Model!$B$18)^0))</f>
        <v/>
      </c>
      <c r="O44" s="7">
        <f>IF(A44="","",IF((A44+1)&gt;Model!$B$4,0,MAX(0,Model!$B$6-IF((A44+1)&gt;=Model!$B$11,Model!$B$20,0)-IF(1&lt;Model!$B$15,Model!$B$22,0))/(1-Model!$B$9)/(1+Model!$B$18)^1))</f>
        <v/>
      </c>
      <c r="P44" s="7">
        <f>IF(A44="","",IF((A44+2)&gt;Model!$B$4,0,MAX(0,Model!$B$6-IF((A44+2)&gt;=Model!$B$11,Model!$B$20,0)-IF(2&lt;Model!$B$15,Model!$B$22,0))/(1-Model!$B$9)/(1+Model!$B$18)^2))</f>
        <v/>
      </c>
      <c r="Q44" s="7">
        <f>IF(A44="","",IF((A44+3)&gt;Model!$B$4,0,MAX(0,Model!$B$6-IF((A44+3)&gt;=Model!$B$11,Model!$B$20,0)-IF(3&lt;Model!$B$15,Model!$B$22,0))/(1-Model!$B$9)/(1+Model!$B$18)^3))</f>
        <v/>
      </c>
      <c r="R44" s="7">
        <f>IF(A44="","",IF((A44+4)&gt;Model!$B$4,0,MAX(0,Model!$B$6-IF((A44+4)&gt;=Model!$B$11,Model!$B$20,0)-IF(4&lt;Model!$B$15,Model!$B$22,0))/(1-Model!$B$9)/(1+Model!$B$18)^4))</f>
        <v/>
      </c>
      <c r="S44" s="7">
        <f>IF(A44="","",IF((A44+5)&gt;Model!$B$4,0,MAX(0,Model!$B$6-IF((A44+5)&gt;=Model!$B$11,Model!$B$20,0)-IF(5&lt;Model!$B$15,Model!$B$22,0))/(1-Model!$B$9)/(1+Model!$B$18)^5))</f>
        <v/>
      </c>
      <c r="T44" s="7">
        <f>IF(A44="","",IF((A44+6)&gt;Model!$B$4,0,MAX(0,Model!$B$6-IF((A44+6)&gt;=Model!$B$11,Model!$B$20,0)-IF(6&lt;Model!$B$15,Model!$B$22,0))/(1-Model!$B$9)/(1+Model!$B$18)^6))</f>
        <v/>
      </c>
      <c r="U44" s="7">
        <f>IF(A44="","",IF((A44+7)&gt;Model!$B$4,0,MAX(0,Model!$B$6-IF((A44+7)&gt;=Model!$B$11,Model!$B$20,0)-IF(7&lt;Model!$B$15,Model!$B$22,0))/(1-Model!$B$9)/(1+Model!$B$18)^7))</f>
        <v/>
      </c>
      <c r="V44" s="7">
        <f>IF(A44="","",IF((A44+8)&gt;Model!$B$4,0,MAX(0,Model!$B$6-IF((A44+8)&gt;=Model!$B$11,Model!$B$20,0)-IF(8&lt;Model!$B$15,Model!$B$22,0))/(1-Model!$B$9)/(1+Model!$B$18)^8))</f>
        <v/>
      </c>
      <c r="W44" s="7">
        <f>IF(A44="","",IF((A44+9)&gt;Model!$B$4,0,MAX(0,Model!$B$6-IF((A44+9)&gt;=Model!$B$11,Model!$B$20,0)-IF(9&lt;Model!$B$15,Model!$B$22,0))/(1-Model!$B$9)/(1+Model!$B$18)^9))</f>
        <v/>
      </c>
      <c r="X44" s="7">
        <f>IF(A44="","",IF((A44+10)&gt;Model!$B$4,0,MAX(0,Model!$B$6-IF((A44+10)&gt;=Model!$B$11,Model!$B$20,0)-IF(10&lt;Model!$B$15,Model!$B$22,0))/(1-Model!$B$9)/(1+Model!$B$18)^10))</f>
        <v/>
      </c>
      <c r="Y44" s="7">
        <f>IF(A44="","",IF((A44+11)&gt;Model!$B$4,0,MAX(0,Model!$B$6-IF((A44+11)&gt;=Model!$B$11,Model!$B$20,0)-IF(11&lt;Model!$B$15,Model!$B$22,0))/(1-Model!$B$9)/(1+Model!$B$18)^11))</f>
        <v/>
      </c>
      <c r="Z44" s="7">
        <f>IF(A44="","",IF((A44+12)&gt;Model!$B$4,0,MAX(0,Model!$B$6-IF((A44+12)&gt;=Model!$B$11,Model!$B$20,0)-IF(12&lt;Model!$B$15,Model!$B$22,0))/(1-Model!$B$9)/(1+Model!$B$18)^12))</f>
        <v/>
      </c>
      <c r="AA44" s="7">
        <f>IF(A44="","",IF((A44+13)&gt;Model!$B$4,0,MAX(0,Model!$B$6-IF((A44+13)&gt;=Model!$B$11,Model!$B$20,0)-IF(13&lt;Model!$B$15,Model!$B$22,0))/(1-Model!$B$9)/(1+Model!$B$18)^13))</f>
        <v/>
      </c>
      <c r="AB44" s="7">
        <f>IF(A44="","",IF((A44+14)&gt;Model!$B$4,0,MAX(0,Model!$B$6-IF((A44+14)&gt;=Model!$B$11,Model!$B$20,0)-IF(14&lt;Model!$B$15,Model!$B$22,0))/(1-Model!$B$9)/(1+Model!$B$18)^14))</f>
        <v/>
      </c>
      <c r="AC44" s="7">
        <f>IF(A44="","",IF((A44+15)&gt;Model!$B$4,0,MAX(0,Model!$B$6-IF((A44+15)&gt;=Model!$B$11,Model!$B$20,0)-IF(15&lt;Model!$B$15,Model!$B$22,0))/(1-Model!$B$9)/(1+Model!$B$18)^15))</f>
        <v/>
      </c>
      <c r="AD44" s="7">
        <f>IF(A44="","",IF((A44+16)&gt;Model!$B$4,0,MAX(0,Model!$B$6-IF((A44+16)&gt;=Model!$B$11,Model!$B$20,0)-IF(16&lt;Model!$B$15,Model!$B$22,0))/(1-Model!$B$9)/(1+Model!$B$18)^16))</f>
        <v/>
      </c>
      <c r="AE44" s="7">
        <f>IF(A44="","",IF((A44+17)&gt;Model!$B$4,0,MAX(0,Model!$B$6-IF((A44+17)&gt;=Model!$B$11,Model!$B$20,0)-IF(17&lt;Model!$B$15,Model!$B$22,0))/(1-Model!$B$9)/(1+Model!$B$18)^17))</f>
        <v/>
      </c>
      <c r="AF44" s="7">
        <f>IF(A44="","",IF((A44+18)&gt;Model!$B$4,0,MAX(0,Model!$B$6-IF((A44+18)&gt;=Model!$B$11,Model!$B$20,0)-IF(18&lt;Model!$B$15,Model!$B$22,0))/(1-Model!$B$9)/(1+Model!$B$18)^18))</f>
        <v/>
      </c>
      <c r="AG44" s="7">
        <f>IF(A44="","",IF((A44+19)&gt;Model!$B$4,0,MAX(0,Model!$B$6-IF((A44+19)&gt;=Model!$B$11,Model!$B$20,0)-IF(19&lt;Model!$B$15,Model!$B$22,0))/(1-Model!$B$9)/(1+Model!$B$18)^19))</f>
        <v/>
      </c>
      <c r="AH44" s="7">
        <f>IF(A44="","",IF((A44+20)&gt;Model!$B$4,0,MAX(0,Model!$B$6-IF((A44+20)&gt;=Model!$B$11,Model!$B$20,0)-IF(20&lt;Model!$B$15,Model!$B$22,0))/(1-Model!$B$9)/(1+Model!$B$18)^20))</f>
        <v/>
      </c>
      <c r="AI44" s="7">
        <f>IF(A44="","",IF((A44+21)&gt;Model!$B$4,0,MAX(0,Model!$B$6-IF((A44+21)&gt;=Model!$B$11,Model!$B$20,0)-IF(21&lt;Model!$B$15,Model!$B$22,0))/(1-Model!$B$9)/(1+Model!$B$18)^21))</f>
        <v/>
      </c>
      <c r="AJ44" s="7">
        <f>IF(A44="","",IF((A44+22)&gt;Model!$B$4,0,MAX(0,Model!$B$6-IF((A44+22)&gt;=Model!$B$11,Model!$B$20,0)-IF(22&lt;Model!$B$15,Model!$B$22,0))/(1-Model!$B$9)/(1+Model!$B$18)^22))</f>
        <v/>
      </c>
      <c r="AK44" s="7">
        <f>IF(A44="","",IF((A44+23)&gt;Model!$B$4,0,MAX(0,Model!$B$6-IF((A44+23)&gt;=Model!$B$11,Model!$B$20,0)-IF(23&lt;Model!$B$15,Model!$B$22,0))/(1-Model!$B$9)/(1+Model!$B$18)^23))</f>
        <v/>
      </c>
      <c r="AL44" s="7">
        <f>IF(A44="","",IF((A44+24)&gt;Model!$B$4,0,MAX(0,Model!$B$6-IF((A44+24)&gt;=Model!$B$11,Model!$B$20,0)-IF(24&lt;Model!$B$15,Model!$B$22,0))/(1-Model!$B$9)/(1+Model!$B$18)^24))</f>
        <v/>
      </c>
      <c r="AM44" s="7">
        <f>IF(A44="","",IF((A44+25)&gt;Model!$B$4,0,MAX(0,Model!$B$6-IF((A44+25)&gt;=Model!$B$11,Model!$B$20,0)-IF(25&lt;Model!$B$15,Model!$B$22,0))/(1-Model!$B$9)/(1+Model!$B$18)^25))</f>
        <v/>
      </c>
      <c r="AN44" s="7">
        <f>IF(A44="","",IF((A44+26)&gt;Model!$B$4,0,MAX(0,Model!$B$6-IF((A44+26)&gt;=Model!$B$11,Model!$B$20,0)-IF(26&lt;Model!$B$15,Model!$B$22,0))/(1-Model!$B$9)/(1+Model!$B$18)^26))</f>
        <v/>
      </c>
      <c r="AO44" s="7">
        <f>IF(A44="","",IF((A44+27)&gt;Model!$B$4,0,MAX(0,Model!$B$6-IF((A44+27)&gt;=Model!$B$11,Model!$B$20,0)-IF(27&lt;Model!$B$15,Model!$B$22,0))/(1-Model!$B$9)/(1+Model!$B$18)^27))</f>
        <v/>
      </c>
      <c r="AP44" s="7">
        <f>IF(A44="","",IF((A44+28)&gt;Model!$B$4,0,MAX(0,Model!$B$6-IF((A44+28)&gt;=Model!$B$11,Model!$B$20,0)-IF(28&lt;Model!$B$15,Model!$B$22,0))/(1-Model!$B$9)/(1+Model!$B$18)^28))</f>
        <v/>
      </c>
      <c r="AQ44" s="7">
        <f>IF(A44="","",IF((A44+29)&gt;Model!$B$4,0,MAX(0,Model!$B$6-IF((A44+29)&gt;=Model!$B$11,Model!$B$20,0)-IF(29&lt;Model!$B$15,Model!$B$22,0))/(1-Model!$B$9)/(1+Model!$B$18)^29))</f>
        <v/>
      </c>
      <c r="AR44" s="7">
        <f>IF(A44="","",IF((A44+30)&gt;Model!$B$4,0,MAX(0,Model!$B$6-IF((A44+30)&gt;=Model!$B$11,Model!$B$20,0)-IF(30&lt;Model!$B$15,Model!$B$22,0))/(1-Model!$B$9)/(1+Model!$B$18)^30))</f>
        <v/>
      </c>
      <c r="AS44" s="7">
        <f>IF(A44="","",IF((A44+31)&gt;Model!$B$4,0,MAX(0,Model!$B$6-IF((A44+31)&gt;=Model!$B$11,Model!$B$20,0)-IF(31&lt;Model!$B$15,Model!$B$22,0))/(1-Model!$B$9)/(1+Model!$B$18)^31))</f>
        <v/>
      </c>
      <c r="AT44" s="7">
        <f>IF(A44="","",IF((A44+32)&gt;Model!$B$4,0,MAX(0,Model!$B$6-IF((A44+32)&gt;=Model!$B$11,Model!$B$20,0)-IF(32&lt;Model!$B$15,Model!$B$22,0))/(1-Model!$B$9)/(1+Model!$B$18)^32))</f>
        <v/>
      </c>
      <c r="AU44" s="7">
        <f>IF(A44="","",IF((A44+33)&gt;Model!$B$4,0,MAX(0,Model!$B$6-IF((A44+33)&gt;=Model!$B$11,Model!$B$20,0)-IF(33&lt;Model!$B$15,Model!$B$22,0))/(1-Model!$B$9)/(1+Model!$B$18)^33))</f>
        <v/>
      </c>
      <c r="AV44" s="7">
        <f>IF(A44="","",IF((A44+34)&gt;Model!$B$4,0,MAX(0,Model!$B$6-IF((A44+34)&gt;=Model!$B$11,Model!$B$20,0)-IF(34&lt;Model!$B$15,Model!$B$22,0))/(1-Model!$B$9)/(1+Model!$B$18)^34))</f>
        <v/>
      </c>
      <c r="AW44" s="7">
        <f>IF(A44="","",IF((A44+35)&gt;Model!$B$4,0,MAX(0,Model!$B$6-IF((A44+35)&gt;=Model!$B$11,Model!$B$20,0)-IF(35&lt;Model!$B$15,Model!$B$22,0))/(1-Model!$B$9)/(1+Model!$B$18)^35))</f>
        <v/>
      </c>
      <c r="AX44" s="7">
        <f>IF(A44="","",IF((A44+36)&gt;Model!$B$4,0,MAX(0,Model!$B$6-IF((A44+36)&gt;=Model!$B$11,Model!$B$20,0)-IF(36&lt;Model!$B$15,Model!$B$22,0))/(1-Model!$B$9)/(1+Model!$B$18)^36))</f>
        <v/>
      </c>
      <c r="AY44" s="7">
        <f>IF(A44="","",IF((A44+37)&gt;Model!$B$4,0,MAX(0,Model!$B$6-IF((A44+37)&gt;=Model!$B$11,Model!$B$20,0)-IF(37&lt;Model!$B$15,Model!$B$22,0))/(1-Model!$B$9)/(1+Model!$B$18)^37))</f>
        <v/>
      </c>
      <c r="AZ44" s="7">
        <f>IF(A44="","",IF((A44+38)&gt;Model!$B$4,0,MAX(0,Model!$B$6-IF((A44+38)&gt;=Model!$B$11,Model!$B$20,0)-IF(38&lt;Model!$B$15,Model!$B$22,0))/(1-Model!$B$9)/(1+Model!$B$18)^38))</f>
        <v/>
      </c>
      <c r="BA44" s="7">
        <f>IF(A44="","",IF((A44+39)&gt;Model!$B$4,0,MAX(0,Model!$B$6-IF((A44+39)&gt;=Model!$B$11,Model!$B$20,0)-IF(39&lt;Model!$B$15,Model!$B$22,0))/(1-Model!$B$9)/(1+Model!$B$18)^39))</f>
        <v/>
      </c>
      <c r="BB44" s="7">
        <f>IF(A44="","",IF((A44+40)&gt;Model!$B$4,0,MAX(0,Model!$B$6-IF((A44+40)&gt;=Model!$B$11,Model!$B$20,0)-IF(40&lt;Model!$B$15,Model!$B$22,0))/(1-Model!$B$9)/(1+Model!$B$18)^40))</f>
        <v/>
      </c>
      <c r="BC44" s="7">
        <f>IF(A44="","",IF((A44+41)&gt;Model!$B$4,0,MAX(0,Model!$B$6-IF((A44+41)&gt;=Model!$B$11,Model!$B$20,0)-IF(41&lt;Model!$B$15,Model!$B$22,0))/(1-Model!$B$9)/(1+Model!$B$18)^41))</f>
        <v/>
      </c>
      <c r="BD44" s="7">
        <f>IF(A44="","",IF((A44+42)&gt;Model!$B$4,0,MAX(0,Model!$B$6-IF((A44+42)&gt;=Model!$B$11,Model!$B$20,0)-IF(42&lt;Model!$B$15,Model!$B$22,0))/(1-Model!$B$9)/(1+Model!$B$18)^42))</f>
        <v/>
      </c>
      <c r="BE44" s="7">
        <f>IF(A44="","",IF((A44+43)&gt;Model!$B$4,0,MAX(0,Model!$B$6-IF((A44+43)&gt;=Model!$B$11,Model!$B$20,0)-IF(43&lt;Model!$B$15,Model!$B$22,0))/(1-Model!$B$9)/(1+Model!$B$18)^43))</f>
        <v/>
      </c>
      <c r="BF44" s="7">
        <f>IF(A44="","",IF((A44+44)&gt;Model!$B$4,0,MAX(0,Model!$B$6-IF((A44+44)&gt;=Model!$B$11,Model!$B$20,0)-IF(44&lt;Model!$B$15,Model!$B$22,0))/(1-Model!$B$9)/(1+Model!$B$18)^44))</f>
        <v/>
      </c>
      <c r="BG44" s="7">
        <f>IF(A44="","",IF((A44+45)&gt;Model!$B$4,0,MAX(0,Model!$B$6-IF((A44+45)&gt;=Model!$B$11,Model!$B$20,0)-IF(45&lt;Model!$B$15,Model!$B$22,0))/(1-Model!$B$9)/(1+Model!$B$18)^45))</f>
        <v/>
      </c>
      <c r="BH44" s="7">
        <f>IF(A44="","",IF((A44+46)&gt;Model!$B$4,0,MAX(0,Model!$B$6-IF((A44+46)&gt;=Model!$B$11,Model!$B$20,0)-IF(46&lt;Model!$B$15,Model!$B$22,0))/(1-Model!$B$9)/(1+Model!$B$18)^46))</f>
        <v/>
      </c>
      <c r="BI44" s="7">
        <f>IF(A44="","",IF((A44+47)&gt;Model!$B$4,0,MAX(0,Model!$B$6-IF((A44+47)&gt;=Model!$B$11,Model!$B$20,0)-IF(47&lt;Model!$B$15,Model!$B$22,0))/(1-Model!$B$9)/(1+Model!$B$18)^47))</f>
        <v/>
      </c>
      <c r="BJ44" s="7">
        <f>IF(A44="","",IF((A44+48)&gt;Model!$B$4,0,MAX(0,Model!$B$6-IF((A44+48)&gt;=Model!$B$11,Model!$B$20,0)-IF(48&lt;Model!$B$15,Model!$B$22,0))/(1-Model!$B$9)/(1+Model!$B$18)^48))</f>
        <v/>
      </c>
      <c r="BK44" s="7">
        <f>IF(A44="","",IF((A44+49)&gt;Model!$B$4,0,MAX(0,Model!$B$6-IF((A44+49)&gt;=Model!$B$11,Model!$B$20,0)-IF(49&lt;Model!$B$15,Model!$B$22,0))/(1-Model!$B$9)/(1+Model!$B$18)^49))</f>
        <v/>
      </c>
      <c r="BL44" s="7">
        <f>IF(A44="","",IF((A44+50)&gt;Model!$B$4,0,MAX(0,Model!$B$6-IF((A44+50)&gt;=Model!$B$11,Model!$B$20,0)-IF(50&lt;Model!$B$15,Model!$B$22,0))/(1-Model!$B$9)/(1+Model!$B$18)^50))</f>
        <v/>
      </c>
      <c r="BM44" s="7">
        <f>IF(A44="","",IF((A44+51)&gt;Model!$B$4,0,MAX(0,Model!$B$6-IF((A44+51)&gt;=Model!$B$11,Model!$B$20,0)-IF(51&lt;Model!$B$15,Model!$B$22,0))/(1-Model!$B$9)/(1+Model!$B$18)^51))</f>
        <v/>
      </c>
      <c r="BN44" s="7">
        <f>IF(A44="","",IF((A44+52)&gt;Model!$B$4,0,MAX(0,Model!$B$6-IF((A44+52)&gt;=Model!$B$11,Model!$B$20,0)-IF(52&lt;Model!$B$15,Model!$B$22,0))/(1-Model!$B$9)/(1+Model!$B$18)^52))</f>
        <v/>
      </c>
      <c r="BO44" s="7">
        <f>IF(A44="","",IF((A44+53)&gt;Model!$B$4,0,MAX(0,Model!$B$6-IF((A44+53)&gt;=Model!$B$11,Model!$B$20,0)-IF(53&lt;Model!$B$15,Model!$B$22,0))/(1-Model!$B$9)/(1+Model!$B$18)^53))</f>
        <v/>
      </c>
      <c r="BP44" s="7">
        <f>IF(A44="","",IF((A44+54)&gt;Model!$B$4,0,MAX(0,Model!$B$6-IF((A44+54)&gt;=Model!$B$11,Model!$B$20,0)-IF(54&lt;Model!$B$15,Model!$B$22,0))/(1-Model!$B$9)/(1+Model!$B$18)^54))</f>
        <v/>
      </c>
      <c r="BQ44" s="7">
        <f>IF(A44="","",IF((A44+55)&gt;Model!$B$4,0,MAX(0,Model!$B$6-IF((A44+55)&gt;=Model!$B$11,Model!$B$20,0)-IF(55&lt;Model!$B$15,Model!$B$22,0))/(1-Model!$B$9)/(1+Model!$B$18)^55))</f>
        <v/>
      </c>
      <c r="BR44" s="7">
        <f>IF(A44="","",IF((A44+56)&gt;Model!$B$4,0,MAX(0,Model!$B$6-IF((A44+56)&gt;=Model!$B$11,Model!$B$20,0)-IF(56&lt;Model!$B$15,Model!$B$22,0))/(1-Model!$B$9)/(1+Model!$B$18)^56))</f>
        <v/>
      </c>
      <c r="BS44" s="7">
        <f>IF(A44="","",IF((A44+57)&gt;Model!$B$4,0,MAX(0,Model!$B$6-IF((A44+57)&gt;=Model!$B$11,Model!$B$20,0)-IF(57&lt;Model!$B$15,Model!$B$22,0))/(1-Model!$B$9)/(1+Model!$B$18)^57))</f>
        <v/>
      </c>
      <c r="BT44" s="7">
        <f>IF(A44="","",IF((A44+58)&gt;Model!$B$4,0,MAX(0,Model!$B$6-IF((A44+58)&gt;=Model!$B$11,Model!$B$20,0)-IF(58&lt;Model!$B$15,Model!$B$22,0))/(1-Model!$B$9)/(1+Model!$B$18)^58))</f>
        <v/>
      </c>
      <c r="BU44" s="7">
        <f>IF(A44="","",IF((A44+59)&gt;Model!$B$4,0,MAX(0,Model!$B$6-IF((A44+59)&gt;=Model!$B$11,Model!$B$20,0)-IF(59&lt;Model!$B$15,Model!$B$22,0))/(1-Model!$B$9)/(1+Model!$B$18)^59))</f>
        <v/>
      </c>
      <c r="BV44" s="7">
        <f>IF(A44="","",IF((A44+60)&gt;Model!$B$4,0,MAX(0,Model!$B$6-IF((A44+60)&gt;=Model!$B$11,Model!$B$20,0)-IF(60&lt;Model!$B$15,Model!$B$22,0))/(1-Model!$B$9)/(1+Model!$B$18)^60))</f>
        <v/>
      </c>
      <c r="BW44" s="7">
        <f>IF(A44="","",IF((A44+61)&gt;Model!$B$4,0,MAX(0,Model!$B$6-IF((A44+61)&gt;=Model!$B$11,Model!$B$20,0)-IF(61&lt;Model!$B$15,Model!$B$22,0))/(1-Model!$B$9)/(1+Model!$B$18)^61))</f>
        <v/>
      </c>
      <c r="BX44" s="7">
        <f>IF(A44="","",IF((A44+62)&gt;Model!$B$4,0,MAX(0,Model!$B$6-IF((A44+62)&gt;=Model!$B$11,Model!$B$20,0)-IF(62&lt;Model!$B$15,Model!$B$22,0))/(1-Model!$B$9)/(1+Model!$B$18)^62))</f>
        <v/>
      </c>
      <c r="BY44" s="7">
        <f>IF(A44="","",IF((A44+63)&gt;Model!$B$4,0,MAX(0,Model!$B$6-IF((A44+63)&gt;=Model!$B$11,Model!$B$20,0)-IF(63&lt;Model!$B$15,Model!$B$22,0))/(1-Model!$B$9)/(1+Model!$B$18)^63))</f>
        <v/>
      </c>
      <c r="BZ44" s="7">
        <f>IF(A44="","",IF((A44+64)&gt;Model!$B$4,0,MAX(0,Model!$B$6-IF((A44+64)&gt;=Model!$B$11,Model!$B$20,0)-IF(64&lt;Model!$B$15,Model!$B$22,0))/(1-Model!$B$9)/(1+Model!$B$18)^64))</f>
        <v/>
      </c>
      <c r="CA44" s="7">
        <f>IF(A44="","",IF((A44+65)&gt;Model!$B$4,0,MAX(0,Model!$B$6-IF((A44+65)&gt;=Model!$B$11,Model!$B$20,0)-IF(65&lt;Model!$B$15,Model!$B$22,0))/(1-Model!$B$9)/(1+Model!$B$18)^65))</f>
        <v/>
      </c>
      <c r="CB44" s="7">
        <f>IF(A44="","",IF((A44+66)&gt;Model!$B$4,0,MAX(0,Model!$B$6-IF((A44+66)&gt;=Model!$B$11,Model!$B$20,0)-IF(66&lt;Model!$B$15,Model!$B$22,0))/(1-Model!$B$9)/(1+Model!$B$18)^66))</f>
        <v/>
      </c>
      <c r="CC44" s="7">
        <f>IF(A44="","",IF((A44+67)&gt;Model!$B$4,0,MAX(0,Model!$B$6-IF((A44+67)&gt;=Model!$B$11,Model!$B$20,0)-IF(67&lt;Model!$B$15,Model!$B$22,0))/(1-Model!$B$9)/(1+Model!$B$18)^67))</f>
        <v/>
      </c>
      <c r="CD44" s="7">
        <f>IF(A44="","",IF((A44+68)&gt;Model!$B$4,0,MAX(0,Model!$B$6-IF((A44+68)&gt;=Model!$B$11,Model!$B$20,0)-IF(68&lt;Model!$B$15,Model!$B$22,0))/(1-Model!$B$9)/(1+Model!$B$18)^68))</f>
        <v/>
      </c>
      <c r="CE44" s="7">
        <f>IF(A44="","",IF((A44+69)&gt;Model!$B$4,0,MAX(0,Model!$B$6-IF((A44+69)&gt;=Model!$B$11,Model!$B$20,0)-IF(69&lt;Model!$B$15,Model!$B$22,0))/(1-Model!$B$9)/(1+Model!$B$18)^69))</f>
        <v/>
      </c>
      <c r="CF44" s="7">
        <f>IF(A44="","",IF((A44+70)&gt;Model!$B$4,0,MAX(0,Model!$B$6-IF((A44+70)&gt;=Model!$B$11,Model!$B$20,0)-IF(70&lt;Model!$B$15,Model!$B$22,0))/(1-Model!$B$9)/(1+Model!$B$18)^70))</f>
        <v/>
      </c>
      <c r="CG44" s="7">
        <f>IF(A44="","",IF((A44+71)&gt;Model!$B$4,0,MAX(0,Model!$B$6-IF((A44+71)&gt;=Model!$B$11,Model!$B$20,0)-IF(71&lt;Model!$B$15,Model!$B$22,0))/(1-Model!$B$9)/(1+Model!$B$18)^71))</f>
        <v/>
      </c>
      <c r="CH44" s="7">
        <f>IF(A44="","",IF((A44+72)&gt;Model!$B$4,0,MAX(0,Model!$B$6-IF((A44+72)&gt;=Model!$B$11,Model!$B$20,0)-IF(72&lt;Model!$B$15,Model!$B$22,0))/(1-Model!$B$9)/(1+Model!$B$18)^72))</f>
        <v/>
      </c>
      <c r="CI44" s="7">
        <f>IF(A44="","",IF((A44+73)&gt;Model!$B$4,0,MAX(0,Model!$B$6-IF((A44+73)&gt;=Model!$B$11,Model!$B$20,0)-IF(73&lt;Model!$B$15,Model!$B$22,0))/(1-Model!$B$9)/(1+Model!$B$18)^73))</f>
        <v/>
      </c>
      <c r="CJ44" s="7">
        <f>IF(A44="","",IF((A44+74)&gt;Model!$B$4,0,MAX(0,Model!$B$6-IF((A44+74)&gt;=Model!$B$11,Model!$B$20,0)-IF(74&lt;Model!$B$15,Model!$B$22,0))/(1-Model!$B$9)/(1+Model!$B$18)^74))</f>
        <v/>
      </c>
      <c r="CK44" s="7">
        <f>IF(A44="","",IF((A44+75)&gt;Model!$B$4,0,MAX(0,Model!$B$6-IF((A44+75)&gt;=Model!$B$11,Model!$B$20,0)-IF(75&lt;Model!$B$15,Model!$B$22,0))/(1-Model!$B$9)/(1+Model!$B$18)^75))</f>
        <v/>
      </c>
      <c r="CL44" s="7">
        <f>IF(A44="","",IF((A44+76)&gt;Model!$B$4,0,MAX(0,Model!$B$6-IF((A44+76)&gt;=Model!$B$11,Model!$B$20,0)-IF(76&lt;Model!$B$15,Model!$B$22,0))/(1-Model!$B$9)/(1+Model!$B$18)^76))</f>
        <v/>
      </c>
      <c r="CM44" s="7">
        <f>IF(A44="","",IF((A44+77)&gt;Model!$B$4,0,MAX(0,Model!$B$6-IF((A44+77)&gt;=Model!$B$11,Model!$B$20,0)-IF(77&lt;Model!$B$15,Model!$B$22,0))/(1-Model!$B$9)/(1+Model!$B$18)^77))</f>
        <v/>
      </c>
      <c r="CN44" s="7">
        <f>IF(A44="","",IF((A44+78)&gt;Model!$B$4,0,MAX(0,Model!$B$6-IF((A44+78)&gt;=Model!$B$11,Model!$B$20,0)-IF(78&lt;Model!$B$15,Model!$B$22,0))/(1-Model!$B$9)/(1+Model!$B$18)^78))</f>
        <v/>
      </c>
      <c r="CO44" s="7">
        <f>IF(A44="","",IF((A44+79)&gt;Model!$B$4,0,MAX(0,Model!$B$6-IF((A44+79)&gt;=Model!$B$11,Model!$B$20,0)-IF(79&lt;Model!$B$15,Model!$B$22,0))/(1-Model!$B$9)/(1+Model!$B$18)^79))</f>
        <v/>
      </c>
      <c r="CP44" s="7">
        <f>IF(A44="","",IF((A44+80)&gt;Model!$B$4,0,MAX(0,Model!$B$6-IF((A44+80)&gt;=Model!$B$11,Model!$B$20,0)-IF(80&lt;Model!$B$15,Model!$B$22,0))/(1-Model!$B$9)/(1+Model!$B$18)^80))</f>
        <v/>
      </c>
      <c r="CQ44" s="7">
        <f>IF(A44="","",IF((A44+81)&gt;Model!$B$4,0,MAX(0,Model!$B$6-IF((A44+81)&gt;=Model!$B$11,Model!$B$20,0)-IF(81&lt;Model!$B$15,Model!$B$22,0))/(1-Model!$B$9)/(1+Model!$B$18)^81))</f>
        <v/>
      </c>
      <c r="CR44" s="7">
        <f>IF(A44="","",IF((A44+82)&gt;Model!$B$4,0,MAX(0,Model!$B$6-IF((A44+82)&gt;=Model!$B$11,Model!$B$20,0)-IF(82&lt;Model!$B$15,Model!$B$22,0))/(1-Model!$B$9)/(1+Model!$B$18)^82))</f>
        <v/>
      </c>
      <c r="CS44" s="7">
        <f>IF(A44="","",IF((A44+83)&gt;Model!$B$4,0,MAX(0,Model!$B$6-IF((A44+83)&gt;=Model!$B$11,Model!$B$20,0)-IF(83&lt;Model!$B$15,Model!$B$22,0))/(1-Model!$B$9)/(1+Model!$B$18)^83))</f>
        <v/>
      </c>
      <c r="CT44" s="7">
        <f>IF(A44="","",IF((A44+84)&gt;Model!$B$4,0,MAX(0,Model!$B$6-IF((A44+84)&gt;=Model!$B$11,Model!$B$20,0)-IF(84&lt;Model!$B$15,Model!$B$22,0))/(1-Model!$B$9)/(1+Model!$B$18)^84))</f>
        <v/>
      </c>
      <c r="CU44" s="7">
        <f>IF(A44="","",IF((A44+85)&gt;Model!$B$4,0,MAX(0,Model!$B$6-IF((A44+85)&gt;=Model!$B$11,Model!$B$20,0)-IF(85&lt;Model!$B$15,Model!$B$22,0))/(1-Model!$B$9)/(1+Model!$B$18)^85))</f>
        <v/>
      </c>
      <c r="CV44" s="7">
        <f>IF(A44="","",IF((A44+86)&gt;Model!$B$4,0,MAX(0,Model!$B$6-IF((A44+86)&gt;=Model!$B$11,Model!$B$20,0)-IF(86&lt;Model!$B$15,Model!$B$22,0))/(1-Model!$B$9)/(1+Model!$B$18)^86))</f>
        <v/>
      </c>
      <c r="CW44" s="7">
        <f>IF(A44="","",IF((A44+87)&gt;Model!$B$4,0,MAX(0,Model!$B$6-IF((A44+87)&gt;=Model!$B$11,Model!$B$20,0)-IF(87&lt;Model!$B$15,Model!$B$22,0))/(1-Model!$B$9)/(1+Model!$B$18)^87))</f>
        <v/>
      </c>
      <c r="CX44" s="7">
        <f>IF(A44="","",IF((A44+88)&gt;Model!$B$4,0,MAX(0,Model!$B$6-IF((A44+88)&gt;=Model!$B$11,Model!$B$20,0)-IF(88&lt;Model!$B$15,Model!$B$22,0))/(1-Model!$B$9)/(1+Model!$B$18)^88))</f>
        <v/>
      </c>
      <c r="CY44" s="7">
        <f>IF(A44="","",IF((A44+89)&gt;Model!$B$4,0,MAX(0,Model!$B$6-IF((A44+89)&gt;=Model!$B$11,Model!$B$20,0)-IF(89&lt;Model!$B$15,Model!$B$22,0))/(1-Model!$B$9)/(1+Model!$B$18)^89))</f>
        <v/>
      </c>
      <c r="CZ44" s="7">
        <f>IF(A44="","",IF((A44+90)&gt;Model!$B$4,0,MAX(0,Model!$B$6-IF((A44+90)&gt;=Model!$B$11,Model!$B$20,0)-IF(90&lt;Model!$B$15,Model!$B$22,0))/(1-Model!$B$9)/(1+Model!$B$18)^90))</f>
        <v/>
      </c>
      <c r="DA44" s="7">
        <f>IF(A44="","",IF((A44+91)&gt;Model!$B$4,0,MAX(0,Model!$B$6-IF((A44+91)&gt;=Model!$B$11,Model!$B$20,0)-IF(91&lt;Model!$B$15,Model!$B$22,0))/(1-Model!$B$9)/(1+Model!$B$18)^91))</f>
        <v/>
      </c>
      <c r="DB44" s="7">
        <f>IF(A44="","",IF((A44+92)&gt;Model!$B$4,0,MAX(0,Model!$B$6-IF((A44+92)&gt;=Model!$B$11,Model!$B$20,0)-IF(92&lt;Model!$B$15,Model!$B$22,0))/(1-Model!$B$9)/(1+Model!$B$18)^92))</f>
        <v/>
      </c>
      <c r="DC44" s="7">
        <f>IF(A44="","",IF((A44+93)&gt;Model!$B$4,0,MAX(0,Model!$B$6-IF((A44+93)&gt;=Model!$B$11,Model!$B$20,0)-IF(93&lt;Model!$B$15,Model!$B$22,0))/(1-Model!$B$9)/(1+Model!$B$18)^93))</f>
        <v/>
      </c>
      <c r="DD44" s="7">
        <f>IF(A44="","",IF((A44+94)&gt;Model!$B$4,0,MAX(0,Model!$B$6-IF((A44+94)&gt;=Model!$B$11,Model!$B$20,0)-IF(94&lt;Model!$B$15,Model!$B$22,0))/(1-Model!$B$9)/(1+Model!$B$18)^94))</f>
        <v/>
      </c>
      <c r="DE44" s="7">
        <f>IF(A44="","",IF((A44+95)&gt;Model!$B$4,0,MAX(0,Model!$B$6-IF((A44+95)&gt;=Model!$B$11,Model!$B$20,0)-IF(95&lt;Model!$B$15,Model!$B$22,0))/(1-Model!$B$9)/(1+Model!$B$18)^95))</f>
        <v/>
      </c>
      <c r="DF44" s="7">
        <f>IF(A44="","",IF((A44+96)&gt;Model!$B$4,0,MAX(0,Model!$B$6-IF((A44+96)&gt;=Model!$B$11,Model!$B$20,0)-IF(96&lt;Model!$B$15,Model!$B$22,0))/(1-Model!$B$9)/(1+Model!$B$18)^96))</f>
        <v/>
      </c>
      <c r="DG44" s="7">
        <f>IF(A44="","",IF((A44+97)&gt;Model!$B$4,0,MAX(0,Model!$B$6-IF((A44+97)&gt;=Model!$B$11,Model!$B$20,0)-IF(97&lt;Model!$B$15,Model!$B$22,0))/(1-Model!$B$9)/(1+Model!$B$18)^97))</f>
        <v/>
      </c>
      <c r="DH44" s="7">
        <f>IF(A44="","",IF((A44+98)&gt;Model!$B$4,0,MAX(0,Model!$B$6-IF((A44+98)&gt;=Model!$B$11,Model!$B$20,0)-IF(98&lt;Model!$B$15,Model!$B$22,0))/(1-Model!$B$9)/(1+Model!$B$18)^98))</f>
        <v/>
      </c>
      <c r="DI44" s="7">
        <f>IF(A44="","",IF((A44+99)&gt;Model!$B$4,0,MAX(0,Model!$B$6-IF((A44+99)&gt;=Model!$B$11,Model!$B$20,0)-IF(99&lt;Model!$B$15,Model!$B$22,0))/(1-Model!$B$9)/(1+Model!$B$18)^99))</f>
        <v/>
      </c>
      <c r="DJ44" s="7">
        <f>IF(A44="","",IF((A44+100)&gt;Model!$B$4,0,MAX(0,Model!$B$6-IF((A44+100)&gt;=Model!$B$11,Model!$B$20,0)-IF(100&lt;Model!$B$15,Model!$B$22,0))/(1-Model!$B$9)/(1+Model!$B$18)^100))</f>
        <v/>
      </c>
      <c r="DK44" s="7">
        <f>IF(A44="","",IF((A44+101)&gt;Model!$B$4,0,MAX(0,Model!$B$6-IF((A44+101)&gt;=Model!$B$11,Model!$B$20,0)-IF(101&lt;Model!$B$15,Model!$B$22,0))/(1-Model!$B$9)/(1+Model!$B$18)^101))</f>
        <v/>
      </c>
      <c r="DL44" s="7">
        <f>IF(A44="","",IF((A44+102)&gt;Model!$B$4,0,MAX(0,Model!$B$6-IF((A44+102)&gt;=Model!$B$11,Model!$B$20,0)-IF(102&lt;Model!$B$15,Model!$B$22,0))/(1-Model!$B$9)/(1+Model!$B$18)^102))</f>
        <v/>
      </c>
      <c r="DM44" s="7">
        <f>IF(A44="","",IF((A44+103)&gt;Model!$B$4,0,MAX(0,Model!$B$6-IF((A44+103)&gt;=Model!$B$11,Model!$B$20,0)-IF(103&lt;Model!$B$15,Model!$B$22,0))/(1-Model!$B$9)/(1+Model!$B$18)^103))</f>
        <v/>
      </c>
      <c r="DN44" s="7">
        <f>IF(A44="","",IF((A44+104)&gt;Model!$B$4,0,MAX(0,Model!$B$6-IF((A44+104)&gt;=Model!$B$11,Model!$B$20,0)-IF(104&lt;Model!$B$15,Model!$B$22,0))/(1-Model!$B$9)/(1+Model!$B$18)^104))</f>
        <v/>
      </c>
      <c r="DO44" s="7">
        <f>IF(A44="","",IF((A44+105)&gt;Model!$B$4,0,MAX(0,Model!$B$6-IF((A44+105)&gt;=Model!$B$11,Model!$B$20,0)-IF(105&lt;Model!$B$15,Model!$B$22,0))/(1-Model!$B$9)/(1+Model!$B$18)^105))</f>
        <v/>
      </c>
      <c r="DP44" s="7">
        <f>IF(A44="","",IF((A44+106)&gt;Model!$B$4,0,MAX(0,Model!$B$6-IF((A44+106)&gt;=Model!$B$11,Model!$B$20,0)-IF(106&lt;Model!$B$15,Model!$B$22,0))/(1-Model!$B$9)/(1+Model!$B$18)^106))</f>
        <v/>
      </c>
      <c r="DQ44" s="7">
        <f>IF(A44="","",IF((A44+107)&gt;Model!$B$4,0,MAX(0,Model!$B$6-IF((A44+107)&gt;=Model!$B$11,Model!$B$20,0)-IF(107&lt;Model!$B$15,Model!$B$22,0))/(1-Model!$B$9)/(1+Model!$B$18)^107))</f>
        <v/>
      </c>
      <c r="DR44" s="7">
        <f>IF(A44="","",IF((A44+108)&gt;Model!$B$4,0,MAX(0,Model!$B$6-IF((A44+108)&gt;=Model!$B$11,Model!$B$20,0)-IF(108&lt;Model!$B$15,Model!$B$22,0))/(1-Model!$B$9)/(1+Model!$B$18)^108))</f>
        <v/>
      </c>
      <c r="DS44" s="7">
        <f>IF(A44="","",IF((A44+109)&gt;Model!$B$4,0,MAX(0,Model!$B$6-IF((A44+109)&gt;=Model!$B$11,Model!$B$20,0)-IF(109&lt;Model!$B$15,Model!$B$22,0))/(1-Model!$B$9)/(1+Model!$B$18)^109))</f>
        <v/>
      </c>
      <c r="DT44" s="7">
        <f>IF(A44="","",IF((A44+110)&gt;Model!$B$4,0,MAX(0,Model!$B$6-IF((A44+110)&gt;=Model!$B$11,Model!$B$20,0)-IF(110&lt;Model!$B$15,Model!$B$22,0))/(1-Model!$B$9)/(1+Model!$B$18)^110))</f>
        <v/>
      </c>
      <c r="DU44" s="7">
        <f>IF(A44="","",IF((A44+111)&gt;Model!$B$4,0,MAX(0,Model!$B$6-IF((A44+111)&gt;=Model!$B$11,Model!$B$20,0)-IF(111&lt;Model!$B$15,Model!$B$22,0))/(1-Model!$B$9)/(1+Model!$B$18)^111))</f>
        <v/>
      </c>
      <c r="DV44" s="7">
        <f>IF(A44="","",IF((A44+112)&gt;Model!$B$4,0,MAX(0,Model!$B$6-IF((A44+112)&gt;=Model!$B$11,Model!$B$20,0)-IF(112&lt;Model!$B$15,Model!$B$22,0))/(1-Model!$B$9)/(1+Model!$B$18)^112))</f>
        <v/>
      </c>
      <c r="DW44" s="7">
        <f>IF(A44="","",IF((A44+113)&gt;Model!$B$4,0,MAX(0,Model!$B$6-IF((A44+113)&gt;=Model!$B$11,Model!$B$20,0)-IF(113&lt;Model!$B$15,Model!$B$22,0))/(1-Model!$B$9)/(1+Model!$B$18)^113))</f>
        <v/>
      </c>
      <c r="DX44" s="7">
        <f>IF(A44="","",IF((A44+114)&gt;Model!$B$4,0,MAX(0,Model!$B$6-IF((A44+114)&gt;=Model!$B$11,Model!$B$20,0)-IF(114&lt;Model!$B$15,Model!$B$22,0))/(1-Model!$B$9)/(1+Model!$B$18)^114))</f>
        <v/>
      </c>
      <c r="DY44" s="7">
        <f>IF(A44="","",IF((A44+115)&gt;Model!$B$4,0,MAX(0,Model!$B$6-IF((A44+115)&gt;=Model!$B$11,Model!$B$20,0)-IF(115&lt;Model!$B$15,Model!$B$22,0))/(1-Model!$B$9)/(1+Model!$B$18)^115))</f>
        <v/>
      </c>
      <c r="DZ44" s="7">
        <f>IF(A44="","",IF((A44+116)&gt;Model!$B$4,0,MAX(0,Model!$B$6-IF((A44+116)&gt;=Model!$B$11,Model!$B$20,0)-IF(116&lt;Model!$B$15,Model!$B$22,0))/(1-Model!$B$9)/(1+Model!$B$18)^116))</f>
        <v/>
      </c>
      <c r="EA44" s="7">
        <f>IF(A44="","",IF((A44+117)&gt;Model!$B$4,0,MAX(0,Model!$B$6-IF((A44+117)&gt;=Model!$B$11,Model!$B$20,0)-IF(117&lt;Model!$B$15,Model!$B$22,0))/(1-Model!$B$9)/(1+Model!$B$18)^117))</f>
        <v/>
      </c>
      <c r="EB44" s="7">
        <f>IF(A44="","",IF((A44+118)&gt;Model!$B$4,0,MAX(0,Model!$B$6-IF((A44+118)&gt;=Model!$B$11,Model!$B$20,0)-IF(118&lt;Model!$B$15,Model!$B$22,0))/(1-Model!$B$9)/(1+Model!$B$18)^118))</f>
        <v/>
      </c>
      <c r="EC44" s="7">
        <f>IF(A44="","",IF((A44+119)&gt;Model!$B$4,0,MAX(0,Model!$B$6-IF((A44+119)&gt;=Model!$B$11,Model!$B$20,0)-IF(119&lt;Model!$B$15,Model!$B$22,0))/(1-Model!$B$9)/(1+Model!$B$18)^119))</f>
        <v/>
      </c>
      <c r="ED44" s="7">
        <f>IF(A44="","",IF((A44+120)&gt;Model!$B$4,0,MAX(0,Model!$B$6-IF((A44+120)&gt;=Model!$B$11,Model!$B$20,0)-IF(120&lt;Model!$B$15,Model!$B$22,0))/(1-Model!$B$9)/(1+Model!$B$18)^120))</f>
        <v/>
      </c>
    </row>
    <row r="45">
      <c r="A45">
        <f>IF(Model!$B$10+ROW()-2&lt;=Model!$B$4,Model!$B$10+ROW()-2,"")</f>
        <v/>
      </c>
      <c r="B45">
        <f>IF(A45="","",A45-Model!$B$10)</f>
        <v/>
      </c>
      <c r="C45" s="7">
        <f>IF(A45="","",Model!$B$5*(1+Model!$B$18)^B45)</f>
        <v/>
      </c>
      <c r="D45" s="7">
        <f>IF(A45="","",SUM(N45:ED45))</f>
        <v/>
      </c>
      <c r="E45" s="7">
        <f>IF(A45="","",IF(A45&gt;=Model!$B$11,Model!$B$20,0))</f>
        <v/>
      </c>
      <c r="F45" s="7">
        <f>IF(A45="","",IF(Model!$B$15&gt;0,Model!$B$22,0))</f>
        <v/>
      </c>
      <c r="G45" s="7">
        <f>IF(A45="","",E45+F45)</f>
        <v/>
      </c>
      <c r="H45" s="7">
        <f>IF(A45="","",MAX(0,Model!$B$6-G45))</f>
        <v/>
      </c>
      <c r="I45" s="7">
        <f>IF(A45="","",H45/(1-Model!$B$9))</f>
        <v/>
      </c>
      <c r="J45" s="7">
        <f>IF(A45="","",C45-D45)</f>
        <v/>
      </c>
      <c r="K45">
        <f>IF(A45="","",C45&gt;=D45)</f>
        <v/>
      </c>
      <c r="L45" s="7">
        <f>IF(A45="","",IF(A45&gt;=Model!$B$11,Model!$B$19*(1+Model!$B$13)^B45,0))</f>
        <v/>
      </c>
      <c r="M45" s="7">
        <f>IF(A45="","",IF(Model!$B$15&gt;0,Model!$B$21*(1+Model!$B$13)^B45,0))</f>
        <v/>
      </c>
      <c r="N45" s="7">
        <f>IF(A45="","",IF((A45+0)&gt;Model!$B$4,0,MAX(0,Model!$B$6-IF((A45+0)&gt;=Model!$B$11,Model!$B$20,0)-IF(0&lt;Model!$B$15,Model!$B$22,0))/(1-Model!$B$9)/(1+Model!$B$18)^0))</f>
        <v/>
      </c>
      <c r="O45" s="7">
        <f>IF(A45="","",IF((A45+1)&gt;Model!$B$4,0,MAX(0,Model!$B$6-IF((A45+1)&gt;=Model!$B$11,Model!$B$20,0)-IF(1&lt;Model!$B$15,Model!$B$22,0))/(1-Model!$B$9)/(1+Model!$B$18)^1))</f>
        <v/>
      </c>
      <c r="P45" s="7">
        <f>IF(A45="","",IF((A45+2)&gt;Model!$B$4,0,MAX(0,Model!$B$6-IF((A45+2)&gt;=Model!$B$11,Model!$B$20,0)-IF(2&lt;Model!$B$15,Model!$B$22,0))/(1-Model!$B$9)/(1+Model!$B$18)^2))</f>
        <v/>
      </c>
      <c r="Q45" s="7">
        <f>IF(A45="","",IF((A45+3)&gt;Model!$B$4,0,MAX(0,Model!$B$6-IF((A45+3)&gt;=Model!$B$11,Model!$B$20,0)-IF(3&lt;Model!$B$15,Model!$B$22,0))/(1-Model!$B$9)/(1+Model!$B$18)^3))</f>
        <v/>
      </c>
      <c r="R45" s="7">
        <f>IF(A45="","",IF((A45+4)&gt;Model!$B$4,0,MAX(0,Model!$B$6-IF((A45+4)&gt;=Model!$B$11,Model!$B$20,0)-IF(4&lt;Model!$B$15,Model!$B$22,0))/(1-Model!$B$9)/(1+Model!$B$18)^4))</f>
        <v/>
      </c>
      <c r="S45" s="7">
        <f>IF(A45="","",IF((A45+5)&gt;Model!$B$4,0,MAX(0,Model!$B$6-IF((A45+5)&gt;=Model!$B$11,Model!$B$20,0)-IF(5&lt;Model!$B$15,Model!$B$22,0))/(1-Model!$B$9)/(1+Model!$B$18)^5))</f>
        <v/>
      </c>
      <c r="T45" s="7">
        <f>IF(A45="","",IF((A45+6)&gt;Model!$B$4,0,MAX(0,Model!$B$6-IF((A45+6)&gt;=Model!$B$11,Model!$B$20,0)-IF(6&lt;Model!$B$15,Model!$B$22,0))/(1-Model!$B$9)/(1+Model!$B$18)^6))</f>
        <v/>
      </c>
      <c r="U45" s="7">
        <f>IF(A45="","",IF((A45+7)&gt;Model!$B$4,0,MAX(0,Model!$B$6-IF((A45+7)&gt;=Model!$B$11,Model!$B$20,0)-IF(7&lt;Model!$B$15,Model!$B$22,0))/(1-Model!$B$9)/(1+Model!$B$18)^7))</f>
        <v/>
      </c>
      <c r="V45" s="7">
        <f>IF(A45="","",IF((A45+8)&gt;Model!$B$4,0,MAX(0,Model!$B$6-IF((A45+8)&gt;=Model!$B$11,Model!$B$20,0)-IF(8&lt;Model!$B$15,Model!$B$22,0))/(1-Model!$B$9)/(1+Model!$B$18)^8))</f>
        <v/>
      </c>
      <c r="W45" s="7">
        <f>IF(A45="","",IF((A45+9)&gt;Model!$B$4,0,MAX(0,Model!$B$6-IF((A45+9)&gt;=Model!$B$11,Model!$B$20,0)-IF(9&lt;Model!$B$15,Model!$B$22,0))/(1-Model!$B$9)/(1+Model!$B$18)^9))</f>
        <v/>
      </c>
      <c r="X45" s="7">
        <f>IF(A45="","",IF((A45+10)&gt;Model!$B$4,0,MAX(0,Model!$B$6-IF((A45+10)&gt;=Model!$B$11,Model!$B$20,0)-IF(10&lt;Model!$B$15,Model!$B$22,0))/(1-Model!$B$9)/(1+Model!$B$18)^10))</f>
        <v/>
      </c>
      <c r="Y45" s="7">
        <f>IF(A45="","",IF((A45+11)&gt;Model!$B$4,0,MAX(0,Model!$B$6-IF((A45+11)&gt;=Model!$B$11,Model!$B$20,0)-IF(11&lt;Model!$B$15,Model!$B$22,0))/(1-Model!$B$9)/(1+Model!$B$18)^11))</f>
        <v/>
      </c>
      <c r="Z45" s="7">
        <f>IF(A45="","",IF((A45+12)&gt;Model!$B$4,0,MAX(0,Model!$B$6-IF((A45+12)&gt;=Model!$B$11,Model!$B$20,0)-IF(12&lt;Model!$B$15,Model!$B$22,0))/(1-Model!$B$9)/(1+Model!$B$18)^12))</f>
        <v/>
      </c>
      <c r="AA45" s="7">
        <f>IF(A45="","",IF((A45+13)&gt;Model!$B$4,0,MAX(0,Model!$B$6-IF((A45+13)&gt;=Model!$B$11,Model!$B$20,0)-IF(13&lt;Model!$B$15,Model!$B$22,0))/(1-Model!$B$9)/(1+Model!$B$18)^13))</f>
        <v/>
      </c>
      <c r="AB45" s="7">
        <f>IF(A45="","",IF((A45+14)&gt;Model!$B$4,0,MAX(0,Model!$B$6-IF((A45+14)&gt;=Model!$B$11,Model!$B$20,0)-IF(14&lt;Model!$B$15,Model!$B$22,0))/(1-Model!$B$9)/(1+Model!$B$18)^14))</f>
        <v/>
      </c>
      <c r="AC45" s="7">
        <f>IF(A45="","",IF((A45+15)&gt;Model!$B$4,0,MAX(0,Model!$B$6-IF((A45+15)&gt;=Model!$B$11,Model!$B$20,0)-IF(15&lt;Model!$B$15,Model!$B$22,0))/(1-Model!$B$9)/(1+Model!$B$18)^15))</f>
        <v/>
      </c>
      <c r="AD45" s="7">
        <f>IF(A45="","",IF((A45+16)&gt;Model!$B$4,0,MAX(0,Model!$B$6-IF((A45+16)&gt;=Model!$B$11,Model!$B$20,0)-IF(16&lt;Model!$B$15,Model!$B$22,0))/(1-Model!$B$9)/(1+Model!$B$18)^16))</f>
        <v/>
      </c>
      <c r="AE45" s="7">
        <f>IF(A45="","",IF((A45+17)&gt;Model!$B$4,0,MAX(0,Model!$B$6-IF((A45+17)&gt;=Model!$B$11,Model!$B$20,0)-IF(17&lt;Model!$B$15,Model!$B$22,0))/(1-Model!$B$9)/(1+Model!$B$18)^17))</f>
        <v/>
      </c>
      <c r="AF45" s="7">
        <f>IF(A45="","",IF((A45+18)&gt;Model!$B$4,0,MAX(0,Model!$B$6-IF((A45+18)&gt;=Model!$B$11,Model!$B$20,0)-IF(18&lt;Model!$B$15,Model!$B$22,0))/(1-Model!$B$9)/(1+Model!$B$18)^18))</f>
        <v/>
      </c>
      <c r="AG45" s="7">
        <f>IF(A45="","",IF((A45+19)&gt;Model!$B$4,0,MAX(0,Model!$B$6-IF((A45+19)&gt;=Model!$B$11,Model!$B$20,0)-IF(19&lt;Model!$B$15,Model!$B$22,0))/(1-Model!$B$9)/(1+Model!$B$18)^19))</f>
        <v/>
      </c>
      <c r="AH45" s="7">
        <f>IF(A45="","",IF((A45+20)&gt;Model!$B$4,0,MAX(0,Model!$B$6-IF((A45+20)&gt;=Model!$B$11,Model!$B$20,0)-IF(20&lt;Model!$B$15,Model!$B$22,0))/(1-Model!$B$9)/(1+Model!$B$18)^20))</f>
        <v/>
      </c>
      <c r="AI45" s="7">
        <f>IF(A45="","",IF((A45+21)&gt;Model!$B$4,0,MAX(0,Model!$B$6-IF((A45+21)&gt;=Model!$B$11,Model!$B$20,0)-IF(21&lt;Model!$B$15,Model!$B$22,0))/(1-Model!$B$9)/(1+Model!$B$18)^21))</f>
        <v/>
      </c>
      <c r="AJ45" s="7">
        <f>IF(A45="","",IF((A45+22)&gt;Model!$B$4,0,MAX(0,Model!$B$6-IF((A45+22)&gt;=Model!$B$11,Model!$B$20,0)-IF(22&lt;Model!$B$15,Model!$B$22,0))/(1-Model!$B$9)/(1+Model!$B$18)^22))</f>
        <v/>
      </c>
      <c r="AK45" s="7">
        <f>IF(A45="","",IF((A45+23)&gt;Model!$B$4,0,MAX(0,Model!$B$6-IF((A45+23)&gt;=Model!$B$11,Model!$B$20,0)-IF(23&lt;Model!$B$15,Model!$B$22,0))/(1-Model!$B$9)/(1+Model!$B$18)^23))</f>
        <v/>
      </c>
      <c r="AL45" s="7">
        <f>IF(A45="","",IF((A45+24)&gt;Model!$B$4,0,MAX(0,Model!$B$6-IF((A45+24)&gt;=Model!$B$11,Model!$B$20,0)-IF(24&lt;Model!$B$15,Model!$B$22,0))/(1-Model!$B$9)/(1+Model!$B$18)^24))</f>
        <v/>
      </c>
      <c r="AM45" s="7">
        <f>IF(A45="","",IF((A45+25)&gt;Model!$B$4,0,MAX(0,Model!$B$6-IF((A45+25)&gt;=Model!$B$11,Model!$B$20,0)-IF(25&lt;Model!$B$15,Model!$B$22,0))/(1-Model!$B$9)/(1+Model!$B$18)^25))</f>
        <v/>
      </c>
      <c r="AN45" s="7">
        <f>IF(A45="","",IF((A45+26)&gt;Model!$B$4,0,MAX(0,Model!$B$6-IF((A45+26)&gt;=Model!$B$11,Model!$B$20,0)-IF(26&lt;Model!$B$15,Model!$B$22,0))/(1-Model!$B$9)/(1+Model!$B$18)^26))</f>
        <v/>
      </c>
      <c r="AO45" s="7">
        <f>IF(A45="","",IF((A45+27)&gt;Model!$B$4,0,MAX(0,Model!$B$6-IF((A45+27)&gt;=Model!$B$11,Model!$B$20,0)-IF(27&lt;Model!$B$15,Model!$B$22,0))/(1-Model!$B$9)/(1+Model!$B$18)^27))</f>
        <v/>
      </c>
      <c r="AP45" s="7">
        <f>IF(A45="","",IF((A45+28)&gt;Model!$B$4,0,MAX(0,Model!$B$6-IF((A45+28)&gt;=Model!$B$11,Model!$B$20,0)-IF(28&lt;Model!$B$15,Model!$B$22,0))/(1-Model!$B$9)/(1+Model!$B$18)^28))</f>
        <v/>
      </c>
      <c r="AQ45" s="7">
        <f>IF(A45="","",IF((A45+29)&gt;Model!$B$4,0,MAX(0,Model!$B$6-IF((A45+29)&gt;=Model!$B$11,Model!$B$20,0)-IF(29&lt;Model!$B$15,Model!$B$22,0))/(1-Model!$B$9)/(1+Model!$B$18)^29))</f>
        <v/>
      </c>
      <c r="AR45" s="7">
        <f>IF(A45="","",IF((A45+30)&gt;Model!$B$4,0,MAX(0,Model!$B$6-IF((A45+30)&gt;=Model!$B$11,Model!$B$20,0)-IF(30&lt;Model!$B$15,Model!$B$22,0))/(1-Model!$B$9)/(1+Model!$B$18)^30))</f>
        <v/>
      </c>
      <c r="AS45" s="7">
        <f>IF(A45="","",IF((A45+31)&gt;Model!$B$4,0,MAX(0,Model!$B$6-IF((A45+31)&gt;=Model!$B$11,Model!$B$20,0)-IF(31&lt;Model!$B$15,Model!$B$22,0))/(1-Model!$B$9)/(1+Model!$B$18)^31))</f>
        <v/>
      </c>
      <c r="AT45" s="7">
        <f>IF(A45="","",IF((A45+32)&gt;Model!$B$4,0,MAX(0,Model!$B$6-IF((A45+32)&gt;=Model!$B$11,Model!$B$20,0)-IF(32&lt;Model!$B$15,Model!$B$22,0))/(1-Model!$B$9)/(1+Model!$B$18)^32))</f>
        <v/>
      </c>
      <c r="AU45" s="7">
        <f>IF(A45="","",IF((A45+33)&gt;Model!$B$4,0,MAX(0,Model!$B$6-IF((A45+33)&gt;=Model!$B$11,Model!$B$20,0)-IF(33&lt;Model!$B$15,Model!$B$22,0))/(1-Model!$B$9)/(1+Model!$B$18)^33))</f>
        <v/>
      </c>
      <c r="AV45" s="7">
        <f>IF(A45="","",IF((A45+34)&gt;Model!$B$4,0,MAX(0,Model!$B$6-IF((A45+34)&gt;=Model!$B$11,Model!$B$20,0)-IF(34&lt;Model!$B$15,Model!$B$22,0))/(1-Model!$B$9)/(1+Model!$B$18)^34))</f>
        <v/>
      </c>
      <c r="AW45" s="7">
        <f>IF(A45="","",IF((A45+35)&gt;Model!$B$4,0,MAX(0,Model!$B$6-IF((A45+35)&gt;=Model!$B$11,Model!$B$20,0)-IF(35&lt;Model!$B$15,Model!$B$22,0))/(1-Model!$B$9)/(1+Model!$B$18)^35))</f>
        <v/>
      </c>
      <c r="AX45" s="7">
        <f>IF(A45="","",IF((A45+36)&gt;Model!$B$4,0,MAX(0,Model!$B$6-IF((A45+36)&gt;=Model!$B$11,Model!$B$20,0)-IF(36&lt;Model!$B$15,Model!$B$22,0))/(1-Model!$B$9)/(1+Model!$B$18)^36))</f>
        <v/>
      </c>
      <c r="AY45" s="7">
        <f>IF(A45="","",IF((A45+37)&gt;Model!$B$4,0,MAX(0,Model!$B$6-IF((A45+37)&gt;=Model!$B$11,Model!$B$20,0)-IF(37&lt;Model!$B$15,Model!$B$22,0))/(1-Model!$B$9)/(1+Model!$B$18)^37))</f>
        <v/>
      </c>
      <c r="AZ45" s="7">
        <f>IF(A45="","",IF((A45+38)&gt;Model!$B$4,0,MAX(0,Model!$B$6-IF((A45+38)&gt;=Model!$B$11,Model!$B$20,0)-IF(38&lt;Model!$B$15,Model!$B$22,0))/(1-Model!$B$9)/(1+Model!$B$18)^38))</f>
        <v/>
      </c>
      <c r="BA45" s="7">
        <f>IF(A45="","",IF((A45+39)&gt;Model!$B$4,0,MAX(0,Model!$B$6-IF((A45+39)&gt;=Model!$B$11,Model!$B$20,0)-IF(39&lt;Model!$B$15,Model!$B$22,0))/(1-Model!$B$9)/(1+Model!$B$18)^39))</f>
        <v/>
      </c>
      <c r="BB45" s="7">
        <f>IF(A45="","",IF((A45+40)&gt;Model!$B$4,0,MAX(0,Model!$B$6-IF((A45+40)&gt;=Model!$B$11,Model!$B$20,0)-IF(40&lt;Model!$B$15,Model!$B$22,0))/(1-Model!$B$9)/(1+Model!$B$18)^40))</f>
        <v/>
      </c>
      <c r="BC45" s="7">
        <f>IF(A45="","",IF((A45+41)&gt;Model!$B$4,0,MAX(0,Model!$B$6-IF((A45+41)&gt;=Model!$B$11,Model!$B$20,0)-IF(41&lt;Model!$B$15,Model!$B$22,0))/(1-Model!$B$9)/(1+Model!$B$18)^41))</f>
        <v/>
      </c>
      <c r="BD45" s="7">
        <f>IF(A45="","",IF((A45+42)&gt;Model!$B$4,0,MAX(0,Model!$B$6-IF((A45+42)&gt;=Model!$B$11,Model!$B$20,0)-IF(42&lt;Model!$B$15,Model!$B$22,0))/(1-Model!$B$9)/(1+Model!$B$18)^42))</f>
        <v/>
      </c>
      <c r="BE45" s="7">
        <f>IF(A45="","",IF((A45+43)&gt;Model!$B$4,0,MAX(0,Model!$B$6-IF((A45+43)&gt;=Model!$B$11,Model!$B$20,0)-IF(43&lt;Model!$B$15,Model!$B$22,0))/(1-Model!$B$9)/(1+Model!$B$18)^43))</f>
        <v/>
      </c>
      <c r="BF45" s="7">
        <f>IF(A45="","",IF((A45+44)&gt;Model!$B$4,0,MAX(0,Model!$B$6-IF((A45+44)&gt;=Model!$B$11,Model!$B$20,0)-IF(44&lt;Model!$B$15,Model!$B$22,0))/(1-Model!$B$9)/(1+Model!$B$18)^44))</f>
        <v/>
      </c>
      <c r="BG45" s="7">
        <f>IF(A45="","",IF((A45+45)&gt;Model!$B$4,0,MAX(0,Model!$B$6-IF((A45+45)&gt;=Model!$B$11,Model!$B$20,0)-IF(45&lt;Model!$B$15,Model!$B$22,0))/(1-Model!$B$9)/(1+Model!$B$18)^45))</f>
        <v/>
      </c>
      <c r="BH45" s="7">
        <f>IF(A45="","",IF((A45+46)&gt;Model!$B$4,0,MAX(0,Model!$B$6-IF((A45+46)&gt;=Model!$B$11,Model!$B$20,0)-IF(46&lt;Model!$B$15,Model!$B$22,0))/(1-Model!$B$9)/(1+Model!$B$18)^46))</f>
        <v/>
      </c>
      <c r="BI45" s="7">
        <f>IF(A45="","",IF((A45+47)&gt;Model!$B$4,0,MAX(0,Model!$B$6-IF((A45+47)&gt;=Model!$B$11,Model!$B$20,0)-IF(47&lt;Model!$B$15,Model!$B$22,0))/(1-Model!$B$9)/(1+Model!$B$18)^47))</f>
        <v/>
      </c>
      <c r="BJ45" s="7">
        <f>IF(A45="","",IF((A45+48)&gt;Model!$B$4,0,MAX(0,Model!$B$6-IF((A45+48)&gt;=Model!$B$11,Model!$B$20,0)-IF(48&lt;Model!$B$15,Model!$B$22,0))/(1-Model!$B$9)/(1+Model!$B$18)^48))</f>
        <v/>
      </c>
      <c r="BK45" s="7">
        <f>IF(A45="","",IF((A45+49)&gt;Model!$B$4,0,MAX(0,Model!$B$6-IF((A45+49)&gt;=Model!$B$11,Model!$B$20,0)-IF(49&lt;Model!$B$15,Model!$B$22,0))/(1-Model!$B$9)/(1+Model!$B$18)^49))</f>
        <v/>
      </c>
      <c r="BL45" s="7">
        <f>IF(A45="","",IF((A45+50)&gt;Model!$B$4,0,MAX(0,Model!$B$6-IF((A45+50)&gt;=Model!$B$11,Model!$B$20,0)-IF(50&lt;Model!$B$15,Model!$B$22,0))/(1-Model!$B$9)/(1+Model!$B$18)^50))</f>
        <v/>
      </c>
      <c r="BM45" s="7">
        <f>IF(A45="","",IF((A45+51)&gt;Model!$B$4,0,MAX(0,Model!$B$6-IF((A45+51)&gt;=Model!$B$11,Model!$B$20,0)-IF(51&lt;Model!$B$15,Model!$B$22,0))/(1-Model!$B$9)/(1+Model!$B$18)^51))</f>
        <v/>
      </c>
      <c r="BN45" s="7">
        <f>IF(A45="","",IF((A45+52)&gt;Model!$B$4,0,MAX(0,Model!$B$6-IF((A45+52)&gt;=Model!$B$11,Model!$B$20,0)-IF(52&lt;Model!$B$15,Model!$B$22,0))/(1-Model!$B$9)/(1+Model!$B$18)^52))</f>
        <v/>
      </c>
      <c r="BO45" s="7">
        <f>IF(A45="","",IF((A45+53)&gt;Model!$B$4,0,MAX(0,Model!$B$6-IF((A45+53)&gt;=Model!$B$11,Model!$B$20,0)-IF(53&lt;Model!$B$15,Model!$B$22,0))/(1-Model!$B$9)/(1+Model!$B$18)^53))</f>
        <v/>
      </c>
      <c r="BP45" s="7">
        <f>IF(A45="","",IF((A45+54)&gt;Model!$B$4,0,MAX(0,Model!$B$6-IF((A45+54)&gt;=Model!$B$11,Model!$B$20,0)-IF(54&lt;Model!$B$15,Model!$B$22,0))/(1-Model!$B$9)/(1+Model!$B$18)^54))</f>
        <v/>
      </c>
      <c r="BQ45" s="7">
        <f>IF(A45="","",IF((A45+55)&gt;Model!$B$4,0,MAX(0,Model!$B$6-IF((A45+55)&gt;=Model!$B$11,Model!$B$20,0)-IF(55&lt;Model!$B$15,Model!$B$22,0))/(1-Model!$B$9)/(1+Model!$B$18)^55))</f>
        <v/>
      </c>
      <c r="BR45" s="7">
        <f>IF(A45="","",IF((A45+56)&gt;Model!$B$4,0,MAX(0,Model!$B$6-IF((A45+56)&gt;=Model!$B$11,Model!$B$20,0)-IF(56&lt;Model!$B$15,Model!$B$22,0))/(1-Model!$B$9)/(1+Model!$B$18)^56))</f>
        <v/>
      </c>
      <c r="BS45" s="7">
        <f>IF(A45="","",IF((A45+57)&gt;Model!$B$4,0,MAX(0,Model!$B$6-IF((A45+57)&gt;=Model!$B$11,Model!$B$20,0)-IF(57&lt;Model!$B$15,Model!$B$22,0))/(1-Model!$B$9)/(1+Model!$B$18)^57))</f>
        <v/>
      </c>
      <c r="BT45" s="7">
        <f>IF(A45="","",IF((A45+58)&gt;Model!$B$4,0,MAX(0,Model!$B$6-IF((A45+58)&gt;=Model!$B$11,Model!$B$20,0)-IF(58&lt;Model!$B$15,Model!$B$22,0))/(1-Model!$B$9)/(1+Model!$B$18)^58))</f>
        <v/>
      </c>
      <c r="BU45" s="7">
        <f>IF(A45="","",IF((A45+59)&gt;Model!$B$4,0,MAX(0,Model!$B$6-IF((A45+59)&gt;=Model!$B$11,Model!$B$20,0)-IF(59&lt;Model!$B$15,Model!$B$22,0))/(1-Model!$B$9)/(1+Model!$B$18)^59))</f>
        <v/>
      </c>
      <c r="BV45" s="7">
        <f>IF(A45="","",IF((A45+60)&gt;Model!$B$4,0,MAX(0,Model!$B$6-IF((A45+60)&gt;=Model!$B$11,Model!$B$20,0)-IF(60&lt;Model!$B$15,Model!$B$22,0))/(1-Model!$B$9)/(1+Model!$B$18)^60))</f>
        <v/>
      </c>
      <c r="BW45" s="7">
        <f>IF(A45="","",IF((A45+61)&gt;Model!$B$4,0,MAX(0,Model!$B$6-IF((A45+61)&gt;=Model!$B$11,Model!$B$20,0)-IF(61&lt;Model!$B$15,Model!$B$22,0))/(1-Model!$B$9)/(1+Model!$B$18)^61))</f>
        <v/>
      </c>
      <c r="BX45" s="7">
        <f>IF(A45="","",IF((A45+62)&gt;Model!$B$4,0,MAX(0,Model!$B$6-IF((A45+62)&gt;=Model!$B$11,Model!$B$20,0)-IF(62&lt;Model!$B$15,Model!$B$22,0))/(1-Model!$B$9)/(1+Model!$B$18)^62))</f>
        <v/>
      </c>
      <c r="BY45" s="7">
        <f>IF(A45="","",IF((A45+63)&gt;Model!$B$4,0,MAX(0,Model!$B$6-IF((A45+63)&gt;=Model!$B$11,Model!$B$20,0)-IF(63&lt;Model!$B$15,Model!$B$22,0))/(1-Model!$B$9)/(1+Model!$B$18)^63))</f>
        <v/>
      </c>
      <c r="BZ45" s="7">
        <f>IF(A45="","",IF((A45+64)&gt;Model!$B$4,0,MAX(0,Model!$B$6-IF((A45+64)&gt;=Model!$B$11,Model!$B$20,0)-IF(64&lt;Model!$B$15,Model!$B$22,0))/(1-Model!$B$9)/(1+Model!$B$18)^64))</f>
        <v/>
      </c>
      <c r="CA45" s="7">
        <f>IF(A45="","",IF((A45+65)&gt;Model!$B$4,0,MAX(0,Model!$B$6-IF((A45+65)&gt;=Model!$B$11,Model!$B$20,0)-IF(65&lt;Model!$B$15,Model!$B$22,0))/(1-Model!$B$9)/(1+Model!$B$18)^65))</f>
        <v/>
      </c>
      <c r="CB45" s="7">
        <f>IF(A45="","",IF((A45+66)&gt;Model!$B$4,0,MAX(0,Model!$B$6-IF((A45+66)&gt;=Model!$B$11,Model!$B$20,0)-IF(66&lt;Model!$B$15,Model!$B$22,0))/(1-Model!$B$9)/(1+Model!$B$18)^66))</f>
        <v/>
      </c>
      <c r="CC45" s="7">
        <f>IF(A45="","",IF((A45+67)&gt;Model!$B$4,0,MAX(0,Model!$B$6-IF((A45+67)&gt;=Model!$B$11,Model!$B$20,0)-IF(67&lt;Model!$B$15,Model!$B$22,0))/(1-Model!$B$9)/(1+Model!$B$18)^67))</f>
        <v/>
      </c>
      <c r="CD45" s="7">
        <f>IF(A45="","",IF((A45+68)&gt;Model!$B$4,0,MAX(0,Model!$B$6-IF((A45+68)&gt;=Model!$B$11,Model!$B$20,0)-IF(68&lt;Model!$B$15,Model!$B$22,0))/(1-Model!$B$9)/(1+Model!$B$18)^68))</f>
        <v/>
      </c>
      <c r="CE45" s="7">
        <f>IF(A45="","",IF((A45+69)&gt;Model!$B$4,0,MAX(0,Model!$B$6-IF((A45+69)&gt;=Model!$B$11,Model!$B$20,0)-IF(69&lt;Model!$B$15,Model!$B$22,0))/(1-Model!$B$9)/(1+Model!$B$18)^69))</f>
        <v/>
      </c>
      <c r="CF45" s="7">
        <f>IF(A45="","",IF((A45+70)&gt;Model!$B$4,0,MAX(0,Model!$B$6-IF((A45+70)&gt;=Model!$B$11,Model!$B$20,0)-IF(70&lt;Model!$B$15,Model!$B$22,0))/(1-Model!$B$9)/(1+Model!$B$18)^70))</f>
        <v/>
      </c>
      <c r="CG45" s="7">
        <f>IF(A45="","",IF((A45+71)&gt;Model!$B$4,0,MAX(0,Model!$B$6-IF((A45+71)&gt;=Model!$B$11,Model!$B$20,0)-IF(71&lt;Model!$B$15,Model!$B$22,0))/(1-Model!$B$9)/(1+Model!$B$18)^71))</f>
        <v/>
      </c>
      <c r="CH45" s="7">
        <f>IF(A45="","",IF((A45+72)&gt;Model!$B$4,0,MAX(0,Model!$B$6-IF((A45+72)&gt;=Model!$B$11,Model!$B$20,0)-IF(72&lt;Model!$B$15,Model!$B$22,0))/(1-Model!$B$9)/(1+Model!$B$18)^72))</f>
        <v/>
      </c>
      <c r="CI45" s="7">
        <f>IF(A45="","",IF((A45+73)&gt;Model!$B$4,0,MAX(0,Model!$B$6-IF((A45+73)&gt;=Model!$B$11,Model!$B$20,0)-IF(73&lt;Model!$B$15,Model!$B$22,0))/(1-Model!$B$9)/(1+Model!$B$18)^73))</f>
        <v/>
      </c>
      <c r="CJ45" s="7">
        <f>IF(A45="","",IF((A45+74)&gt;Model!$B$4,0,MAX(0,Model!$B$6-IF((A45+74)&gt;=Model!$B$11,Model!$B$20,0)-IF(74&lt;Model!$B$15,Model!$B$22,0))/(1-Model!$B$9)/(1+Model!$B$18)^74))</f>
        <v/>
      </c>
      <c r="CK45" s="7">
        <f>IF(A45="","",IF((A45+75)&gt;Model!$B$4,0,MAX(0,Model!$B$6-IF((A45+75)&gt;=Model!$B$11,Model!$B$20,0)-IF(75&lt;Model!$B$15,Model!$B$22,0))/(1-Model!$B$9)/(1+Model!$B$18)^75))</f>
        <v/>
      </c>
      <c r="CL45" s="7">
        <f>IF(A45="","",IF((A45+76)&gt;Model!$B$4,0,MAX(0,Model!$B$6-IF((A45+76)&gt;=Model!$B$11,Model!$B$20,0)-IF(76&lt;Model!$B$15,Model!$B$22,0))/(1-Model!$B$9)/(1+Model!$B$18)^76))</f>
        <v/>
      </c>
      <c r="CM45" s="7">
        <f>IF(A45="","",IF((A45+77)&gt;Model!$B$4,0,MAX(0,Model!$B$6-IF((A45+77)&gt;=Model!$B$11,Model!$B$20,0)-IF(77&lt;Model!$B$15,Model!$B$22,0))/(1-Model!$B$9)/(1+Model!$B$18)^77))</f>
        <v/>
      </c>
      <c r="CN45" s="7">
        <f>IF(A45="","",IF((A45+78)&gt;Model!$B$4,0,MAX(0,Model!$B$6-IF((A45+78)&gt;=Model!$B$11,Model!$B$20,0)-IF(78&lt;Model!$B$15,Model!$B$22,0))/(1-Model!$B$9)/(1+Model!$B$18)^78))</f>
        <v/>
      </c>
      <c r="CO45" s="7">
        <f>IF(A45="","",IF((A45+79)&gt;Model!$B$4,0,MAX(0,Model!$B$6-IF((A45+79)&gt;=Model!$B$11,Model!$B$20,0)-IF(79&lt;Model!$B$15,Model!$B$22,0))/(1-Model!$B$9)/(1+Model!$B$18)^79))</f>
        <v/>
      </c>
      <c r="CP45" s="7">
        <f>IF(A45="","",IF((A45+80)&gt;Model!$B$4,0,MAX(0,Model!$B$6-IF((A45+80)&gt;=Model!$B$11,Model!$B$20,0)-IF(80&lt;Model!$B$15,Model!$B$22,0))/(1-Model!$B$9)/(1+Model!$B$18)^80))</f>
        <v/>
      </c>
      <c r="CQ45" s="7">
        <f>IF(A45="","",IF((A45+81)&gt;Model!$B$4,0,MAX(0,Model!$B$6-IF((A45+81)&gt;=Model!$B$11,Model!$B$20,0)-IF(81&lt;Model!$B$15,Model!$B$22,0))/(1-Model!$B$9)/(1+Model!$B$18)^81))</f>
        <v/>
      </c>
      <c r="CR45" s="7">
        <f>IF(A45="","",IF((A45+82)&gt;Model!$B$4,0,MAX(0,Model!$B$6-IF((A45+82)&gt;=Model!$B$11,Model!$B$20,0)-IF(82&lt;Model!$B$15,Model!$B$22,0))/(1-Model!$B$9)/(1+Model!$B$18)^82))</f>
        <v/>
      </c>
      <c r="CS45" s="7">
        <f>IF(A45="","",IF((A45+83)&gt;Model!$B$4,0,MAX(0,Model!$B$6-IF((A45+83)&gt;=Model!$B$11,Model!$B$20,0)-IF(83&lt;Model!$B$15,Model!$B$22,0))/(1-Model!$B$9)/(1+Model!$B$18)^83))</f>
        <v/>
      </c>
      <c r="CT45" s="7">
        <f>IF(A45="","",IF((A45+84)&gt;Model!$B$4,0,MAX(0,Model!$B$6-IF((A45+84)&gt;=Model!$B$11,Model!$B$20,0)-IF(84&lt;Model!$B$15,Model!$B$22,0))/(1-Model!$B$9)/(1+Model!$B$18)^84))</f>
        <v/>
      </c>
      <c r="CU45" s="7">
        <f>IF(A45="","",IF((A45+85)&gt;Model!$B$4,0,MAX(0,Model!$B$6-IF((A45+85)&gt;=Model!$B$11,Model!$B$20,0)-IF(85&lt;Model!$B$15,Model!$B$22,0))/(1-Model!$B$9)/(1+Model!$B$18)^85))</f>
        <v/>
      </c>
      <c r="CV45" s="7">
        <f>IF(A45="","",IF((A45+86)&gt;Model!$B$4,0,MAX(0,Model!$B$6-IF((A45+86)&gt;=Model!$B$11,Model!$B$20,0)-IF(86&lt;Model!$B$15,Model!$B$22,0))/(1-Model!$B$9)/(1+Model!$B$18)^86))</f>
        <v/>
      </c>
      <c r="CW45" s="7">
        <f>IF(A45="","",IF((A45+87)&gt;Model!$B$4,0,MAX(0,Model!$B$6-IF((A45+87)&gt;=Model!$B$11,Model!$B$20,0)-IF(87&lt;Model!$B$15,Model!$B$22,0))/(1-Model!$B$9)/(1+Model!$B$18)^87))</f>
        <v/>
      </c>
      <c r="CX45" s="7">
        <f>IF(A45="","",IF((A45+88)&gt;Model!$B$4,0,MAX(0,Model!$B$6-IF((A45+88)&gt;=Model!$B$11,Model!$B$20,0)-IF(88&lt;Model!$B$15,Model!$B$22,0))/(1-Model!$B$9)/(1+Model!$B$18)^88))</f>
        <v/>
      </c>
      <c r="CY45" s="7">
        <f>IF(A45="","",IF((A45+89)&gt;Model!$B$4,0,MAX(0,Model!$B$6-IF((A45+89)&gt;=Model!$B$11,Model!$B$20,0)-IF(89&lt;Model!$B$15,Model!$B$22,0))/(1-Model!$B$9)/(1+Model!$B$18)^89))</f>
        <v/>
      </c>
      <c r="CZ45" s="7">
        <f>IF(A45="","",IF((A45+90)&gt;Model!$B$4,0,MAX(0,Model!$B$6-IF((A45+90)&gt;=Model!$B$11,Model!$B$20,0)-IF(90&lt;Model!$B$15,Model!$B$22,0))/(1-Model!$B$9)/(1+Model!$B$18)^90))</f>
        <v/>
      </c>
      <c r="DA45" s="7">
        <f>IF(A45="","",IF((A45+91)&gt;Model!$B$4,0,MAX(0,Model!$B$6-IF((A45+91)&gt;=Model!$B$11,Model!$B$20,0)-IF(91&lt;Model!$B$15,Model!$B$22,0))/(1-Model!$B$9)/(1+Model!$B$18)^91))</f>
        <v/>
      </c>
      <c r="DB45" s="7">
        <f>IF(A45="","",IF((A45+92)&gt;Model!$B$4,0,MAX(0,Model!$B$6-IF((A45+92)&gt;=Model!$B$11,Model!$B$20,0)-IF(92&lt;Model!$B$15,Model!$B$22,0))/(1-Model!$B$9)/(1+Model!$B$18)^92))</f>
        <v/>
      </c>
      <c r="DC45" s="7">
        <f>IF(A45="","",IF((A45+93)&gt;Model!$B$4,0,MAX(0,Model!$B$6-IF((A45+93)&gt;=Model!$B$11,Model!$B$20,0)-IF(93&lt;Model!$B$15,Model!$B$22,0))/(1-Model!$B$9)/(1+Model!$B$18)^93))</f>
        <v/>
      </c>
      <c r="DD45" s="7">
        <f>IF(A45="","",IF((A45+94)&gt;Model!$B$4,0,MAX(0,Model!$B$6-IF((A45+94)&gt;=Model!$B$11,Model!$B$20,0)-IF(94&lt;Model!$B$15,Model!$B$22,0))/(1-Model!$B$9)/(1+Model!$B$18)^94))</f>
        <v/>
      </c>
      <c r="DE45" s="7">
        <f>IF(A45="","",IF((A45+95)&gt;Model!$B$4,0,MAX(0,Model!$B$6-IF((A45+95)&gt;=Model!$B$11,Model!$B$20,0)-IF(95&lt;Model!$B$15,Model!$B$22,0))/(1-Model!$B$9)/(1+Model!$B$18)^95))</f>
        <v/>
      </c>
      <c r="DF45" s="7">
        <f>IF(A45="","",IF((A45+96)&gt;Model!$B$4,0,MAX(0,Model!$B$6-IF((A45+96)&gt;=Model!$B$11,Model!$B$20,0)-IF(96&lt;Model!$B$15,Model!$B$22,0))/(1-Model!$B$9)/(1+Model!$B$18)^96))</f>
        <v/>
      </c>
      <c r="DG45" s="7">
        <f>IF(A45="","",IF((A45+97)&gt;Model!$B$4,0,MAX(0,Model!$B$6-IF((A45+97)&gt;=Model!$B$11,Model!$B$20,0)-IF(97&lt;Model!$B$15,Model!$B$22,0))/(1-Model!$B$9)/(1+Model!$B$18)^97))</f>
        <v/>
      </c>
      <c r="DH45" s="7">
        <f>IF(A45="","",IF((A45+98)&gt;Model!$B$4,0,MAX(0,Model!$B$6-IF((A45+98)&gt;=Model!$B$11,Model!$B$20,0)-IF(98&lt;Model!$B$15,Model!$B$22,0))/(1-Model!$B$9)/(1+Model!$B$18)^98))</f>
        <v/>
      </c>
      <c r="DI45" s="7">
        <f>IF(A45="","",IF((A45+99)&gt;Model!$B$4,0,MAX(0,Model!$B$6-IF((A45+99)&gt;=Model!$B$11,Model!$B$20,0)-IF(99&lt;Model!$B$15,Model!$B$22,0))/(1-Model!$B$9)/(1+Model!$B$18)^99))</f>
        <v/>
      </c>
      <c r="DJ45" s="7">
        <f>IF(A45="","",IF((A45+100)&gt;Model!$B$4,0,MAX(0,Model!$B$6-IF((A45+100)&gt;=Model!$B$11,Model!$B$20,0)-IF(100&lt;Model!$B$15,Model!$B$22,0))/(1-Model!$B$9)/(1+Model!$B$18)^100))</f>
        <v/>
      </c>
      <c r="DK45" s="7">
        <f>IF(A45="","",IF((A45+101)&gt;Model!$B$4,0,MAX(0,Model!$B$6-IF((A45+101)&gt;=Model!$B$11,Model!$B$20,0)-IF(101&lt;Model!$B$15,Model!$B$22,0))/(1-Model!$B$9)/(1+Model!$B$18)^101))</f>
        <v/>
      </c>
      <c r="DL45" s="7">
        <f>IF(A45="","",IF((A45+102)&gt;Model!$B$4,0,MAX(0,Model!$B$6-IF((A45+102)&gt;=Model!$B$11,Model!$B$20,0)-IF(102&lt;Model!$B$15,Model!$B$22,0))/(1-Model!$B$9)/(1+Model!$B$18)^102))</f>
        <v/>
      </c>
      <c r="DM45" s="7">
        <f>IF(A45="","",IF((A45+103)&gt;Model!$B$4,0,MAX(0,Model!$B$6-IF((A45+103)&gt;=Model!$B$11,Model!$B$20,0)-IF(103&lt;Model!$B$15,Model!$B$22,0))/(1-Model!$B$9)/(1+Model!$B$18)^103))</f>
        <v/>
      </c>
      <c r="DN45" s="7">
        <f>IF(A45="","",IF((A45+104)&gt;Model!$B$4,0,MAX(0,Model!$B$6-IF((A45+104)&gt;=Model!$B$11,Model!$B$20,0)-IF(104&lt;Model!$B$15,Model!$B$22,0))/(1-Model!$B$9)/(1+Model!$B$18)^104))</f>
        <v/>
      </c>
      <c r="DO45" s="7">
        <f>IF(A45="","",IF((A45+105)&gt;Model!$B$4,0,MAX(0,Model!$B$6-IF((A45+105)&gt;=Model!$B$11,Model!$B$20,0)-IF(105&lt;Model!$B$15,Model!$B$22,0))/(1-Model!$B$9)/(1+Model!$B$18)^105))</f>
        <v/>
      </c>
      <c r="DP45" s="7">
        <f>IF(A45="","",IF((A45+106)&gt;Model!$B$4,0,MAX(0,Model!$B$6-IF((A45+106)&gt;=Model!$B$11,Model!$B$20,0)-IF(106&lt;Model!$B$15,Model!$B$22,0))/(1-Model!$B$9)/(1+Model!$B$18)^106))</f>
        <v/>
      </c>
      <c r="DQ45" s="7">
        <f>IF(A45="","",IF((A45+107)&gt;Model!$B$4,0,MAX(0,Model!$B$6-IF((A45+107)&gt;=Model!$B$11,Model!$B$20,0)-IF(107&lt;Model!$B$15,Model!$B$22,0))/(1-Model!$B$9)/(1+Model!$B$18)^107))</f>
        <v/>
      </c>
      <c r="DR45" s="7">
        <f>IF(A45="","",IF((A45+108)&gt;Model!$B$4,0,MAX(0,Model!$B$6-IF((A45+108)&gt;=Model!$B$11,Model!$B$20,0)-IF(108&lt;Model!$B$15,Model!$B$22,0))/(1-Model!$B$9)/(1+Model!$B$18)^108))</f>
        <v/>
      </c>
      <c r="DS45" s="7">
        <f>IF(A45="","",IF((A45+109)&gt;Model!$B$4,0,MAX(0,Model!$B$6-IF((A45+109)&gt;=Model!$B$11,Model!$B$20,0)-IF(109&lt;Model!$B$15,Model!$B$22,0))/(1-Model!$B$9)/(1+Model!$B$18)^109))</f>
        <v/>
      </c>
      <c r="DT45" s="7">
        <f>IF(A45="","",IF((A45+110)&gt;Model!$B$4,0,MAX(0,Model!$B$6-IF((A45+110)&gt;=Model!$B$11,Model!$B$20,0)-IF(110&lt;Model!$B$15,Model!$B$22,0))/(1-Model!$B$9)/(1+Model!$B$18)^110))</f>
        <v/>
      </c>
      <c r="DU45" s="7">
        <f>IF(A45="","",IF((A45+111)&gt;Model!$B$4,0,MAX(0,Model!$B$6-IF((A45+111)&gt;=Model!$B$11,Model!$B$20,0)-IF(111&lt;Model!$B$15,Model!$B$22,0))/(1-Model!$B$9)/(1+Model!$B$18)^111))</f>
        <v/>
      </c>
      <c r="DV45" s="7">
        <f>IF(A45="","",IF((A45+112)&gt;Model!$B$4,0,MAX(0,Model!$B$6-IF((A45+112)&gt;=Model!$B$11,Model!$B$20,0)-IF(112&lt;Model!$B$15,Model!$B$22,0))/(1-Model!$B$9)/(1+Model!$B$18)^112))</f>
        <v/>
      </c>
      <c r="DW45" s="7">
        <f>IF(A45="","",IF((A45+113)&gt;Model!$B$4,0,MAX(0,Model!$B$6-IF((A45+113)&gt;=Model!$B$11,Model!$B$20,0)-IF(113&lt;Model!$B$15,Model!$B$22,0))/(1-Model!$B$9)/(1+Model!$B$18)^113))</f>
        <v/>
      </c>
      <c r="DX45" s="7">
        <f>IF(A45="","",IF((A45+114)&gt;Model!$B$4,0,MAX(0,Model!$B$6-IF((A45+114)&gt;=Model!$B$11,Model!$B$20,0)-IF(114&lt;Model!$B$15,Model!$B$22,0))/(1-Model!$B$9)/(1+Model!$B$18)^114))</f>
        <v/>
      </c>
      <c r="DY45" s="7">
        <f>IF(A45="","",IF((A45+115)&gt;Model!$B$4,0,MAX(0,Model!$B$6-IF((A45+115)&gt;=Model!$B$11,Model!$B$20,0)-IF(115&lt;Model!$B$15,Model!$B$22,0))/(1-Model!$B$9)/(1+Model!$B$18)^115))</f>
        <v/>
      </c>
      <c r="DZ45" s="7">
        <f>IF(A45="","",IF((A45+116)&gt;Model!$B$4,0,MAX(0,Model!$B$6-IF((A45+116)&gt;=Model!$B$11,Model!$B$20,0)-IF(116&lt;Model!$B$15,Model!$B$22,0))/(1-Model!$B$9)/(1+Model!$B$18)^116))</f>
        <v/>
      </c>
      <c r="EA45" s="7">
        <f>IF(A45="","",IF((A45+117)&gt;Model!$B$4,0,MAX(0,Model!$B$6-IF((A45+117)&gt;=Model!$B$11,Model!$B$20,0)-IF(117&lt;Model!$B$15,Model!$B$22,0))/(1-Model!$B$9)/(1+Model!$B$18)^117))</f>
        <v/>
      </c>
      <c r="EB45" s="7">
        <f>IF(A45="","",IF((A45+118)&gt;Model!$B$4,0,MAX(0,Model!$B$6-IF((A45+118)&gt;=Model!$B$11,Model!$B$20,0)-IF(118&lt;Model!$B$15,Model!$B$22,0))/(1-Model!$B$9)/(1+Model!$B$18)^118))</f>
        <v/>
      </c>
      <c r="EC45" s="7">
        <f>IF(A45="","",IF((A45+119)&gt;Model!$B$4,0,MAX(0,Model!$B$6-IF((A45+119)&gt;=Model!$B$11,Model!$B$20,0)-IF(119&lt;Model!$B$15,Model!$B$22,0))/(1-Model!$B$9)/(1+Model!$B$18)^119))</f>
        <v/>
      </c>
      <c r="ED45" s="7">
        <f>IF(A45="","",IF((A45+120)&gt;Model!$B$4,0,MAX(0,Model!$B$6-IF((A45+120)&gt;=Model!$B$11,Model!$B$20,0)-IF(120&lt;Model!$B$15,Model!$B$22,0))/(1-Model!$B$9)/(1+Model!$B$18)^120))</f>
        <v/>
      </c>
    </row>
    <row r="46">
      <c r="A46">
        <f>IF(Model!$B$10+ROW()-2&lt;=Model!$B$4,Model!$B$10+ROW()-2,"")</f>
        <v/>
      </c>
      <c r="B46">
        <f>IF(A46="","",A46-Model!$B$10)</f>
        <v/>
      </c>
      <c r="C46" s="7">
        <f>IF(A46="","",Model!$B$5*(1+Model!$B$18)^B46)</f>
        <v/>
      </c>
      <c r="D46" s="7">
        <f>IF(A46="","",SUM(N46:ED46))</f>
        <v/>
      </c>
      <c r="E46" s="7">
        <f>IF(A46="","",IF(A46&gt;=Model!$B$11,Model!$B$20,0))</f>
        <v/>
      </c>
      <c r="F46" s="7">
        <f>IF(A46="","",IF(Model!$B$15&gt;0,Model!$B$22,0))</f>
        <v/>
      </c>
      <c r="G46" s="7">
        <f>IF(A46="","",E46+F46)</f>
        <v/>
      </c>
      <c r="H46" s="7">
        <f>IF(A46="","",MAX(0,Model!$B$6-G46))</f>
        <v/>
      </c>
      <c r="I46" s="7">
        <f>IF(A46="","",H46/(1-Model!$B$9))</f>
        <v/>
      </c>
      <c r="J46" s="7">
        <f>IF(A46="","",C46-D46)</f>
        <v/>
      </c>
      <c r="K46">
        <f>IF(A46="","",C46&gt;=D46)</f>
        <v/>
      </c>
      <c r="L46" s="7">
        <f>IF(A46="","",IF(A46&gt;=Model!$B$11,Model!$B$19*(1+Model!$B$13)^B46,0))</f>
        <v/>
      </c>
      <c r="M46" s="7">
        <f>IF(A46="","",IF(Model!$B$15&gt;0,Model!$B$21*(1+Model!$B$13)^B46,0))</f>
        <v/>
      </c>
      <c r="N46" s="7">
        <f>IF(A46="","",IF((A46+0)&gt;Model!$B$4,0,MAX(0,Model!$B$6-IF((A46+0)&gt;=Model!$B$11,Model!$B$20,0)-IF(0&lt;Model!$B$15,Model!$B$22,0))/(1-Model!$B$9)/(1+Model!$B$18)^0))</f>
        <v/>
      </c>
      <c r="O46" s="7">
        <f>IF(A46="","",IF((A46+1)&gt;Model!$B$4,0,MAX(0,Model!$B$6-IF((A46+1)&gt;=Model!$B$11,Model!$B$20,0)-IF(1&lt;Model!$B$15,Model!$B$22,0))/(1-Model!$B$9)/(1+Model!$B$18)^1))</f>
        <v/>
      </c>
      <c r="P46" s="7">
        <f>IF(A46="","",IF((A46+2)&gt;Model!$B$4,0,MAX(0,Model!$B$6-IF((A46+2)&gt;=Model!$B$11,Model!$B$20,0)-IF(2&lt;Model!$B$15,Model!$B$22,0))/(1-Model!$B$9)/(1+Model!$B$18)^2))</f>
        <v/>
      </c>
      <c r="Q46" s="7">
        <f>IF(A46="","",IF((A46+3)&gt;Model!$B$4,0,MAX(0,Model!$B$6-IF((A46+3)&gt;=Model!$B$11,Model!$B$20,0)-IF(3&lt;Model!$B$15,Model!$B$22,0))/(1-Model!$B$9)/(1+Model!$B$18)^3))</f>
        <v/>
      </c>
      <c r="R46" s="7">
        <f>IF(A46="","",IF((A46+4)&gt;Model!$B$4,0,MAX(0,Model!$B$6-IF((A46+4)&gt;=Model!$B$11,Model!$B$20,0)-IF(4&lt;Model!$B$15,Model!$B$22,0))/(1-Model!$B$9)/(1+Model!$B$18)^4))</f>
        <v/>
      </c>
      <c r="S46" s="7">
        <f>IF(A46="","",IF((A46+5)&gt;Model!$B$4,0,MAX(0,Model!$B$6-IF((A46+5)&gt;=Model!$B$11,Model!$B$20,0)-IF(5&lt;Model!$B$15,Model!$B$22,0))/(1-Model!$B$9)/(1+Model!$B$18)^5))</f>
        <v/>
      </c>
      <c r="T46" s="7">
        <f>IF(A46="","",IF((A46+6)&gt;Model!$B$4,0,MAX(0,Model!$B$6-IF((A46+6)&gt;=Model!$B$11,Model!$B$20,0)-IF(6&lt;Model!$B$15,Model!$B$22,0))/(1-Model!$B$9)/(1+Model!$B$18)^6))</f>
        <v/>
      </c>
      <c r="U46" s="7">
        <f>IF(A46="","",IF((A46+7)&gt;Model!$B$4,0,MAX(0,Model!$B$6-IF((A46+7)&gt;=Model!$B$11,Model!$B$20,0)-IF(7&lt;Model!$B$15,Model!$B$22,0))/(1-Model!$B$9)/(1+Model!$B$18)^7))</f>
        <v/>
      </c>
      <c r="V46" s="7">
        <f>IF(A46="","",IF((A46+8)&gt;Model!$B$4,0,MAX(0,Model!$B$6-IF((A46+8)&gt;=Model!$B$11,Model!$B$20,0)-IF(8&lt;Model!$B$15,Model!$B$22,0))/(1-Model!$B$9)/(1+Model!$B$18)^8))</f>
        <v/>
      </c>
      <c r="W46" s="7">
        <f>IF(A46="","",IF((A46+9)&gt;Model!$B$4,0,MAX(0,Model!$B$6-IF((A46+9)&gt;=Model!$B$11,Model!$B$20,0)-IF(9&lt;Model!$B$15,Model!$B$22,0))/(1-Model!$B$9)/(1+Model!$B$18)^9))</f>
        <v/>
      </c>
      <c r="X46" s="7">
        <f>IF(A46="","",IF((A46+10)&gt;Model!$B$4,0,MAX(0,Model!$B$6-IF((A46+10)&gt;=Model!$B$11,Model!$B$20,0)-IF(10&lt;Model!$B$15,Model!$B$22,0))/(1-Model!$B$9)/(1+Model!$B$18)^10))</f>
        <v/>
      </c>
      <c r="Y46" s="7">
        <f>IF(A46="","",IF((A46+11)&gt;Model!$B$4,0,MAX(0,Model!$B$6-IF((A46+11)&gt;=Model!$B$11,Model!$B$20,0)-IF(11&lt;Model!$B$15,Model!$B$22,0))/(1-Model!$B$9)/(1+Model!$B$18)^11))</f>
        <v/>
      </c>
      <c r="Z46" s="7">
        <f>IF(A46="","",IF((A46+12)&gt;Model!$B$4,0,MAX(0,Model!$B$6-IF((A46+12)&gt;=Model!$B$11,Model!$B$20,0)-IF(12&lt;Model!$B$15,Model!$B$22,0))/(1-Model!$B$9)/(1+Model!$B$18)^12))</f>
        <v/>
      </c>
      <c r="AA46" s="7">
        <f>IF(A46="","",IF((A46+13)&gt;Model!$B$4,0,MAX(0,Model!$B$6-IF((A46+13)&gt;=Model!$B$11,Model!$B$20,0)-IF(13&lt;Model!$B$15,Model!$B$22,0))/(1-Model!$B$9)/(1+Model!$B$18)^13))</f>
        <v/>
      </c>
      <c r="AB46" s="7">
        <f>IF(A46="","",IF((A46+14)&gt;Model!$B$4,0,MAX(0,Model!$B$6-IF((A46+14)&gt;=Model!$B$11,Model!$B$20,0)-IF(14&lt;Model!$B$15,Model!$B$22,0))/(1-Model!$B$9)/(1+Model!$B$18)^14))</f>
        <v/>
      </c>
      <c r="AC46" s="7">
        <f>IF(A46="","",IF((A46+15)&gt;Model!$B$4,0,MAX(0,Model!$B$6-IF((A46+15)&gt;=Model!$B$11,Model!$B$20,0)-IF(15&lt;Model!$B$15,Model!$B$22,0))/(1-Model!$B$9)/(1+Model!$B$18)^15))</f>
        <v/>
      </c>
      <c r="AD46" s="7">
        <f>IF(A46="","",IF((A46+16)&gt;Model!$B$4,0,MAX(0,Model!$B$6-IF((A46+16)&gt;=Model!$B$11,Model!$B$20,0)-IF(16&lt;Model!$B$15,Model!$B$22,0))/(1-Model!$B$9)/(1+Model!$B$18)^16))</f>
        <v/>
      </c>
      <c r="AE46" s="7">
        <f>IF(A46="","",IF((A46+17)&gt;Model!$B$4,0,MAX(0,Model!$B$6-IF((A46+17)&gt;=Model!$B$11,Model!$B$20,0)-IF(17&lt;Model!$B$15,Model!$B$22,0))/(1-Model!$B$9)/(1+Model!$B$18)^17))</f>
        <v/>
      </c>
      <c r="AF46" s="7">
        <f>IF(A46="","",IF((A46+18)&gt;Model!$B$4,0,MAX(0,Model!$B$6-IF((A46+18)&gt;=Model!$B$11,Model!$B$20,0)-IF(18&lt;Model!$B$15,Model!$B$22,0))/(1-Model!$B$9)/(1+Model!$B$18)^18))</f>
        <v/>
      </c>
      <c r="AG46" s="7">
        <f>IF(A46="","",IF((A46+19)&gt;Model!$B$4,0,MAX(0,Model!$B$6-IF((A46+19)&gt;=Model!$B$11,Model!$B$20,0)-IF(19&lt;Model!$B$15,Model!$B$22,0))/(1-Model!$B$9)/(1+Model!$B$18)^19))</f>
        <v/>
      </c>
      <c r="AH46" s="7">
        <f>IF(A46="","",IF((A46+20)&gt;Model!$B$4,0,MAX(0,Model!$B$6-IF((A46+20)&gt;=Model!$B$11,Model!$B$20,0)-IF(20&lt;Model!$B$15,Model!$B$22,0))/(1-Model!$B$9)/(1+Model!$B$18)^20))</f>
        <v/>
      </c>
      <c r="AI46" s="7">
        <f>IF(A46="","",IF((A46+21)&gt;Model!$B$4,0,MAX(0,Model!$B$6-IF((A46+21)&gt;=Model!$B$11,Model!$B$20,0)-IF(21&lt;Model!$B$15,Model!$B$22,0))/(1-Model!$B$9)/(1+Model!$B$18)^21))</f>
        <v/>
      </c>
      <c r="AJ46" s="7">
        <f>IF(A46="","",IF((A46+22)&gt;Model!$B$4,0,MAX(0,Model!$B$6-IF((A46+22)&gt;=Model!$B$11,Model!$B$20,0)-IF(22&lt;Model!$B$15,Model!$B$22,0))/(1-Model!$B$9)/(1+Model!$B$18)^22))</f>
        <v/>
      </c>
      <c r="AK46" s="7">
        <f>IF(A46="","",IF((A46+23)&gt;Model!$B$4,0,MAX(0,Model!$B$6-IF((A46+23)&gt;=Model!$B$11,Model!$B$20,0)-IF(23&lt;Model!$B$15,Model!$B$22,0))/(1-Model!$B$9)/(1+Model!$B$18)^23))</f>
        <v/>
      </c>
      <c r="AL46" s="7">
        <f>IF(A46="","",IF((A46+24)&gt;Model!$B$4,0,MAX(0,Model!$B$6-IF((A46+24)&gt;=Model!$B$11,Model!$B$20,0)-IF(24&lt;Model!$B$15,Model!$B$22,0))/(1-Model!$B$9)/(1+Model!$B$18)^24))</f>
        <v/>
      </c>
      <c r="AM46" s="7">
        <f>IF(A46="","",IF((A46+25)&gt;Model!$B$4,0,MAX(0,Model!$B$6-IF((A46+25)&gt;=Model!$B$11,Model!$B$20,0)-IF(25&lt;Model!$B$15,Model!$B$22,0))/(1-Model!$B$9)/(1+Model!$B$18)^25))</f>
        <v/>
      </c>
      <c r="AN46" s="7">
        <f>IF(A46="","",IF((A46+26)&gt;Model!$B$4,0,MAX(0,Model!$B$6-IF((A46+26)&gt;=Model!$B$11,Model!$B$20,0)-IF(26&lt;Model!$B$15,Model!$B$22,0))/(1-Model!$B$9)/(1+Model!$B$18)^26))</f>
        <v/>
      </c>
      <c r="AO46" s="7">
        <f>IF(A46="","",IF((A46+27)&gt;Model!$B$4,0,MAX(0,Model!$B$6-IF((A46+27)&gt;=Model!$B$11,Model!$B$20,0)-IF(27&lt;Model!$B$15,Model!$B$22,0))/(1-Model!$B$9)/(1+Model!$B$18)^27))</f>
        <v/>
      </c>
      <c r="AP46" s="7">
        <f>IF(A46="","",IF((A46+28)&gt;Model!$B$4,0,MAX(0,Model!$B$6-IF((A46+28)&gt;=Model!$B$11,Model!$B$20,0)-IF(28&lt;Model!$B$15,Model!$B$22,0))/(1-Model!$B$9)/(1+Model!$B$18)^28))</f>
        <v/>
      </c>
      <c r="AQ46" s="7">
        <f>IF(A46="","",IF((A46+29)&gt;Model!$B$4,0,MAX(0,Model!$B$6-IF((A46+29)&gt;=Model!$B$11,Model!$B$20,0)-IF(29&lt;Model!$B$15,Model!$B$22,0))/(1-Model!$B$9)/(1+Model!$B$18)^29))</f>
        <v/>
      </c>
      <c r="AR46" s="7">
        <f>IF(A46="","",IF((A46+30)&gt;Model!$B$4,0,MAX(0,Model!$B$6-IF((A46+30)&gt;=Model!$B$11,Model!$B$20,0)-IF(30&lt;Model!$B$15,Model!$B$22,0))/(1-Model!$B$9)/(1+Model!$B$18)^30))</f>
        <v/>
      </c>
      <c r="AS46" s="7">
        <f>IF(A46="","",IF((A46+31)&gt;Model!$B$4,0,MAX(0,Model!$B$6-IF((A46+31)&gt;=Model!$B$11,Model!$B$20,0)-IF(31&lt;Model!$B$15,Model!$B$22,0))/(1-Model!$B$9)/(1+Model!$B$18)^31))</f>
        <v/>
      </c>
      <c r="AT46" s="7">
        <f>IF(A46="","",IF((A46+32)&gt;Model!$B$4,0,MAX(0,Model!$B$6-IF((A46+32)&gt;=Model!$B$11,Model!$B$20,0)-IF(32&lt;Model!$B$15,Model!$B$22,0))/(1-Model!$B$9)/(1+Model!$B$18)^32))</f>
        <v/>
      </c>
      <c r="AU46" s="7">
        <f>IF(A46="","",IF((A46+33)&gt;Model!$B$4,0,MAX(0,Model!$B$6-IF((A46+33)&gt;=Model!$B$11,Model!$B$20,0)-IF(33&lt;Model!$B$15,Model!$B$22,0))/(1-Model!$B$9)/(1+Model!$B$18)^33))</f>
        <v/>
      </c>
      <c r="AV46" s="7">
        <f>IF(A46="","",IF((A46+34)&gt;Model!$B$4,0,MAX(0,Model!$B$6-IF((A46+34)&gt;=Model!$B$11,Model!$B$20,0)-IF(34&lt;Model!$B$15,Model!$B$22,0))/(1-Model!$B$9)/(1+Model!$B$18)^34))</f>
        <v/>
      </c>
      <c r="AW46" s="7">
        <f>IF(A46="","",IF((A46+35)&gt;Model!$B$4,0,MAX(0,Model!$B$6-IF((A46+35)&gt;=Model!$B$11,Model!$B$20,0)-IF(35&lt;Model!$B$15,Model!$B$22,0))/(1-Model!$B$9)/(1+Model!$B$18)^35))</f>
        <v/>
      </c>
      <c r="AX46" s="7">
        <f>IF(A46="","",IF((A46+36)&gt;Model!$B$4,0,MAX(0,Model!$B$6-IF((A46+36)&gt;=Model!$B$11,Model!$B$20,0)-IF(36&lt;Model!$B$15,Model!$B$22,0))/(1-Model!$B$9)/(1+Model!$B$18)^36))</f>
        <v/>
      </c>
      <c r="AY46" s="7">
        <f>IF(A46="","",IF((A46+37)&gt;Model!$B$4,0,MAX(0,Model!$B$6-IF((A46+37)&gt;=Model!$B$11,Model!$B$20,0)-IF(37&lt;Model!$B$15,Model!$B$22,0))/(1-Model!$B$9)/(1+Model!$B$18)^37))</f>
        <v/>
      </c>
      <c r="AZ46" s="7">
        <f>IF(A46="","",IF((A46+38)&gt;Model!$B$4,0,MAX(0,Model!$B$6-IF((A46+38)&gt;=Model!$B$11,Model!$B$20,0)-IF(38&lt;Model!$B$15,Model!$B$22,0))/(1-Model!$B$9)/(1+Model!$B$18)^38))</f>
        <v/>
      </c>
      <c r="BA46" s="7">
        <f>IF(A46="","",IF((A46+39)&gt;Model!$B$4,0,MAX(0,Model!$B$6-IF((A46+39)&gt;=Model!$B$11,Model!$B$20,0)-IF(39&lt;Model!$B$15,Model!$B$22,0))/(1-Model!$B$9)/(1+Model!$B$18)^39))</f>
        <v/>
      </c>
      <c r="BB46" s="7">
        <f>IF(A46="","",IF((A46+40)&gt;Model!$B$4,0,MAX(0,Model!$B$6-IF((A46+40)&gt;=Model!$B$11,Model!$B$20,0)-IF(40&lt;Model!$B$15,Model!$B$22,0))/(1-Model!$B$9)/(1+Model!$B$18)^40))</f>
        <v/>
      </c>
      <c r="BC46" s="7">
        <f>IF(A46="","",IF((A46+41)&gt;Model!$B$4,0,MAX(0,Model!$B$6-IF((A46+41)&gt;=Model!$B$11,Model!$B$20,0)-IF(41&lt;Model!$B$15,Model!$B$22,0))/(1-Model!$B$9)/(1+Model!$B$18)^41))</f>
        <v/>
      </c>
      <c r="BD46" s="7">
        <f>IF(A46="","",IF((A46+42)&gt;Model!$B$4,0,MAX(0,Model!$B$6-IF((A46+42)&gt;=Model!$B$11,Model!$B$20,0)-IF(42&lt;Model!$B$15,Model!$B$22,0))/(1-Model!$B$9)/(1+Model!$B$18)^42))</f>
        <v/>
      </c>
      <c r="BE46" s="7">
        <f>IF(A46="","",IF((A46+43)&gt;Model!$B$4,0,MAX(0,Model!$B$6-IF((A46+43)&gt;=Model!$B$11,Model!$B$20,0)-IF(43&lt;Model!$B$15,Model!$B$22,0))/(1-Model!$B$9)/(1+Model!$B$18)^43))</f>
        <v/>
      </c>
      <c r="BF46" s="7">
        <f>IF(A46="","",IF((A46+44)&gt;Model!$B$4,0,MAX(0,Model!$B$6-IF((A46+44)&gt;=Model!$B$11,Model!$B$20,0)-IF(44&lt;Model!$B$15,Model!$B$22,0))/(1-Model!$B$9)/(1+Model!$B$18)^44))</f>
        <v/>
      </c>
      <c r="BG46" s="7">
        <f>IF(A46="","",IF((A46+45)&gt;Model!$B$4,0,MAX(0,Model!$B$6-IF((A46+45)&gt;=Model!$B$11,Model!$B$20,0)-IF(45&lt;Model!$B$15,Model!$B$22,0))/(1-Model!$B$9)/(1+Model!$B$18)^45))</f>
        <v/>
      </c>
      <c r="BH46" s="7">
        <f>IF(A46="","",IF((A46+46)&gt;Model!$B$4,0,MAX(0,Model!$B$6-IF((A46+46)&gt;=Model!$B$11,Model!$B$20,0)-IF(46&lt;Model!$B$15,Model!$B$22,0))/(1-Model!$B$9)/(1+Model!$B$18)^46))</f>
        <v/>
      </c>
      <c r="BI46" s="7">
        <f>IF(A46="","",IF((A46+47)&gt;Model!$B$4,0,MAX(0,Model!$B$6-IF((A46+47)&gt;=Model!$B$11,Model!$B$20,0)-IF(47&lt;Model!$B$15,Model!$B$22,0))/(1-Model!$B$9)/(1+Model!$B$18)^47))</f>
        <v/>
      </c>
      <c r="BJ46" s="7">
        <f>IF(A46="","",IF((A46+48)&gt;Model!$B$4,0,MAX(0,Model!$B$6-IF((A46+48)&gt;=Model!$B$11,Model!$B$20,0)-IF(48&lt;Model!$B$15,Model!$B$22,0))/(1-Model!$B$9)/(1+Model!$B$18)^48))</f>
        <v/>
      </c>
      <c r="BK46" s="7">
        <f>IF(A46="","",IF((A46+49)&gt;Model!$B$4,0,MAX(0,Model!$B$6-IF((A46+49)&gt;=Model!$B$11,Model!$B$20,0)-IF(49&lt;Model!$B$15,Model!$B$22,0))/(1-Model!$B$9)/(1+Model!$B$18)^49))</f>
        <v/>
      </c>
      <c r="BL46" s="7">
        <f>IF(A46="","",IF((A46+50)&gt;Model!$B$4,0,MAX(0,Model!$B$6-IF((A46+50)&gt;=Model!$B$11,Model!$B$20,0)-IF(50&lt;Model!$B$15,Model!$B$22,0))/(1-Model!$B$9)/(1+Model!$B$18)^50))</f>
        <v/>
      </c>
      <c r="BM46" s="7">
        <f>IF(A46="","",IF((A46+51)&gt;Model!$B$4,0,MAX(0,Model!$B$6-IF((A46+51)&gt;=Model!$B$11,Model!$B$20,0)-IF(51&lt;Model!$B$15,Model!$B$22,0))/(1-Model!$B$9)/(1+Model!$B$18)^51))</f>
        <v/>
      </c>
      <c r="BN46" s="7">
        <f>IF(A46="","",IF((A46+52)&gt;Model!$B$4,0,MAX(0,Model!$B$6-IF((A46+52)&gt;=Model!$B$11,Model!$B$20,0)-IF(52&lt;Model!$B$15,Model!$B$22,0))/(1-Model!$B$9)/(1+Model!$B$18)^52))</f>
        <v/>
      </c>
      <c r="BO46" s="7">
        <f>IF(A46="","",IF((A46+53)&gt;Model!$B$4,0,MAX(0,Model!$B$6-IF((A46+53)&gt;=Model!$B$11,Model!$B$20,0)-IF(53&lt;Model!$B$15,Model!$B$22,0))/(1-Model!$B$9)/(1+Model!$B$18)^53))</f>
        <v/>
      </c>
      <c r="BP46" s="7">
        <f>IF(A46="","",IF((A46+54)&gt;Model!$B$4,0,MAX(0,Model!$B$6-IF((A46+54)&gt;=Model!$B$11,Model!$B$20,0)-IF(54&lt;Model!$B$15,Model!$B$22,0))/(1-Model!$B$9)/(1+Model!$B$18)^54))</f>
        <v/>
      </c>
      <c r="BQ46" s="7">
        <f>IF(A46="","",IF((A46+55)&gt;Model!$B$4,0,MAX(0,Model!$B$6-IF((A46+55)&gt;=Model!$B$11,Model!$B$20,0)-IF(55&lt;Model!$B$15,Model!$B$22,0))/(1-Model!$B$9)/(1+Model!$B$18)^55))</f>
        <v/>
      </c>
      <c r="BR46" s="7">
        <f>IF(A46="","",IF((A46+56)&gt;Model!$B$4,0,MAX(0,Model!$B$6-IF((A46+56)&gt;=Model!$B$11,Model!$B$20,0)-IF(56&lt;Model!$B$15,Model!$B$22,0))/(1-Model!$B$9)/(1+Model!$B$18)^56))</f>
        <v/>
      </c>
      <c r="BS46" s="7">
        <f>IF(A46="","",IF((A46+57)&gt;Model!$B$4,0,MAX(0,Model!$B$6-IF((A46+57)&gt;=Model!$B$11,Model!$B$20,0)-IF(57&lt;Model!$B$15,Model!$B$22,0))/(1-Model!$B$9)/(1+Model!$B$18)^57))</f>
        <v/>
      </c>
      <c r="BT46" s="7">
        <f>IF(A46="","",IF((A46+58)&gt;Model!$B$4,0,MAX(0,Model!$B$6-IF((A46+58)&gt;=Model!$B$11,Model!$B$20,0)-IF(58&lt;Model!$B$15,Model!$B$22,0))/(1-Model!$B$9)/(1+Model!$B$18)^58))</f>
        <v/>
      </c>
      <c r="BU46" s="7">
        <f>IF(A46="","",IF((A46+59)&gt;Model!$B$4,0,MAX(0,Model!$B$6-IF((A46+59)&gt;=Model!$B$11,Model!$B$20,0)-IF(59&lt;Model!$B$15,Model!$B$22,0))/(1-Model!$B$9)/(1+Model!$B$18)^59))</f>
        <v/>
      </c>
      <c r="BV46" s="7">
        <f>IF(A46="","",IF((A46+60)&gt;Model!$B$4,0,MAX(0,Model!$B$6-IF((A46+60)&gt;=Model!$B$11,Model!$B$20,0)-IF(60&lt;Model!$B$15,Model!$B$22,0))/(1-Model!$B$9)/(1+Model!$B$18)^60))</f>
        <v/>
      </c>
      <c r="BW46" s="7">
        <f>IF(A46="","",IF((A46+61)&gt;Model!$B$4,0,MAX(0,Model!$B$6-IF((A46+61)&gt;=Model!$B$11,Model!$B$20,0)-IF(61&lt;Model!$B$15,Model!$B$22,0))/(1-Model!$B$9)/(1+Model!$B$18)^61))</f>
        <v/>
      </c>
      <c r="BX46" s="7">
        <f>IF(A46="","",IF((A46+62)&gt;Model!$B$4,0,MAX(0,Model!$B$6-IF((A46+62)&gt;=Model!$B$11,Model!$B$20,0)-IF(62&lt;Model!$B$15,Model!$B$22,0))/(1-Model!$B$9)/(1+Model!$B$18)^62))</f>
        <v/>
      </c>
      <c r="BY46" s="7">
        <f>IF(A46="","",IF((A46+63)&gt;Model!$B$4,0,MAX(0,Model!$B$6-IF((A46+63)&gt;=Model!$B$11,Model!$B$20,0)-IF(63&lt;Model!$B$15,Model!$B$22,0))/(1-Model!$B$9)/(1+Model!$B$18)^63))</f>
        <v/>
      </c>
      <c r="BZ46" s="7">
        <f>IF(A46="","",IF((A46+64)&gt;Model!$B$4,0,MAX(0,Model!$B$6-IF((A46+64)&gt;=Model!$B$11,Model!$B$20,0)-IF(64&lt;Model!$B$15,Model!$B$22,0))/(1-Model!$B$9)/(1+Model!$B$18)^64))</f>
        <v/>
      </c>
      <c r="CA46" s="7">
        <f>IF(A46="","",IF((A46+65)&gt;Model!$B$4,0,MAX(0,Model!$B$6-IF((A46+65)&gt;=Model!$B$11,Model!$B$20,0)-IF(65&lt;Model!$B$15,Model!$B$22,0))/(1-Model!$B$9)/(1+Model!$B$18)^65))</f>
        <v/>
      </c>
      <c r="CB46" s="7">
        <f>IF(A46="","",IF((A46+66)&gt;Model!$B$4,0,MAX(0,Model!$B$6-IF((A46+66)&gt;=Model!$B$11,Model!$B$20,0)-IF(66&lt;Model!$B$15,Model!$B$22,0))/(1-Model!$B$9)/(1+Model!$B$18)^66))</f>
        <v/>
      </c>
      <c r="CC46" s="7">
        <f>IF(A46="","",IF((A46+67)&gt;Model!$B$4,0,MAX(0,Model!$B$6-IF((A46+67)&gt;=Model!$B$11,Model!$B$20,0)-IF(67&lt;Model!$B$15,Model!$B$22,0))/(1-Model!$B$9)/(1+Model!$B$18)^67))</f>
        <v/>
      </c>
      <c r="CD46" s="7">
        <f>IF(A46="","",IF((A46+68)&gt;Model!$B$4,0,MAX(0,Model!$B$6-IF((A46+68)&gt;=Model!$B$11,Model!$B$20,0)-IF(68&lt;Model!$B$15,Model!$B$22,0))/(1-Model!$B$9)/(1+Model!$B$18)^68))</f>
        <v/>
      </c>
      <c r="CE46" s="7">
        <f>IF(A46="","",IF((A46+69)&gt;Model!$B$4,0,MAX(0,Model!$B$6-IF((A46+69)&gt;=Model!$B$11,Model!$B$20,0)-IF(69&lt;Model!$B$15,Model!$B$22,0))/(1-Model!$B$9)/(1+Model!$B$18)^69))</f>
        <v/>
      </c>
      <c r="CF46" s="7">
        <f>IF(A46="","",IF((A46+70)&gt;Model!$B$4,0,MAX(0,Model!$B$6-IF((A46+70)&gt;=Model!$B$11,Model!$B$20,0)-IF(70&lt;Model!$B$15,Model!$B$22,0))/(1-Model!$B$9)/(1+Model!$B$18)^70))</f>
        <v/>
      </c>
      <c r="CG46" s="7">
        <f>IF(A46="","",IF((A46+71)&gt;Model!$B$4,0,MAX(0,Model!$B$6-IF((A46+71)&gt;=Model!$B$11,Model!$B$20,0)-IF(71&lt;Model!$B$15,Model!$B$22,0))/(1-Model!$B$9)/(1+Model!$B$18)^71))</f>
        <v/>
      </c>
      <c r="CH46" s="7">
        <f>IF(A46="","",IF((A46+72)&gt;Model!$B$4,0,MAX(0,Model!$B$6-IF((A46+72)&gt;=Model!$B$11,Model!$B$20,0)-IF(72&lt;Model!$B$15,Model!$B$22,0))/(1-Model!$B$9)/(1+Model!$B$18)^72))</f>
        <v/>
      </c>
      <c r="CI46" s="7">
        <f>IF(A46="","",IF((A46+73)&gt;Model!$B$4,0,MAX(0,Model!$B$6-IF((A46+73)&gt;=Model!$B$11,Model!$B$20,0)-IF(73&lt;Model!$B$15,Model!$B$22,0))/(1-Model!$B$9)/(1+Model!$B$18)^73))</f>
        <v/>
      </c>
      <c r="CJ46" s="7">
        <f>IF(A46="","",IF((A46+74)&gt;Model!$B$4,0,MAX(0,Model!$B$6-IF((A46+74)&gt;=Model!$B$11,Model!$B$20,0)-IF(74&lt;Model!$B$15,Model!$B$22,0))/(1-Model!$B$9)/(1+Model!$B$18)^74))</f>
        <v/>
      </c>
      <c r="CK46" s="7">
        <f>IF(A46="","",IF((A46+75)&gt;Model!$B$4,0,MAX(0,Model!$B$6-IF((A46+75)&gt;=Model!$B$11,Model!$B$20,0)-IF(75&lt;Model!$B$15,Model!$B$22,0))/(1-Model!$B$9)/(1+Model!$B$18)^75))</f>
        <v/>
      </c>
      <c r="CL46" s="7">
        <f>IF(A46="","",IF((A46+76)&gt;Model!$B$4,0,MAX(0,Model!$B$6-IF((A46+76)&gt;=Model!$B$11,Model!$B$20,0)-IF(76&lt;Model!$B$15,Model!$B$22,0))/(1-Model!$B$9)/(1+Model!$B$18)^76))</f>
        <v/>
      </c>
      <c r="CM46" s="7">
        <f>IF(A46="","",IF((A46+77)&gt;Model!$B$4,0,MAX(0,Model!$B$6-IF((A46+77)&gt;=Model!$B$11,Model!$B$20,0)-IF(77&lt;Model!$B$15,Model!$B$22,0))/(1-Model!$B$9)/(1+Model!$B$18)^77))</f>
        <v/>
      </c>
      <c r="CN46" s="7">
        <f>IF(A46="","",IF((A46+78)&gt;Model!$B$4,0,MAX(0,Model!$B$6-IF((A46+78)&gt;=Model!$B$11,Model!$B$20,0)-IF(78&lt;Model!$B$15,Model!$B$22,0))/(1-Model!$B$9)/(1+Model!$B$18)^78))</f>
        <v/>
      </c>
      <c r="CO46" s="7">
        <f>IF(A46="","",IF((A46+79)&gt;Model!$B$4,0,MAX(0,Model!$B$6-IF((A46+79)&gt;=Model!$B$11,Model!$B$20,0)-IF(79&lt;Model!$B$15,Model!$B$22,0))/(1-Model!$B$9)/(1+Model!$B$18)^79))</f>
        <v/>
      </c>
      <c r="CP46" s="7">
        <f>IF(A46="","",IF((A46+80)&gt;Model!$B$4,0,MAX(0,Model!$B$6-IF((A46+80)&gt;=Model!$B$11,Model!$B$20,0)-IF(80&lt;Model!$B$15,Model!$B$22,0))/(1-Model!$B$9)/(1+Model!$B$18)^80))</f>
        <v/>
      </c>
      <c r="CQ46" s="7">
        <f>IF(A46="","",IF((A46+81)&gt;Model!$B$4,0,MAX(0,Model!$B$6-IF((A46+81)&gt;=Model!$B$11,Model!$B$20,0)-IF(81&lt;Model!$B$15,Model!$B$22,0))/(1-Model!$B$9)/(1+Model!$B$18)^81))</f>
        <v/>
      </c>
      <c r="CR46" s="7">
        <f>IF(A46="","",IF((A46+82)&gt;Model!$B$4,0,MAX(0,Model!$B$6-IF((A46+82)&gt;=Model!$B$11,Model!$B$20,0)-IF(82&lt;Model!$B$15,Model!$B$22,0))/(1-Model!$B$9)/(1+Model!$B$18)^82))</f>
        <v/>
      </c>
      <c r="CS46" s="7">
        <f>IF(A46="","",IF((A46+83)&gt;Model!$B$4,0,MAX(0,Model!$B$6-IF((A46+83)&gt;=Model!$B$11,Model!$B$20,0)-IF(83&lt;Model!$B$15,Model!$B$22,0))/(1-Model!$B$9)/(1+Model!$B$18)^83))</f>
        <v/>
      </c>
      <c r="CT46" s="7">
        <f>IF(A46="","",IF((A46+84)&gt;Model!$B$4,0,MAX(0,Model!$B$6-IF((A46+84)&gt;=Model!$B$11,Model!$B$20,0)-IF(84&lt;Model!$B$15,Model!$B$22,0))/(1-Model!$B$9)/(1+Model!$B$18)^84))</f>
        <v/>
      </c>
      <c r="CU46" s="7">
        <f>IF(A46="","",IF((A46+85)&gt;Model!$B$4,0,MAX(0,Model!$B$6-IF((A46+85)&gt;=Model!$B$11,Model!$B$20,0)-IF(85&lt;Model!$B$15,Model!$B$22,0))/(1-Model!$B$9)/(1+Model!$B$18)^85))</f>
        <v/>
      </c>
      <c r="CV46" s="7">
        <f>IF(A46="","",IF((A46+86)&gt;Model!$B$4,0,MAX(0,Model!$B$6-IF((A46+86)&gt;=Model!$B$11,Model!$B$20,0)-IF(86&lt;Model!$B$15,Model!$B$22,0))/(1-Model!$B$9)/(1+Model!$B$18)^86))</f>
        <v/>
      </c>
      <c r="CW46" s="7">
        <f>IF(A46="","",IF((A46+87)&gt;Model!$B$4,0,MAX(0,Model!$B$6-IF((A46+87)&gt;=Model!$B$11,Model!$B$20,0)-IF(87&lt;Model!$B$15,Model!$B$22,0))/(1-Model!$B$9)/(1+Model!$B$18)^87))</f>
        <v/>
      </c>
      <c r="CX46" s="7">
        <f>IF(A46="","",IF((A46+88)&gt;Model!$B$4,0,MAX(0,Model!$B$6-IF((A46+88)&gt;=Model!$B$11,Model!$B$20,0)-IF(88&lt;Model!$B$15,Model!$B$22,0))/(1-Model!$B$9)/(1+Model!$B$18)^88))</f>
        <v/>
      </c>
      <c r="CY46" s="7">
        <f>IF(A46="","",IF((A46+89)&gt;Model!$B$4,0,MAX(0,Model!$B$6-IF((A46+89)&gt;=Model!$B$11,Model!$B$20,0)-IF(89&lt;Model!$B$15,Model!$B$22,0))/(1-Model!$B$9)/(1+Model!$B$18)^89))</f>
        <v/>
      </c>
      <c r="CZ46" s="7">
        <f>IF(A46="","",IF((A46+90)&gt;Model!$B$4,0,MAX(0,Model!$B$6-IF((A46+90)&gt;=Model!$B$11,Model!$B$20,0)-IF(90&lt;Model!$B$15,Model!$B$22,0))/(1-Model!$B$9)/(1+Model!$B$18)^90))</f>
        <v/>
      </c>
      <c r="DA46" s="7">
        <f>IF(A46="","",IF((A46+91)&gt;Model!$B$4,0,MAX(0,Model!$B$6-IF((A46+91)&gt;=Model!$B$11,Model!$B$20,0)-IF(91&lt;Model!$B$15,Model!$B$22,0))/(1-Model!$B$9)/(1+Model!$B$18)^91))</f>
        <v/>
      </c>
      <c r="DB46" s="7">
        <f>IF(A46="","",IF((A46+92)&gt;Model!$B$4,0,MAX(0,Model!$B$6-IF((A46+92)&gt;=Model!$B$11,Model!$B$20,0)-IF(92&lt;Model!$B$15,Model!$B$22,0))/(1-Model!$B$9)/(1+Model!$B$18)^92))</f>
        <v/>
      </c>
      <c r="DC46" s="7">
        <f>IF(A46="","",IF((A46+93)&gt;Model!$B$4,0,MAX(0,Model!$B$6-IF((A46+93)&gt;=Model!$B$11,Model!$B$20,0)-IF(93&lt;Model!$B$15,Model!$B$22,0))/(1-Model!$B$9)/(1+Model!$B$18)^93))</f>
        <v/>
      </c>
      <c r="DD46" s="7">
        <f>IF(A46="","",IF((A46+94)&gt;Model!$B$4,0,MAX(0,Model!$B$6-IF((A46+94)&gt;=Model!$B$11,Model!$B$20,0)-IF(94&lt;Model!$B$15,Model!$B$22,0))/(1-Model!$B$9)/(1+Model!$B$18)^94))</f>
        <v/>
      </c>
      <c r="DE46" s="7">
        <f>IF(A46="","",IF((A46+95)&gt;Model!$B$4,0,MAX(0,Model!$B$6-IF((A46+95)&gt;=Model!$B$11,Model!$B$20,0)-IF(95&lt;Model!$B$15,Model!$B$22,0))/(1-Model!$B$9)/(1+Model!$B$18)^95))</f>
        <v/>
      </c>
      <c r="DF46" s="7">
        <f>IF(A46="","",IF((A46+96)&gt;Model!$B$4,0,MAX(0,Model!$B$6-IF((A46+96)&gt;=Model!$B$11,Model!$B$20,0)-IF(96&lt;Model!$B$15,Model!$B$22,0))/(1-Model!$B$9)/(1+Model!$B$18)^96))</f>
        <v/>
      </c>
      <c r="DG46" s="7">
        <f>IF(A46="","",IF((A46+97)&gt;Model!$B$4,0,MAX(0,Model!$B$6-IF((A46+97)&gt;=Model!$B$11,Model!$B$20,0)-IF(97&lt;Model!$B$15,Model!$B$22,0))/(1-Model!$B$9)/(1+Model!$B$18)^97))</f>
        <v/>
      </c>
      <c r="DH46" s="7">
        <f>IF(A46="","",IF((A46+98)&gt;Model!$B$4,0,MAX(0,Model!$B$6-IF((A46+98)&gt;=Model!$B$11,Model!$B$20,0)-IF(98&lt;Model!$B$15,Model!$B$22,0))/(1-Model!$B$9)/(1+Model!$B$18)^98))</f>
        <v/>
      </c>
      <c r="DI46" s="7">
        <f>IF(A46="","",IF((A46+99)&gt;Model!$B$4,0,MAX(0,Model!$B$6-IF((A46+99)&gt;=Model!$B$11,Model!$B$20,0)-IF(99&lt;Model!$B$15,Model!$B$22,0))/(1-Model!$B$9)/(1+Model!$B$18)^99))</f>
        <v/>
      </c>
      <c r="DJ46" s="7">
        <f>IF(A46="","",IF((A46+100)&gt;Model!$B$4,0,MAX(0,Model!$B$6-IF((A46+100)&gt;=Model!$B$11,Model!$B$20,0)-IF(100&lt;Model!$B$15,Model!$B$22,0))/(1-Model!$B$9)/(1+Model!$B$18)^100))</f>
        <v/>
      </c>
      <c r="DK46" s="7">
        <f>IF(A46="","",IF((A46+101)&gt;Model!$B$4,0,MAX(0,Model!$B$6-IF((A46+101)&gt;=Model!$B$11,Model!$B$20,0)-IF(101&lt;Model!$B$15,Model!$B$22,0))/(1-Model!$B$9)/(1+Model!$B$18)^101))</f>
        <v/>
      </c>
      <c r="DL46" s="7">
        <f>IF(A46="","",IF((A46+102)&gt;Model!$B$4,0,MAX(0,Model!$B$6-IF((A46+102)&gt;=Model!$B$11,Model!$B$20,0)-IF(102&lt;Model!$B$15,Model!$B$22,0))/(1-Model!$B$9)/(1+Model!$B$18)^102))</f>
        <v/>
      </c>
      <c r="DM46" s="7">
        <f>IF(A46="","",IF((A46+103)&gt;Model!$B$4,0,MAX(0,Model!$B$6-IF((A46+103)&gt;=Model!$B$11,Model!$B$20,0)-IF(103&lt;Model!$B$15,Model!$B$22,0))/(1-Model!$B$9)/(1+Model!$B$18)^103))</f>
        <v/>
      </c>
      <c r="DN46" s="7">
        <f>IF(A46="","",IF((A46+104)&gt;Model!$B$4,0,MAX(0,Model!$B$6-IF((A46+104)&gt;=Model!$B$11,Model!$B$20,0)-IF(104&lt;Model!$B$15,Model!$B$22,0))/(1-Model!$B$9)/(1+Model!$B$18)^104))</f>
        <v/>
      </c>
      <c r="DO46" s="7">
        <f>IF(A46="","",IF((A46+105)&gt;Model!$B$4,0,MAX(0,Model!$B$6-IF((A46+105)&gt;=Model!$B$11,Model!$B$20,0)-IF(105&lt;Model!$B$15,Model!$B$22,0))/(1-Model!$B$9)/(1+Model!$B$18)^105))</f>
        <v/>
      </c>
      <c r="DP46" s="7">
        <f>IF(A46="","",IF((A46+106)&gt;Model!$B$4,0,MAX(0,Model!$B$6-IF((A46+106)&gt;=Model!$B$11,Model!$B$20,0)-IF(106&lt;Model!$B$15,Model!$B$22,0))/(1-Model!$B$9)/(1+Model!$B$18)^106))</f>
        <v/>
      </c>
      <c r="DQ46" s="7">
        <f>IF(A46="","",IF((A46+107)&gt;Model!$B$4,0,MAX(0,Model!$B$6-IF((A46+107)&gt;=Model!$B$11,Model!$B$20,0)-IF(107&lt;Model!$B$15,Model!$B$22,0))/(1-Model!$B$9)/(1+Model!$B$18)^107))</f>
        <v/>
      </c>
      <c r="DR46" s="7">
        <f>IF(A46="","",IF((A46+108)&gt;Model!$B$4,0,MAX(0,Model!$B$6-IF((A46+108)&gt;=Model!$B$11,Model!$B$20,0)-IF(108&lt;Model!$B$15,Model!$B$22,0))/(1-Model!$B$9)/(1+Model!$B$18)^108))</f>
        <v/>
      </c>
      <c r="DS46" s="7">
        <f>IF(A46="","",IF((A46+109)&gt;Model!$B$4,0,MAX(0,Model!$B$6-IF((A46+109)&gt;=Model!$B$11,Model!$B$20,0)-IF(109&lt;Model!$B$15,Model!$B$22,0))/(1-Model!$B$9)/(1+Model!$B$18)^109))</f>
        <v/>
      </c>
      <c r="DT46" s="7">
        <f>IF(A46="","",IF((A46+110)&gt;Model!$B$4,0,MAX(0,Model!$B$6-IF((A46+110)&gt;=Model!$B$11,Model!$B$20,0)-IF(110&lt;Model!$B$15,Model!$B$22,0))/(1-Model!$B$9)/(1+Model!$B$18)^110))</f>
        <v/>
      </c>
      <c r="DU46" s="7">
        <f>IF(A46="","",IF((A46+111)&gt;Model!$B$4,0,MAX(0,Model!$B$6-IF((A46+111)&gt;=Model!$B$11,Model!$B$20,0)-IF(111&lt;Model!$B$15,Model!$B$22,0))/(1-Model!$B$9)/(1+Model!$B$18)^111))</f>
        <v/>
      </c>
      <c r="DV46" s="7">
        <f>IF(A46="","",IF((A46+112)&gt;Model!$B$4,0,MAX(0,Model!$B$6-IF((A46+112)&gt;=Model!$B$11,Model!$B$20,0)-IF(112&lt;Model!$B$15,Model!$B$22,0))/(1-Model!$B$9)/(1+Model!$B$18)^112))</f>
        <v/>
      </c>
      <c r="DW46" s="7">
        <f>IF(A46="","",IF((A46+113)&gt;Model!$B$4,0,MAX(0,Model!$B$6-IF((A46+113)&gt;=Model!$B$11,Model!$B$20,0)-IF(113&lt;Model!$B$15,Model!$B$22,0))/(1-Model!$B$9)/(1+Model!$B$18)^113))</f>
        <v/>
      </c>
      <c r="DX46" s="7">
        <f>IF(A46="","",IF((A46+114)&gt;Model!$B$4,0,MAX(0,Model!$B$6-IF((A46+114)&gt;=Model!$B$11,Model!$B$20,0)-IF(114&lt;Model!$B$15,Model!$B$22,0))/(1-Model!$B$9)/(1+Model!$B$18)^114))</f>
        <v/>
      </c>
      <c r="DY46" s="7">
        <f>IF(A46="","",IF((A46+115)&gt;Model!$B$4,0,MAX(0,Model!$B$6-IF((A46+115)&gt;=Model!$B$11,Model!$B$20,0)-IF(115&lt;Model!$B$15,Model!$B$22,0))/(1-Model!$B$9)/(1+Model!$B$18)^115))</f>
        <v/>
      </c>
      <c r="DZ46" s="7">
        <f>IF(A46="","",IF((A46+116)&gt;Model!$B$4,0,MAX(0,Model!$B$6-IF((A46+116)&gt;=Model!$B$11,Model!$B$20,0)-IF(116&lt;Model!$B$15,Model!$B$22,0))/(1-Model!$B$9)/(1+Model!$B$18)^116))</f>
        <v/>
      </c>
      <c r="EA46" s="7">
        <f>IF(A46="","",IF((A46+117)&gt;Model!$B$4,0,MAX(0,Model!$B$6-IF((A46+117)&gt;=Model!$B$11,Model!$B$20,0)-IF(117&lt;Model!$B$15,Model!$B$22,0))/(1-Model!$B$9)/(1+Model!$B$18)^117))</f>
        <v/>
      </c>
      <c r="EB46" s="7">
        <f>IF(A46="","",IF((A46+118)&gt;Model!$B$4,0,MAX(0,Model!$B$6-IF((A46+118)&gt;=Model!$B$11,Model!$B$20,0)-IF(118&lt;Model!$B$15,Model!$B$22,0))/(1-Model!$B$9)/(1+Model!$B$18)^118))</f>
        <v/>
      </c>
      <c r="EC46" s="7">
        <f>IF(A46="","",IF((A46+119)&gt;Model!$B$4,0,MAX(0,Model!$B$6-IF((A46+119)&gt;=Model!$B$11,Model!$B$20,0)-IF(119&lt;Model!$B$15,Model!$B$22,0))/(1-Model!$B$9)/(1+Model!$B$18)^119))</f>
        <v/>
      </c>
      <c r="ED46" s="7">
        <f>IF(A46="","",IF((A46+120)&gt;Model!$B$4,0,MAX(0,Model!$B$6-IF((A46+120)&gt;=Model!$B$11,Model!$B$20,0)-IF(120&lt;Model!$B$15,Model!$B$22,0))/(1-Model!$B$9)/(1+Model!$B$18)^120))</f>
        <v/>
      </c>
    </row>
    <row r="47">
      <c r="A47">
        <f>IF(Model!$B$10+ROW()-2&lt;=Model!$B$4,Model!$B$10+ROW()-2,"")</f>
        <v/>
      </c>
      <c r="B47">
        <f>IF(A47="","",A47-Model!$B$10)</f>
        <v/>
      </c>
      <c r="C47" s="7">
        <f>IF(A47="","",Model!$B$5*(1+Model!$B$18)^B47)</f>
        <v/>
      </c>
      <c r="D47" s="7">
        <f>IF(A47="","",SUM(N47:ED47))</f>
        <v/>
      </c>
      <c r="E47" s="7">
        <f>IF(A47="","",IF(A47&gt;=Model!$B$11,Model!$B$20,0))</f>
        <v/>
      </c>
      <c r="F47" s="7">
        <f>IF(A47="","",IF(Model!$B$15&gt;0,Model!$B$22,0))</f>
        <v/>
      </c>
      <c r="G47" s="7">
        <f>IF(A47="","",E47+F47)</f>
        <v/>
      </c>
      <c r="H47" s="7">
        <f>IF(A47="","",MAX(0,Model!$B$6-G47))</f>
        <v/>
      </c>
      <c r="I47" s="7">
        <f>IF(A47="","",H47/(1-Model!$B$9))</f>
        <v/>
      </c>
      <c r="J47" s="7">
        <f>IF(A47="","",C47-D47)</f>
        <v/>
      </c>
      <c r="K47">
        <f>IF(A47="","",C47&gt;=D47)</f>
        <v/>
      </c>
      <c r="L47" s="7">
        <f>IF(A47="","",IF(A47&gt;=Model!$B$11,Model!$B$19*(1+Model!$B$13)^B47,0))</f>
        <v/>
      </c>
      <c r="M47" s="7">
        <f>IF(A47="","",IF(Model!$B$15&gt;0,Model!$B$21*(1+Model!$B$13)^B47,0))</f>
        <v/>
      </c>
      <c r="N47" s="7">
        <f>IF(A47="","",IF((A47+0)&gt;Model!$B$4,0,MAX(0,Model!$B$6-IF((A47+0)&gt;=Model!$B$11,Model!$B$20,0)-IF(0&lt;Model!$B$15,Model!$B$22,0))/(1-Model!$B$9)/(1+Model!$B$18)^0))</f>
        <v/>
      </c>
      <c r="O47" s="7">
        <f>IF(A47="","",IF((A47+1)&gt;Model!$B$4,0,MAX(0,Model!$B$6-IF((A47+1)&gt;=Model!$B$11,Model!$B$20,0)-IF(1&lt;Model!$B$15,Model!$B$22,0))/(1-Model!$B$9)/(1+Model!$B$18)^1))</f>
        <v/>
      </c>
      <c r="P47" s="7">
        <f>IF(A47="","",IF((A47+2)&gt;Model!$B$4,0,MAX(0,Model!$B$6-IF((A47+2)&gt;=Model!$B$11,Model!$B$20,0)-IF(2&lt;Model!$B$15,Model!$B$22,0))/(1-Model!$B$9)/(1+Model!$B$18)^2))</f>
        <v/>
      </c>
      <c r="Q47" s="7">
        <f>IF(A47="","",IF((A47+3)&gt;Model!$B$4,0,MAX(0,Model!$B$6-IF((A47+3)&gt;=Model!$B$11,Model!$B$20,0)-IF(3&lt;Model!$B$15,Model!$B$22,0))/(1-Model!$B$9)/(1+Model!$B$18)^3))</f>
        <v/>
      </c>
      <c r="R47" s="7">
        <f>IF(A47="","",IF((A47+4)&gt;Model!$B$4,0,MAX(0,Model!$B$6-IF((A47+4)&gt;=Model!$B$11,Model!$B$20,0)-IF(4&lt;Model!$B$15,Model!$B$22,0))/(1-Model!$B$9)/(1+Model!$B$18)^4))</f>
        <v/>
      </c>
      <c r="S47" s="7">
        <f>IF(A47="","",IF((A47+5)&gt;Model!$B$4,0,MAX(0,Model!$B$6-IF((A47+5)&gt;=Model!$B$11,Model!$B$20,0)-IF(5&lt;Model!$B$15,Model!$B$22,0))/(1-Model!$B$9)/(1+Model!$B$18)^5))</f>
        <v/>
      </c>
      <c r="T47" s="7">
        <f>IF(A47="","",IF((A47+6)&gt;Model!$B$4,0,MAX(0,Model!$B$6-IF((A47+6)&gt;=Model!$B$11,Model!$B$20,0)-IF(6&lt;Model!$B$15,Model!$B$22,0))/(1-Model!$B$9)/(1+Model!$B$18)^6))</f>
        <v/>
      </c>
      <c r="U47" s="7">
        <f>IF(A47="","",IF((A47+7)&gt;Model!$B$4,0,MAX(0,Model!$B$6-IF((A47+7)&gt;=Model!$B$11,Model!$B$20,0)-IF(7&lt;Model!$B$15,Model!$B$22,0))/(1-Model!$B$9)/(1+Model!$B$18)^7))</f>
        <v/>
      </c>
      <c r="V47" s="7">
        <f>IF(A47="","",IF((A47+8)&gt;Model!$B$4,0,MAX(0,Model!$B$6-IF((A47+8)&gt;=Model!$B$11,Model!$B$20,0)-IF(8&lt;Model!$B$15,Model!$B$22,0))/(1-Model!$B$9)/(1+Model!$B$18)^8))</f>
        <v/>
      </c>
      <c r="W47" s="7">
        <f>IF(A47="","",IF((A47+9)&gt;Model!$B$4,0,MAX(0,Model!$B$6-IF((A47+9)&gt;=Model!$B$11,Model!$B$20,0)-IF(9&lt;Model!$B$15,Model!$B$22,0))/(1-Model!$B$9)/(1+Model!$B$18)^9))</f>
        <v/>
      </c>
      <c r="X47" s="7">
        <f>IF(A47="","",IF((A47+10)&gt;Model!$B$4,0,MAX(0,Model!$B$6-IF((A47+10)&gt;=Model!$B$11,Model!$B$20,0)-IF(10&lt;Model!$B$15,Model!$B$22,0))/(1-Model!$B$9)/(1+Model!$B$18)^10))</f>
        <v/>
      </c>
      <c r="Y47" s="7">
        <f>IF(A47="","",IF((A47+11)&gt;Model!$B$4,0,MAX(0,Model!$B$6-IF((A47+11)&gt;=Model!$B$11,Model!$B$20,0)-IF(11&lt;Model!$B$15,Model!$B$22,0))/(1-Model!$B$9)/(1+Model!$B$18)^11))</f>
        <v/>
      </c>
      <c r="Z47" s="7">
        <f>IF(A47="","",IF((A47+12)&gt;Model!$B$4,0,MAX(0,Model!$B$6-IF((A47+12)&gt;=Model!$B$11,Model!$B$20,0)-IF(12&lt;Model!$B$15,Model!$B$22,0))/(1-Model!$B$9)/(1+Model!$B$18)^12))</f>
        <v/>
      </c>
      <c r="AA47" s="7">
        <f>IF(A47="","",IF((A47+13)&gt;Model!$B$4,0,MAX(0,Model!$B$6-IF((A47+13)&gt;=Model!$B$11,Model!$B$20,0)-IF(13&lt;Model!$B$15,Model!$B$22,0))/(1-Model!$B$9)/(1+Model!$B$18)^13))</f>
        <v/>
      </c>
      <c r="AB47" s="7">
        <f>IF(A47="","",IF((A47+14)&gt;Model!$B$4,0,MAX(0,Model!$B$6-IF((A47+14)&gt;=Model!$B$11,Model!$B$20,0)-IF(14&lt;Model!$B$15,Model!$B$22,0))/(1-Model!$B$9)/(1+Model!$B$18)^14))</f>
        <v/>
      </c>
      <c r="AC47" s="7">
        <f>IF(A47="","",IF((A47+15)&gt;Model!$B$4,0,MAX(0,Model!$B$6-IF((A47+15)&gt;=Model!$B$11,Model!$B$20,0)-IF(15&lt;Model!$B$15,Model!$B$22,0))/(1-Model!$B$9)/(1+Model!$B$18)^15))</f>
        <v/>
      </c>
      <c r="AD47" s="7">
        <f>IF(A47="","",IF((A47+16)&gt;Model!$B$4,0,MAX(0,Model!$B$6-IF((A47+16)&gt;=Model!$B$11,Model!$B$20,0)-IF(16&lt;Model!$B$15,Model!$B$22,0))/(1-Model!$B$9)/(1+Model!$B$18)^16))</f>
        <v/>
      </c>
      <c r="AE47" s="7">
        <f>IF(A47="","",IF((A47+17)&gt;Model!$B$4,0,MAX(0,Model!$B$6-IF((A47+17)&gt;=Model!$B$11,Model!$B$20,0)-IF(17&lt;Model!$B$15,Model!$B$22,0))/(1-Model!$B$9)/(1+Model!$B$18)^17))</f>
        <v/>
      </c>
      <c r="AF47" s="7">
        <f>IF(A47="","",IF((A47+18)&gt;Model!$B$4,0,MAX(0,Model!$B$6-IF((A47+18)&gt;=Model!$B$11,Model!$B$20,0)-IF(18&lt;Model!$B$15,Model!$B$22,0))/(1-Model!$B$9)/(1+Model!$B$18)^18))</f>
        <v/>
      </c>
      <c r="AG47" s="7">
        <f>IF(A47="","",IF((A47+19)&gt;Model!$B$4,0,MAX(0,Model!$B$6-IF((A47+19)&gt;=Model!$B$11,Model!$B$20,0)-IF(19&lt;Model!$B$15,Model!$B$22,0))/(1-Model!$B$9)/(1+Model!$B$18)^19))</f>
        <v/>
      </c>
      <c r="AH47" s="7">
        <f>IF(A47="","",IF((A47+20)&gt;Model!$B$4,0,MAX(0,Model!$B$6-IF((A47+20)&gt;=Model!$B$11,Model!$B$20,0)-IF(20&lt;Model!$B$15,Model!$B$22,0))/(1-Model!$B$9)/(1+Model!$B$18)^20))</f>
        <v/>
      </c>
      <c r="AI47" s="7">
        <f>IF(A47="","",IF((A47+21)&gt;Model!$B$4,0,MAX(0,Model!$B$6-IF((A47+21)&gt;=Model!$B$11,Model!$B$20,0)-IF(21&lt;Model!$B$15,Model!$B$22,0))/(1-Model!$B$9)/(1+Model!$B$18)^21))</f>
        <v/>
      </c>
      <c r="AJ47" s="7">
        <f>IF(A47="","",IF((A47+22)&gt;Model!$B$4,0,MAX(0,Model!$B$6-IF((A47+22)&gt;=Model!$B$11,Model!$B$20,0)-IF(22&lt;Model!$B$15,Model!$B$22,0))/(1-Model!$B$9)/(1+Model!$B$18)^22))</f>
        <v/>
      </c>
      <c r="AK47" s="7">
        <f>IF(A47="","",IF((A47+23)&gt;Model!$B$4,0,MAX(0,Model!$B$6-IF((A47+23)&gt;=Model!$B$11,Model!$B$20,0)-IF(23&lt;Model!$B$15,Model!$B$22,0))/(1-Model!$B$9)/(1+Model!$B$18)^23))</f>
        <v/>
      </c>
      <c r="AL47" s="7">
        <f>IF(A47="","",IF((A47+24)&gt;Model!$B$4,0,MAX(0,Model!$B$6-IF((A47+24)&gt;=Model!$B$11,Model!$B$20,0)-IF(24&lt;Model!$B$15,Model!$B$22,0))/(1-Model!$B$9)/(1+Model!$B$18)^24))</f>
        <v/>
      </c>
      <c r="AM47" s="7">
        <f>IF(A47="","",IF((A47+25)&gt;Model!$B$4,0,MAX(0,Model!$B$6-IF((A47+25)&gt;=Model!$B$11,Model!$B$20,0)-IF(25&lt;Model!$B$15,Model!$B$22,0))/(1-Model!$B$9)/(1+Model!$B$18)^25))</f>
        <v/>
      </c>
      <c r="AN47" s="7">
        <f>IF(A47="","",IF((A47+26)&gt;Model!$B$4,0,MAX(0,Model!$B$6-IF((A47+26)&gt;=Model!$B$11,Model!$B$20,0)-IF(26&lt;Model!$B$15,Model!$B$22,0))/(1-Model!$B$9)/(1+Model!$B$18)^26))</f>
        <v/>
      </c>
      <c r="AO47" s="7">
        <f>IF(A47="","",IF((A47+27)&gt;Model!$B$4,0,MAX(0,Model!$B$6-IF((A47+27)&gt;=Model!$B$11,Model!$B$20,0)-IF(27&lt;Model!$B$15,Model!$B$22,0))/(1-Model!$B$9)/(1+Model!$B$18)^27))</f>
        <v/>
      </c>
      <c r="AP47" s="7">
        <f>IF(A47="","",IF((A47+28)&gt;Model!$B$4,0,MAX(0,Model!$B$6-IF((A47+28)&gt;=Model!$B$11,Model!$B$20,0)-IF(28&lt;Model!$B$15,Model!$B$22,0))/(1-Model!$B$9)/(1+Model!$B$18)^28))</f>
        <v/>
      </c>
      <c r="AQ47" s="7">
        <f>IF(A47="","",IF((A47+29)&gt;Model!$B$4,0,MAX(0,Model!$B$6-IF((A47+29)&gt;=Model!$B$11,Model!$B$20,0)-IF(29&lt;Model!$B$15,Model!$B$22,0))/(1-Model!$B$9)/(1+Model!$B$18)^29))</f>
        <v/>
      </c>
      <c r="AR47" s="7">
        <f>IF(A47="","",IF((A47+30)&gt;Model!$B$4,0,MAX(0,Model!$B$6-IF((A47+30)&gt;=Model!$B$11,Model!$B$20,0)-IF(30&lt;Model!$B$15,Model!$B$22,0))/(1-Model!$B$9)/(1+Model!$B$18)^30))</f>
        <v/>
      </c>
      <c r="AS47" s="7">
        <f>IF(A47="","",IF((A47+31)&gt;Model!$B$4,0,MAX(0,Model!$B$6-IF((A47+31)&gt;=Model!$B$11,Model!$B$20,0)-IF(31&lt;Model!$B$15,Model!$B$22,0))/(1-Model!$B$9)/(1+Model!$B$18)^31))</f>
        <v/>
      </c>
      <c r="AT47" s="7">
        <f>IF(A47="","",IF((A47+32)&gt;Model!$B$4,0,MAX(0,Model!$B$6-IF((A47+32)&gt;=Model!$B$11,Model!$B$20,0)-IF(32&lt;Model!$B$15,Model!$B$22,0))/(1-Model!$B$9)/(1+Model!$B$18)^32))</f>
        <v/>
      </c>
      <c r="AU47" s="7">
        <f>IF(A47="","",IF((A47+33)&gt;Model!$B$4,0,MAX(0,Model!$B$6-IF((A47+33)&gt;=Model!$B$11,Model!$B$20,0)-IF(33&lt;Model!$B$15,Model!$B$22,0))/(1-Model!$B$9)/(1+Model!$B$18)^33))</f>
        <v/>
      </c>
      <c r="AV47" s="7">
        <f>IF(A47="","",IF((A47+34)&gt;Model!$B$4,0,MAX(0,Model!$B$6-IF((A47+34)&gt;=Model!$B$11,Model!$B$20,0)-IF(34&lt;Model!$B$15,Model!$B$22,0))/(1-Model!$B$9)/(1+Model!$B$18)^34))</f>
        <v/>
      </c>
      <c r="AW47" s="7">
        <f>IF(A47="","",IF((A47+35)&gt;Model!$B$4,0,MAX(0,Model!$B$6-IF((A47+35)&gt;=Model!$B$11,Model!$B$20,0)-IF(35&lt;Model!$B$15,Model!$B$22,0))/(1-Model!$B$9)/(1+Model!$B$18)^35))</f>
        <v/>
      </c>
      <c r="AX47" s="7">
        <f>IF(A47="","",IF((A47+36)&gt;Model!$B$4,0,MAX(0,Model!$B$6-IF((A47+36)&gt;=Model!$B$11,Model!$B$20,0)-IF(36&lt;Model!$B$15,Model!$B$22,0))/(1-Model!$B$9)/(1+Model!$B$18)^36))</f>
        <v/>
      </c>
      <c r="AY47" s="7">
        <f>IF(A47="","",IF((A47+37)&gt;Model!$B$4,0,MAX(0,Model!$B$6-IF((A47+37)&gt;=Model!$B$11,Model!$B$20,0)-IF(37&lt;Model!$B$15,Model!$B$22,0))/(1-Model!$B$9)/(1+Model!$B$18)^37))</f>
        <v/>
      </c>
      <c r="AZ47" s="7">
        <f>IF(A47="","",IF((A47+38)&gt;Model!$B$4,0,MAX(0,Model!$B$6-IF((A47+38)&gt;=Model!$B$11,Model!$B$20,0)-IF(38&lt;Model!$B$15,Model!$B$22,0))/(1-Model!$B$9)/(1+Model!$B$18)^38))</f>
        <v/>
      </c>
      <c r="BA47" s="7">
        <f>IF(A47="","",IF((A47+39)&gt;Model!$B$4,0,MAX(0,Model!$B$6-IF((A47+39)&gt;=Model!$B$11,Model!$B$20,0)-IF(39&lt;Model!$B$15,Model!$B$22,0))/(1-Model!$B$9)/(1+Model!$B$18)^39))</f>
        <v/>
      </c>
      <c r="BB47" s="7">
        <f>IF(A47="","",IF((A47+40)&gt;Model!$B$4,0,MAX(0,Model!$B$6-IF((A47+40)&gt;=Model!$B$11,Model!$B$20,0)-IF(40&lt;Model!$B$15,Model!$B$22,0))/(1-Model!$B$9)/(1+Model!$B$18)^40))</f>
        <v/>
      </c>
      <c r="BC47" s="7">
        <f>IF(A47="","",IF((A47+41)&gt;Model!$B$4,0,MAX(0,Model!$B$6-IF((A47+41)&gt;=Model!$B$11,Model!$B$20,0)-IF(41&lt;Model!$B$15,Model!$B$22,0))/(1-Model!$B$9)/(1+Model!$B$18)^41))</f>
        <v/>
      </c>
      <c r="BD47" s="7">
        <f>IF(A47="","",IF((A47+42)&gt;Model!$B$4,0,MAX(0,Model!$B$6-IF((A47+42)&gt;=Model!$B$11,Model!$B$20,0)-IF(42&lt;Model!$B$15,Model!$B$22,0))/(1-Model!$B$9)/(1+Model!$B$18)^42))</f>
        <v/>
      </c>
      <c r="BE47" s="7">
        <f>IF(A47="","",IF((A47+43)&gt;Model!$B$4,0,MAX(0,Model!$B$6-IF((A47+43)&gt;=Model!$B$11,Model!$B$20,0)-IF(43&lt;Model!$B$15,Model!$B$22,0))/(1-Model!$B$9)/(1+Model!$B$18)^43))</f>
        <v/>
      </c>
      <c r="BF47" s="7">
        <f>IF(A47="","",IF((A47+44)&gt;Model!$B$4,0,MAX(0,Model!$B$6-IF((A47+44)&gt;=Model!$B$11,Model!$B$20,0)-IF(44&lt;Model!$B$15,Model!$B$22,0))/(1-Model!$B$9)/(1+Model!$B$18)^44))</f>
        <v/>
      </c>
      <c r="BG47" s="7">
        <f>IF(A47="","",IF((A47+45)&gt;Model!$B$4,0,MAX(0,Model!$B$6-IF((A47+45)&gt;=Model!$B$11,Model!$B$20,0)-IF(45&lt;Model!$B$15,Model!$B$22,0))/(1-Model!$B$9)/(1+Model!$B$18)^45))</f>
        <v/>
      </c>
      <c r="BH47" s="7">
        <f>IF(A47="","",IF((A47+46)&gt;Model!$B$4,0,MAX(0,Model!$B$6-IF((A47+46)&gt;=Model!$B$11,Model!$B$20,0)-IF(46&lt;Model!$B$15,Model!$B$22,0))/(1-Model!$B$9)/(1+Model!$B$18)^46))</f>
        <v/>
      </c>
      <c r="BI47" s="7">
        <f>IF(A47="","",IF((A47+47)&gt;Model!$B$4,0,MAX(0,Model!$B$6-IF((A47+47)&gt;=Model!$B$11,Model!$B$20,0)-IF(47&lt;Model!$B$15,Model!$B$22,0))/(1-Model!$B$9)/(1+Model!$B$18)^47))</f>
        <v/>
      </c>
      <c r="BJ47" s="7">
        <f>IF(A47="","",IF((A47+48)&gt;Model!$B$4,0,MAX(0,Model!$B$6-IF((A47+48)&gt;=Model!$B$11,Model!$B$20,0)-IF(48&lt;Model!$B$15,Model!$B$22,0))/(1-Model!$B$9)/(1+Model!$B$18)^48))</f>
        <v/>
      </c>
      <c r="BK47" s="7">
        <f>IF(A47="","",IF((A47+49)&gt;Model!$B$4,0,MAX(0,Model!$B$6-IF((A47+49)&gt;=Model!$B$11,Model!$B$20,0)-IF(49&lt;Model!$B$15,Model!$B$22,0))/(1-Model!$B$9)/(1+Model!$B$18)^49))</f>
        <v/>
      </c>
      <c r="BL47" s="7">
        <f>IF(A47="","",IF((A47+50)&gt;Model!$B$4,0,MAX(0,Model!$B$6-IF((A47+50)&gt;=Model!$B$11,Model!$B$20,0)-IF(50&lt;Model!$B$15,Model!$B$22,0))/(1-Model!$B$9)/(1+Model!$B$18)^50))</f>
        <v/>
      </c>
      <c r="BM47" s="7">
        <f>IF(A47="","",IF((A47+51)&gt;Model!$B$4,0,MAX(0,Model!$B$6-IF((A47+51)&gt;=Model!$B$11,Model!$B$20,0)-IF(51&lt;Model!$B$15,Model!$B$22,0))/(1-Model!$B$9)/(1+Model!$B$18)^51))</f>
        <v/>
      </c>
      <c r="BN47" s="7">
        <f>IF(A47="","",IF((A47+52)&gt;Model!$B$4,0,MAX(0,Model!$B$6-IF((A47+52)&gt;=Model!$B$11,Model!$B$20,0)-IF(52&lt;Model!$B$15,Model!$B$22,0))/(1-Model!$B$9)/(1+Model!$B$18)^52))</f>
        <v/>
      </c>
      <c r="BO47" s="7">
        <f>IF(A47="","",IF((A47+53)&gt;Model!$B$4,0,MAX(0,Model!$B$6-IF((A47+53)&gt;=Model!$B$11,Model!$B$20,0)-IF(53&lt;Model!$B$15,Model!$B$22,0))/(1-Model!$B$9)/(1+Model!$B$18)^53))</f>
        <v/>
      </c>
      <c r="BP47" s="7">
        <f>IF(A47="","",IF((A47+54)&gt;Model!$B$4,0,MAX(0,Model!$B$6-IF((A47+54)&gt;=Model!$B$11,Model!$B$20,0)-IF(54&lt;Model!$B$15,Model!$B$22,0))/(1-Model!$B$9)/(1+Model!$B$18)^54))</f>
        <v/>
      </c>
      <c r="BQ47" s="7">
        <f>IF(A47="","",IF((A47+55)&gt;Model!$B$4,0,MAX(0,Model!$B$6-IF((A47+55)&gt;=Model!$B$11,Model!$B$20,0)-IF(55&lt;Model!$B$15,Model!$B$22,0))/(1-Model!$B$9)/(1+Model!$B$18)^55))</f>
        <v/>
      </c>
      <c r="BR47" s="7">
        <f>IF(A47="","",IF((A47+56)&gt;Model!$B$4,0,MAX(0,Model!$B$6-IF((A47+56)&gt;=Model!$B$11,Model!$B$20,0)-IF(56&lt;Model!$B$15,Model!$B$22,0))/(1-Model!$B$9)/(1+Model!$B$18)^56))</f>
        <v/>
      </c>
      <c r="BS47" s="7">
        <f>IF(A47="","",IF((A47+57)&gt;Model!$B$4,0,MAX(0,Model!$B$6-IF((A47+57)&gt;=Model!$B$11,Model!$B$20,0)-IF(57&lt;Model!$B$15,Model!$B$22,0))/(1-Model!$B$9)/(1+Model!$B$18)^57))</f>
        <v/>
      </c>
      <c r="BT47" s="7">
        <f>IF(A47="","",IF((A47+58)&gt;Model!$B$4,0,MAX(0,Model!$B$6-IF((A47+58)&gt;=Model!$B$11,Model!$B$20,0)-IF(58&lt;Model!$B$15,Model!$B$22,0))/(1-Model!$B$9)/(1+Model!$B$18)^58))</f>
        <v/>
      </c>
      <c r="BU47" s="7">
        <f>IF(A47="","",IF((A47+59)&gt;Model!$B$4,0,MAX(0,Model!$B$6-IF((A47+59)&gt;=Model!$B$11,Model!$B$20,0)-IF(59&lt;Model!$B$15,Model!$B$22,0))/(1-Model!$B$9)/(1+Model!$B$18)^59))</f>
        <v/>
      </c>
      <c r="BV47" s="7">
        <f>IF(A47="","",IF((A47+60)&gt;Model!$B$4,0,MAX(0,Model!$B$6-IF((A47+60)&gt;=Model!$B$11,Model!$B$20,0)-IF(60&lt;Model!$B$15,Model!$B$22,0))/(1-Model!$B$9)/(1+Model!$B$18)^60))</f>
        <v/>
      </c>
      <c r="BW47" s="7">
        <f>IF(A47="","",IF((A47+61)&gt;Model!$B$4,0,MAX(0,Model!$B$6-IF((A47+61)&gt;=Model!$B$11,Model!$B$20,0)-IF(61&lt;Model!$B$15,Model!$B$22,0))/(1-Model!$B$9)/(1+Model!$B$18)^61))</f>
        <v/>
      </c>
      <c r="BX47" s="7">
        <f>IF(A47="","",IF((A47+62)&gt;Model!$B$4,0,MAX(0,Model!$B$6-IF((A47+62)&gt;=Model!$B$11,Model!$B$20,0)-IF(62&lt;Model!$B$15,Model!$B$22,0))/(1-Model!$B$9)/(1+Model!$B$18)^62))</f>
        <v/>
      </c>
      <c r="BY47" s="7">
        <f>IF(A47="","",IF((A47+63)&gt;Model!$B$4,0,MAX(0,Model!$B$6-IF((A47+63)&gt;=Model!$B$11,Model!$B$20,0)-IF(63&lt;Model!$B$15,Model!$B$22,0))/(1-Model!$B$9)/(1+Model!$B$18)^63))</f>
        <v/>
      </c>
      <c r="BZ47" s="7">
        <f>IF(A47="","",IF((A47+64)&gt;Model!$B$4,0,MAX(0,Model!$B$6-IF((A47+64)&gt;=Model!$B$11,Model!$B$20,0)-IF(64&lt;Model!$B$15,Model!$B$22,0))/(1-Model!$B$9)/(1+Model!$B$18)^64))</f>
        <v/>
      </c>
      <c r="CA47" s="7">
        <f>IF(A47="","",IF((A47+65)&gt;Model!$B$4,0,MAX(0,Model!$B$6-IF((A47+65)&gt;=Model!$B$11,Model!$B$20,0)-IF(65&lt;Model!$B$15,Model!$B$22,0))/(1-Model!$B$9)/(1+Model!$B$18)^65))</f>
        <v/>
      </c>
      <c r="CB47" s="7">
        <f>IF(A47="","",IF((A47+66)&gt;Model!$B$4,0,MAX(0,Model!$B$6-IF((A47+66)&gt;=Model!$B$11,Model!$B$20,0)-IF(66&lt;Model!$B$15,Model!$B$22,0))/(1-Model!$B$9)/(1+Model!$B$18)^66))</f>
        <v/>
      </c>
      <c r="CC47" s="7">
        <f>IF(A47="","",IF((A47+67)&gt;Model!$B$4,0,MAX(0,Model!$B$6-IF((A47+67)&gt;=Model!$B$11,Model!$B$20,0)-IF(67&lt;Model!$B$15,Model!$B$22,0))/(1-Model!$B$9)/(1+Model!$B$18)^67))</f>
        <v/>
      </c>
      <c r="CD47" s="7">
        <f>IF(A47="","",IF((A47+68)&gt;Model!$B$4,0,MAX(0,Model!$B$6-IF((A47+68)&gt;=Model!$B$11,Model!$B$20,0)-IF(68&lt;Model!$B$15,Model!$B$22,0))/(1-Model!$B$9)/(1+Model!$B$18)^68))</f>
        <v/>
      </c>
      <c r="CE47" s="7">
        <f>IF(A47="","",IF((A47+69)&gt;Model!$B$4,0,MAX(0,Model!$B$6-IF((A47+69)&gt;=Model!$B$11,Model!$B$20,0)-IF(69&lt;Model!$B$15,Model!$B$22,0))/(1-Model!$B$9)/(1+Model!$B$18)^69))</f>
        <v/>
      </c>
      <c r="CF47" s="7">
        <f>IF(A47="","",IF((A47+70)&gt;Model!$B$4,0,MAX(0,Model!$B$6-IF((A47+70)&gt;=Model!$B$11,Model!$B$20,0)-IF(70&lt;Model!$B$15,Model!$B$22,0))/(1-Model!$B$9)/(1+Model!$B$18)^70))</f>
        <v/>
      </c>
      <c r="CG47" s="7">
        <f>IF(A47="","",IF((A47+71)&gt;Model!$B$4,0,MAX(0,Model!$B$6-IF((A47+71)&gt;=Model!$B$11,Model!$B$20,0)-IF(71&lt;Model!$B$15,Model!$B$22,0))/(1-Model!$B$9)/(1+Model!$B$18)^71))</f>
        <v/>
      </c>
      <c r="CH47" s="7">
        <f>IF(A47="","",IF((A47+72)&gt;Model!$B$4,0,MAX(0,Model!$B$6-IF((A47+72)&gt;=Model!$B$11,Model!$B$20,0)-IF(72&lt;Model!$B$15,Model!$B$22,0))/(1-Model!$B$9)/(1+Model!$B$18)^72))</f>
        <v/>
      </c>
      <c r="CI47" s="7">
        <f>IF(A47="","",IF((A47+73)&gt;Model!$B$4,0,MAX(0,Model!$B$6-IF((A47+73)&gt;=Model!$B$11,Model!$B$20,0)-IF(73&lt;Model!$B$15,Model!$B$22,0))/(1-Model!$B$9)/(1+Model!$B$18)^73))</f>
        <v/>
      </c>
      <c r="CJ47" s="7">
        <f>IF(A47="","",IF((A47+74)&gt;Model!$B$4,0,MAX(0,Model!$B$6-IF((A47+74)&gt;=Model!$B$11,Model!$B$20,0)-IF(74&lt;Model!$B$15,Model!$B$22,0))/(1-Model!$B$9)/(1+Model!$B$18)^74))</f>
        <v/>
      </c>
      <c r="CK47" s="7">
        <f>IF(A47="","",IF((A47+75)&gt;Model!$B$4,0,MAX(0,Model!$B$6-IF((A47+75)&gt;=Model!$B$11,Model!$B$20,0)-IF(75&lt;Model!$B$15,Model!$B$22,0))/(1-Model!$B$9)/(1+Model!$B$18)^75))</f>
        <v/>
      </c>
      <c r="CL47" s="7">
        <f>IF(A47="","",IF((A47+76)&gt;Model!$B$4,0,MAX(0,Model!$B$6-IF((A47+76)&gt;=Model!$B$11,Model!$B$20,0)-IF(76&lt;Model!$B$15,Model!$B$22,0))/(1-Model!$B$9)/(1+Model!$B$18)^76))</f>
        <v/>
      </c>
      <c r="CM47" s="7">
        <f>IF(A47="","",IF((A47+77)&gt;Model!$B$4,0,MAX(0,Model!$B$6-IF((A47+77)&gt;=Model!$B$11,Model!$B$20,0)-IF(77&lt;Model!$B$15,Model!$B$22,0))/(1-Model!$B$9)/(1+Model!$B$18)^77))</f>
        <v/>
      </c>
      <c r="CN47" s="7">
        <f>IF(A47="","",IF((A47+78)&gt;Model!$B$4,0,MAX(0,Model!$B$6-IF((A47+78)&gt;=Model!$B$11,Model!$B$20,0)-IF(78&lt;Model!$B$15,Model!$B$22,0))/(1-Model!$B$9)/(1+Model!$B$18)^78))</f>
        <v/>
      </c>
      <c r="CO47" s="7">
        <f>IF(A47="","",IF((A47+79)&gt;Model!$B$4,0,MAX(0,Model!$B$6-IF((A47+79)&gt;=Model!$B$11,Model!$B$20,0)-IF(79&lt;Model!$B$15,Model!$B$22,0))/(1-Model!$B$9)/(1+Model!$B$18)^79))</f>
        <v/>
      </c>
      <c r="CP47" s="7">
        <f>IF(A47="","",IF((A47+80)&gt;Model!$B$4,0,MAX(0,Model!$B$6-IF((A47+80)&gt;=Model!$B$11,Model!$B$20,0)-IF(80&lt;Model!$B$15,Model!$B$22,0))/(1-Model!$B$9)/(1+Model!$B$18)^80))</f>
        <v/>
      </c>
      <c r="CQ47" s="7">
        <f>IF(A47="","",IF((A47+81)&gt;Model!$B$4,0,MAX(0,Model!$B$6-IF((A47+81)&gt;=Model!$B$11,Model!$B$20,0)-IF(81&lt;Model!$B$15,Model!$B$22,0))/(1-Model!$B$9)/(1+Model!$B$18)^81))</f>
        <v/>
      </c>
      <c r="CR47" s="7">
        <f>IF(A47="","",IF((A47+82)&gt;Model!$B$4,0,MAX(0,Model!$B$6-IF((A47+82)&gt;=Model!$B$11,Model!$B$20,0)-IF(82&lt;Model!$B$15,Model!$B$22,0))/(1-Model!$B$9)/(1+Model!$B$18)^82))</f>
        <v/>
      </c>
      <c r="CS47" s="7">
        <f>IF(A47="","",IF((A47+83)&gt;Model!$B$4,0,MAX(0,Model!$B$6-IF((A47+83)&gt;=Model!$B$11,Model!$B$20,0)-IF(83&lt;Model!$B$15,Model!$B$22,0))/(1-Model!$B$9)/(1+Model!$B$18)^83))</f>
        <v/>
      </c>
      <c r="CT47" s="7">
        <f>IF(A47="","",IF((A47+84)&gt;Model!$B$4,0,MAX(0,Model!$B$6-IF((A47+84)&gt;=Model!$B$11,Model!$B$20,0)-IF(84&lt;Model!$B$15,Model!$B$22,0))/(1-Model!$B$9)/(1+Model!$B$18)^84))</f>
        <v/>
      </c>
      <c r="CU47" s="7">
        <f>IF(A47="","",IF((A47+85)&gt;Model!$B$4,0,MAX(0,Model!$B$6-IF((A47+85)&gt;=Model!$B$11,Model!$B$20,0)-IF(85&lt;Model!$B$15,Model!$B$22,0))/(1-Model!$B$9)/(1+Model!$B$18)^85))</f>
        <v/>
      </c>
      <c r="CV47" s="7">
        <f>IF(A47="","",IF((A47+86)&gt;Model!$B$4,0,MAX(0,Model!$B$6-IF((A47+86)&gt;=Model!$B$11,Model!$B$20,0)-IF(86&lt;Model!$B$15,Model!$B$22,0))/(1-Model!$B$9)/(1+Model!$B$18)^86))</f>
        <v/>
      </c>
      <c r="CW47" s="7">
        <f>IF(A47="","",IF((A47+87)&gt;Model!$B$4,0,MAX(0,Model!$B$6-IF((A47+87)&gt;=Model!$B$11,Model!$B$20,0)-IF(87&lt;Model!$B$15,Model!$B$22,0))/(1-Model!$B$9)/(1+Model!$B$18)^87))</f>
        <v/>
      </c>
      <c r="CX47" s="7">
        <f>IF(A47="","",IF((A47+88)&gt;Model!$B$4,0,MAX(0,Model!$B$6-IF((A47+88)&gt;=Model!$B$11,Model!$B$20,0)-IF(88&lt;Model!$B$15,Model!$B$22,0))/(1-Model!$B$9)/(1+Model!$B$18)^88))</f>
        <v/>
      </c>
      <c r="CY47" s="7">
        <f>IF(A47="","",IF((A47+89)&gt;Model!$B$4,0,MAX(0,Model!$B$6-IF((A47+89)&gt;=Model!$B$11,Model!$B$20,0)-IF(89&lt;Model!$B$15,Model!$B$22,0))/(1-Model!$B$9)/(1+Model!$B$18)^89))</f>
        <v/>
      </c>
      <c r="CZ47" s="7">
        <f>IF(A47="","",IF((A47+90)&gt;Model!$B$4,0,MAX(0,Model!$B$6-IF((A47+90)&gt;=Model!$B$11,Model!$B$20,0)-IF(90&lt;Model!$B$15,Model!$B$22,0))/(1-Model!$B$9)/(1+Model!$B$18)^90))</f>
        <v/>
      </c>
      <c r="DA47" s="7">
        <f>IF(A47="","",IF((A47+91)&gt;Model!$B$4,0,MAX(0,Model!$B$6-IF((A47+91)&gt;=Model!$B$11,Model!$B$20,0)-IF(91&lt;Model!$B$15,Model!$B$22,0))/(1-Model!$B$9)/(1+Model!$B$18)^91))</f>
        <v/>
      </c>
      <c r="DB47" s="7">
        <f>IF(A47="","",IF((A47+92)&gt;Model!$B$4,0,MAX(0,Model!$B$6-IF((A47+92)&gt;=Model!$B$11,Model!$B$20,0)-IF(92&lt;Model!$B$15,Model!$B$22,0))/(1-Model!$B$9)/(1+Model!$B$18)^92))</f>
        <v/>
      </c>
      <c r="DC47" s="7">
        <f>IF(A47="","",IF((A47+93)&gt;Model!$B$4,0,MAX(0,Model!$B$6-IF((A47+93)&gt;=Model!$B$11,Model!$B$20,0)-IF(93&lt;Model!$B$15,Model!$B$22,0))/(1-Model!$B$9)/(1+Model!$B$18)^93))</f>
        <v/>
      </c>
      <c r="DD47" s="7">
        <f>IF(A47="","",IF((A47+94)&gt;Model!$B$4,0,MAX(0,Model!$B$6-IF((A47+94)&gt;=Model!$B$11,Model!$B$20,0)-IF(94&lt;Model!$B$15,Model!$B$22,0))/(1-Model!$B$9)/(1+Model!$B$18)^94))</f>
        <v/>
      </c>
      <c r="DE47" s="7">
        <f>IF(A47="","",IF((A47+95)&gt;Model!$B$4,0,MAX(0,Model!$B$6-IF((A47+95)&gt;=Model!$B$11,Model!$B$20,0)-IF(95&lt;Model!$B$15,Model!$B$22,0))/(1-Model!$B$9)/(1+Model!$B$18)^95))</f>
        <v/>
      </c>
      <c r="DF47" s="7">
        <f>IF(A47="","",IF((A47+96)&gt;Model!$B$4,0,MAX(0,Model!$B$6-IF((A47+96)&gt;=Model!$B$11,Model!$B$20,0)-IF(96&lt;Model!$B$15,Model!$B$22,0))/(1-Model!$B$9)/(1+Model!$B$18)^96))</f>
        <v/>
      </c>
      <c r="DG47" s="7">
        <f>IF(A47="","",IF((A47+97)&gt;Model!$B$4,0,MAX(0,Model!$B$6-IF((A47+97)&gt;=Model!$B$11,Model!$B$20,0)-IF(97&lt;Model!$B$15,Model!$B$22,0))/(1-Model!$B$9)/(1+Model!$B$18)^97))</f>
        <v/>
      </c>
      <c r="DH47" s="7">
        <f>IF(A47="","",IF((A47+98)&gt;Model!$B$4,0,MAX(0,Model!$B$6-IF((A47+98)&gt;=Model!$B$11,Model!$B$20,0)-IF(98&lt;Model!$B$15,Model!$B$22,0))/(1-Model!$B$9)/(1+Model!$B$18)^98))</f>
        <v/>
      </c>
      <c r="DI47" s="7">
        <f>IF(A47="","",IF((A47+99)&gt;Model!$B$4,0,MAX(0,Model!$B$6-IF((A47+99)&gt;=Model!$B$11,Model!$B$20,0)-IF(99&lt;Model!$B$15,Model!$B$22,0))/(1-Model!$B$9)/(1+Model!$B$18)^99))</f>
        <v/>
      </c>
      <c r="DJ47" s="7">
        <f>IF(A47="","",IF((A47+100)&gt;Model!$B$4,0,MAX(0,Model!$B$6-IF((A47+100)&gt;=Model!$B$11,Model!$B$20,0)-IF(100&lt;Model!$B$15,Model!$B$22,0))/(1-Model!$B$9)/(1+Model!$B$18)^100))</f>
        <v/>
      </c>
      <c r="DK47" s="7">
        <f>IF(A47="","",IF((A47+101)&gt;Model!$B$4,0,MAX(0,Model!$B$6-IF((A47+101)&gt;=Model!$B$11,Model!$B$20,0)-IF(101&lt;Model!$B$15,Model!$B$22,0))/(1-Model!$B$9)/(1+Model!$B$18)^101))</f>
        <v/>
      </c>
      <c r="DL47" s="7">
        <f>IF(A47="","",IF((A47+102)&gt;Model!$B$4,0,MAX(0,Model!$B$6-IF((A47+102)&gt;=Model!$B$11,Model!$B$20,0)-IF(102&lt;Model!$B$15,Model!$B$22,0))/(1-Model!$B$9)/(1+Model!$B$18)^102))</f>
        <v/>
      </c>
      <c r="DM47" s="7">
        <f>IF(A47="","",IF((A47+103)&gt;Model!$B$4,0,MAX(0,Model!$B$6-IF((A47+103)&gt;=Model!$B$11,Model!$B$20,0)-IF(103&lt;Model!$B$15,Model!$B$22,0))/(1-Model!$B$9)/(1+Model!$B$18)^103))</f>
        <v/>
      </c>
      <c r="DN47" s="7">
        <f>IF(A47="","",IF((A47+104)&gt;Model!$B$4,0,MAX(0,Model!$B$6-IF((A47+104)&gt;=Model!$B$11,Model!$B$20,0)-IF(104&lt;Model!$B$15,Model!$B$22,0))/(1-Model!$B$9)/(1+Model!$B$18)^104))</f>
        <v/>
      </c>
      <c r="DO47" s="7">
        <f>IF(A47="","",IF((A47+105)&gt;Model!$B$4,0,MAX(0,Model!$B$6-IF((A47+105)&gt;=Model!$B$11,Model!$B$20,0)-IF(105&lt;Model!$B$15,Model!$B$22,0))/(1-Model!$B$9)/(1+Model!$B$18)^105))</f>
        <v/>
      </c>
      <c r="DP47" s="7">
        <f>IF(A47="","",IF((A47+106)&gt;Model!$B$4,0,MAX(0,Model!$B$6-IF((A47+106)&gt;=Model!$B$11,Model!$B$20,0)-IF(106&lt;Model!$B$15,Model!$B$22,0))/(1-Model!$B$9)/(1+Model!$B$18)^106))</f>
        <v/>
      </c>
      <c r="DQ47" s="7">
        <f>IF(A47="","",IF((A47+107)&gt;Model!$B$4,0,MAX(0,Model!$B$6-IF((A47+107)&gt;=Model!$B$11,Model!$B$20,0)-IF(107&lt;Model!$B$15,Model!$B$22,0))/(1-Model!$B$9)/(1+Model!$B$18)^107))</f>
        <v/>
      </c>
      <c r="DR47" s="7">
        <f>IF(A47="","",IF((A47+108)&gt;Model!$B$4,0,MAX(0,Model!$B$6-IF((A47+108)&gt;=Model!$B$11,Model!$B$20,0)-IF(108&lt;Model!$B$15,Model!$B$22,0))/(1-Model!$B$9)/(1+Model!$B$18)^108))</f>
        <v/>
      </c>
      <c r="DS47" s="7">
        <f>IF(A47="","",IF((A47+109)&gt;Model!$B$4,0,MAX(0,Model!$B$6-IF((A47+109)&gt;=Model!$B$11,Model!$B$20,0)-IF(109&lt;Model!$B$15,Model!$B$22,0))/(1-Model!$B$9)/(1+Model!$B$18)^109))</f>
        <v/>
      </c>
      <c r="DT47" s="7">
        <f>IF(A47="","",IF((A47+110)&gt;Model!$B$4,0,MAX(0,Model!$B$6-IF((A47+110)&gt;=Model!$B$11,Model!$B$20,0)-IF(110&lt;Model!$B$15,Model!$B$22,0))/(1-Model!$B$9)/(1+Model!$B$18)^110))</f>
        <v/>
      </c>
      <c r="DU47" s="7">
        <f>IF(A47="","",IF((A47+111)&gt;Model!$B$4,0,MAX(0,Model!$B$6-IF((A47+111)&gt;=Model!$B$11,Model!$B$20,0)-IF(111&lt;Model!$B$15,Model!$B$22,0))/(1-Model!$B$9)/(1+Model!$B$18)^111))</f>
        <v/>
      </c>
      <c r="DV47" s="7">
        <f>IF(A47="","",IF((A47+112)&gt;Model!$B$4,0,MAX(0,Model!$B$6-IF((A47+112)&gt;=Model!$B$11,Model!$B$20,0)-IF(112&lt;Model!$B$15,Model!$B$22,0))/(1-Model!$B$9)/(1+Model!$B$18)^112))</f>
        <v/>
      </c>
      <c r="DW47" s="7">
        <f>IF(A47="","",IF((A47+113)&gt;Model!$B$4,0,MAX(0,Model!$B$6-IF((A47+113)&gt;=Model!$B$11,Model!$B$20,0)-IF(113&lt;Model!$B$15,Model!$B$22,0))/(1-Model!$B$9)/(1+Model!$B$18)^113))</f>
        <v/>
      </c>
      <c r="DX47" s="7">
        <f>IF(A47="","",IF((A47+114)&gt;Model!$B$4,0,MAX(0,Model!$B$6-IF((A47+114)&gt;=Model!$B$11,Model!$B$20,0)-IF(114&lt;Model!$B$15,Model!$B$22,0))/(1-Model!$B$9)/(1+Model!$B$18)^114))</f>
        <v/>
      </c>
      <c r="DY47" s="7">
        <f>IF(A47="","",IF((A47+115)&gt;Model!$B$4,0,MAX(0,Model!$B$6-IF((A47+115)&gt;=Model!$B$11,Model!$B$20,0)-IF(115&lt;Model!$B$15,Model!$B$22,0))/(1-Model!$B$9)/(1+Model!$B$18)^115))</f>
        <v/>
      </c>
      <c r="DZ47" s="7">
        <f>IF(A47="","",IF((A47+116)&gt;Model!$B$4,0,MAX(0,Model!$B$6-IF((A47+116)&gt;=Model!$B$11,Model!$B$20,0)-IF(116&lt;Model!$B$15,Model!$B$22,0))/(1-Model!$B$9)/(1+Model!$B$18)^116))</f>
        <v/>
      </c>
      <c r="EA47" s="7">
        <f>IF(A47="","",IF((A47+117)&gt;Model!$B$4,0,MAX(0,Model!$B$6-IF((A47+117)&gt;=Model!$B$11,Model!$B$20,0)-IF(117&lt;Model!$B$15,Model!$B$22,0))/(1-Model!$B$9)/(1+Model!$B$18)^117))</f>
        <v/>
      </c>
      <c r="EB47" s="7">
        <f>IF(A47="","",IF((A47+118)&gt;Model!$B$4,0,MAX(0,Model!$B$6-IF((A47+118)&gt;=Model!$B$11,Model!$B$20,0)-IF(118&lt;Model!$B$15,Model!$B$22,0))/(1-Model!$B$9)/(1+Model!$B$18)^118))</f>
        <v/>
      </c>
      <c r="EC47" s="7">
        <f>IF(A47="","",IF((A47+119)&gt;Model!$B$4,0,MAX(0,Model!$B$6-IF((A47+119)&gt;=Model!$B$11,Model!$B$20,0)-IF(119&lt;Model!$B$15,Model!$B$22,0))/(1-Model!$B$9)/(1+Model!$B$18)^119))</f>
        <v/>
      </c>
      <c r="ED47" s="7">
        <f>IF(A47="","",IF((A47+120)&gt;Model!$B$4,0,MAX(0,Model!$B$6-IF((A47+120)&gt;=Model!$B$11,Model!$B$20,0)-IF(120&lt;Model!$B$15,Model!$B$22,0))/(1-Model!$B$9)/(1+Model!$B$18)^120))</f>
        <v/>
      </c>
    </row>
    <row r="48">
      <c r="A48">
        <f>IF(Model!$B$10+ROW()-2&lt;=Model!$B$4,Model!$B$10+ROW()-2,"")</f>
        <v/>
      </c>
      <c r="B48">
        <f>IF(A48="","",A48-Model!$B$10)</f>
        <v/>
      </c>
      <c r="C48" s="7">
        <f>IF(A48="","",Model!$B$5*(1+Model!$B$18)^B48)</f>
        <v/>
      </c>
      <c r="D48" s="7">
        <f>IF(A48="","",SUM(N48:ED48))</f>
        <v/>
      </c>
      <c r="E48" s="7">
        <f>IF(A48="","",IF(A48&gt;=Model!$B$11,Model!$B$20,0))</f>
        <v/>
      </c>
      <c r="F48" s="7">
        <f>IF(A48="","",IF(Model!$B$15&gt;0,Model!$B$22,0))</f>
        <v/>
      </c>
      <c r="G48" s="7">
        <f>IF(A48="","",E48+F48)</f>
        <v/>
      </c>
      <c r="H48" s="7">
        <f>IF(A48="","",MAX(0,Model!$B$6-G48))</f>
        <v/>
      </c>
      <c r="I48" s="7">
        <f>IF(A48="","",H48/(1-Model!$B$9))</f>
        <v/>
      </c>
      <c r="J48" s="7">
        <f>IF(A48="","",C48-D48)</f>
        <v/>
      </c>
      <c r="K48">
        <f>IF(A48="","",C48&gt;=D48)</f>
        <v/>
      </c>
      <c r="L48" s="7">
        <f>IF(A48="","",IF(A48&gt;=Model!$B$11,Model!$B$19*(1+Model!$B$13)^B48,0))</f>
        <v/>
      </c>
      <c r="M48" s="7">
        <f>IF(A48="","",IF(Model!$B$15&gt;0,Model!$B$21*(1+Model!$B$13)^B48,0))</f>
        <v/>
      </c>
      <c r="N48" s="7">
        <f>IF(A48="","",IF((A48+0)&gt;Model!$B$4,0,MAX(0,Model!$B$6-IF((A48+0)&gt;=Model!$B$11,Model!$B$20,0)-IF(0&lt;Model!$B$15,Model!$B$22,0))/(1-Model!$B$9)/(1+Model!$B$18)^0))</f>
        <v/>
      </c>
      <c r="O48" s="7">
        <f>IF(A48="","",IF((A48+1)&gt;Model!$B$4,0,MAX(0,Model!$B$6-IF((A48+1)&gt;=Model!$B$11,Model!$B$20,0)-IF(1&lt;Model!$B$15,Model!$B$22,0))/(1-Model!$B$9)/(1+Model!$B$18)^1))</f>
        <v/>
      </c>
      <c r="P48" s="7">
        <f>IF(A48="","",IF((A48+2)&gt;Model!$B$4,0,MAX(0,Model!$B$6-IF((A48+2)&gt;=Model!$B$11,Model!$B$20,0)-IF(2&lt;Model!$B$15,Model!$B$22,0))/(1-Model!$B$9)/(1+Model!$B$18)^2))</f>
        <v/>
      </c>
      <c r="Q48" s="7">
        <f>IF(A48="","",IF((A48+3)&gt;Model!$B$4,0,MAX(0,Model!$B$6-IF((A48+3)&gt;=Model!$B$11,Model!$B$20,0)-IF(3&lt;Model!$B$15,Model!$B$22,0))/(1-Model!$B$9)/(1+Model!$B$18)^3))</f>
        <v/>
      </c>
      <c r="R48" s="7">
        <f>IF(A48="","",IF((A48+4)&gt;Model!$B$4,0,MAX(0,Model!$B$6-IF((A48+4)&gt;=Model!$B$11,Model!$B$20,0)-IF(4&lt;Model!$B$15,Model!$B$22,0))/(1-Model!$B$9)/(1+Model!$B$18)^4))</f>
        <v/>
      </c>
      <c r="S48" s="7">
        <f>IF(A48="","",IF((A48+5)&gt;Model!$B$4,0,MAX(0,Model!$B$6-IF((A48+5)&gt;=Model!$B$11,Model!$B$20,0)-IF(5&lt;Model!$B$15,Model!$B$22,0))/(1-Model!$B$9)/(1+Model!$B$18)^5))</f>
        <v/>
      </c>
      <c r="T48" s="7">
        <f>IF(A48="","",IF((A48+6)&gt;Model!$B$4,0,MAX(0,Model!$B$6-IF((A48+6)&gt;=Model!$B$11,Model!$B$20,0)-IF(6&lt;Model!$B$15,Model!$B$22,0))/(1-Model!$B$9)/(1+Model!$B$18)^6))</f>
        <v/>
      </c>
      <c r="U48" s="7">
        <f>IF(A48="","",IF((A48+7)&gt;Model!$B$4,0,MAX(0,Model!$B$6-IF((A48+7)&gt;=Model!$B$11,Model!$B$20,0)-IF(7&lt;Model!$B$15,Model!$B$22,0))/(1-Model!$B$9)/(1+Model!$B$18)^7))</f>
        <v/>
      </c>
      <c r="V48" s="7">
        <f>IF(A48="","",IF((A48+8)&gt;Model!$B$4,0,MAX(0,Model!$B$6-IF((A48+8)&gt;=Model!$B$11,Model!$B$20,0)-IF(8&lt;Model!$B$15,Model!$B$22,0))/(1-Model!$B$9)/(1+Model!$B$18)^8))</f>
        <v/>
      </c>
      <c r="W48" s="7">
        <f>IF(A48="","",IF((A48+9)&gt;Model!$B$4,0,MAX(0,Model!$B$6-IF((A48+9)&gt;=Model!$B$11,Model!$B$20,0)-IF(9&lt;Model!$B$15,Model!$B$22,0))/(1-Model!$B$9)/(1+Model!$B$18)^9))</f>
        <v/>
      </c>
      <c r="X48" s="7">
        <f>IF(A48="","",IF((A48+10)&gt;Model!$B$4,0,MAX(0,Model!$B$6-IF((A48+10)&gt;=Model!$B$11,Model!$B$20,0)-IF(10&lt;Model!$B$15,Model!$B$22,0))/(1-Model!$B$9)/(1+Model!$B$18)^10))</f>
        <v/>
      </c>
      <c r="Y48" s="7">
        <f>IF(A48="","",IF((A48+11)&gt;Model!$B$4,0,MAX(0,Model!$B$6-IF((A48+11)&gt;=Model!$B$11,Model!$B$20,0)-IF(11&lt;Model!$B$15,Model!$B$22,0))/(1-Model!$B$9)/(1+Model!$B$18)^11))</f>
        <v/>
      </c>
      <c r="Z48" s="7">
        <f>IF(A48="","",IF((A48+12)&gt;Model!$B$4,0,MAX(0,Model!$B$6-IF((A48+12)&gt;=Model!$B$11,Model!$B$20,0)-IF(12&lt;Model!$B$15,Model!$B$22,0))/(1-Model!$B$9)/(1+Model!$B$18)^12))</f>
        <v/>
      </c>
      <c r="AA48" s="7">
        <f>IF(A48="","",IF((A48+13)&gt;Model!$B$4,0,MAX(0,Model!$B$6-IF((A48+13)&gt;=Model!$B$11,Model!$B$20,0)-IF(13&lt;Model!$B$15,Model!$B$22,0))/(1-Model!$B$9)/(1+Model!$B$18)^13))</f>
        <v/>
      </c>
      <c r="AB48" s="7">
        <f>IF(A48="","",IF((A48+14)&gt;Model!$B$4,0,MAX(0,Model!$B$6-IF((A48+14)&gt;=Model!$B$11,Model!$B$20,0)-IF(14&lt;Model!$B$15,Model!$B$22,0))/(1-Model!$B$9)/(1+Model!$B$18)^14))</f>
        <v/>
      </c>
      <c r="AC48" s="7">
        <f>IF(A48="","",IF((A48+15)&gt;Model!$B$4,0,MAX(0,Model!$B$6-IF((A48+15)&gt;=Model!$B$11,Model!$B$20,0)-IF(15&lt;Model!$B$15,Model!$B$22,0))/(1-Model!$B$9)/(1+Model!$B$18)^15))</f>
        <v/>
      </c>
      <c r="AD48" s="7">
        <f>IF(A48="","",IF((A48+16)&gt;Model!$B$4,0,MAX(0,Model!$B$6-IF((A48+16)&gt;=Model!$B$11,Model!$B$20,0)-IF(16&lt;Model!$B$15,Model!$B$22,0))/(1-Model!$B$9)/(1+Model!$B$18)^16))</f>
        <v/>
      </c>
      <c r="AE48" s="7">
        <f>IF(A48="","",IF((A48+17)&gt;Model!$B$4,0,MAX(0,Model!$B$6-IF((A48+17)&gt;=Model!$B$11,Model!$B$20,0)-IF(17&lt;Model!$B$15,Model!$B$22,0))/(1-Model!$B$9)/(1+Model!$B$18)^17))</f>
        <v/>
      </c>
      <c r="AF48" s="7">
        <f>IF(A48="","",IF((A48+18)&gt;Model!$B$4,0,MAX(0,Model!$B$6-IF((A48+18)&gt;=Model!$B$11,Model!$B$20,0)-IF(18&lt;Model!$B$15,Model!$B$22,0))/(1-Model!$B$9)/(1+Model!$B$18)^18))</f>
        <v/>
      </c>
      <c r="AG48" s="7">
        <f>IF(A48="","",IF((A48+19)&gt;Model!$B$4,0,MAX(0,Model!$B$6-IF((A48+19)&gt;=Model!$B$11,Model!$B$20,0)-IF(19&lt;Model!$B$15,Model!$B$22,0))/(1-Model!$B$9)/(1+Model!$B$18)^19))</f>
        <v/>
      </c>
      <c r="AH48" s="7">
        <f>IF(A48="","",IF((A48+20)&gt;Model!$B$4,0,MAX(0,Model!$B$6-IF((A48+20)&gt;=Model!$B$11,Model!$B$20,0)-IF(20&lt;Model!$B$15,Model!$B$22,0))/(1-Model!$B$9)/(1+Model!$B$18)^20))</f>
        <v/>
      </c>
      <c r="AI48" s="7">
        <f>IF(A48="","",IF((A48+21)&gt;Model!$B$4,0,MAX(0,Model!$B$6-IF((A48+21)&gt;=Model!$B$11,Model!$B$20,0)-IF(21&lt;Model!$B$15,Model!$B$22,0))/(1-Model!$B$9)/(1+Model!$B$18)^21))</f>
        <v/>
      </c>
      <c r="AJ48" s="7">
        <f>IF(A48="","",IF((A48+22)&gt;Model!$B$4,0,MAX(0,Model!$B$6-IF((A48+22)&gt;=Model!$B$11,Model!$B$20,0)-IF(22&lt;Model!$B$15,Model!$B$22,0))/(1-Model!$B$9)/(1+Model!$B$18)^22))</f>
        <v/>
      </c>
      <c r="AK48" s="7">
        <f>IF(A48="","",IF((A48+23)&gt;Model!$B$4,0,MAX(0,Model!$B$6-IF((A48+23)&gt;=Model!$B$11,Model!$B$20,0)-IF(23&lt;Model!$B$15,Model!$B$22,0))/(1-Model!$B$9)/(1+Model!$B$18)^23))</f>
        <v/>
      </c>
      <c r="AL48" s="7">
        <f>IF(A48="","",IF((A48+24)&gt;Model!$B$4,0,MAX(0,Model!$B$6-IF((A48+24)&gt;=Model!$B$11,Model!$B$20,0)-IF(24&lt;Model!$B$15,Model!$B$22,0))/(1-Model!$B$9)/(1+Model!$B$18)^24))</f>
        <v/>
      </c>
      <c r="AM48" s="7">
        <f>IF(A48="","",IF((A48+25)&gt;Model!$B$4,0,MAX(0,Model!$B$6-IF((A48+25)&gt;=Model!$B$11,Model!$B$20,0)-IF(25&lt;Model!$B$15,Model!$B$22,0))/(1-Model!$B$9)/(1+Model!$B$18)^25))</f>
        <v/>
      </c>
      <c r="AN48" s="7">
        <f>IF(A48="","",IF((A48+26)&gt;Model!$B$4,0,MAX(0,Model!$B$6-IF((A48+26)&gt;=Model!$B$11,Model!$B$20,0)-IF(26&lt;Model!$B$15,Model!$B$22,0))/(1-Model!$B$9)/(1+Model!$B$18)^26))</f>
        <v/>
      </c>
      <c r="AO48" s="7">
        <f>IF(A48="","",IF((A48+27)&gt;Model!$B$4,0,MAX(0,Model!$B$6-IF((A48+27)&gt;=Model!$B$11,Model!$B$20,0)-IF(27&lt;Model!$B$15,Model!$B$22,0))/(1-Model!$B$9)/(1+Model!$B$18)^27))</f>
        <v/>
      </c>
      <c r="AP48" s="7">
        <f>IF(A48="","",IF((A48+28)&gt;Model!$B$4,0,MAX(0,Model!$B$6-IF((A48+28)&gt;=Model!$B$11,Model!$B$20,0)-IF(28&lt;Model!$B$15,Model!$B$22,0))/(1-Model!$B$9)/(1+Model!$B$18)^28))</f>
        <v/>
      </c>
      <c r="AQ48" s="7">
        <f>IF(A48="","",IF((A48+29)&gt;Model!$B$4,0,MAX(0,Model!$B$6-IF((A48+29)&gt;=Model!$B$11,Model!$B$20,0)-IF(29&lt;Model!$B$15,Model!$B$22,0))/(1-Model!$B$9)/(1+Model!$B$18)^29))</f>
        <v/>
      </c>
      <c r="AR48" s="7">
        <f>IF(A48="","",IF((A48+30)&gt;Model!$B$4,0,MAX(0,Model!$B$6-IF((A48+30)&gt;=Model!$B$11,Model!$B$20,0)-IF(30&lt;Model!$B$15,Model!$B$22,0))/(1-Model!$B$9)/(1+Model!$B$18)^30))</f>
        <v/>
      </c>
      <c r="AS48" s="7">
        <f>IF(A48="","",IF((A48+31)&gt;Model!$B$4,0,MAX(0,Model!$B$6-IF((A48+31)&gt;=Model!$B$11,Model!$B$20,0)-IF(31&lt;Model!$B$15,Model!$B$22,0))/(1-Model!$B$9)/(1+Model!$B$18)^31))</f>
        <v/>
      </c>
      <c r="AT48" s="7">
        <f>IF(A48="","",IF((A48+32)&gt;Model!$B$4,0,MAX(0,Model!$B$6-IF((A48+32)&gt;=Model!$B$11,Model!$B$20,0)-IF(32&lt;Model!$B$15,Model!$B$22,0))/(1-Model!$B$9)/(1+Model!$B$18)^32))</f>
        <v/>
      </c>
      <c r="AU48" s="7">
        <f>IF(A48="","",IF((A48+33)&gt;Model!$B$4,0,MAX(0,Model!$B$6-IF((A48+33)&gt;=Model!$B$11,Model!$B$20,0)-IF(33&lt;Model!$B$15,Model!$B$22,0))/(1-Model!$B$9)/(1+Model!$B$18)^33))</f>
        <v/>
      </c>
      <c r="AV48" s="7">
        <f>IF(A48="","",IF((A48+34)&gt;Model!$B$4,0,MAX(0,Model!$B$6-IF((A48+34)&gt;=Model!$B$11,Model!$B$20,0)-IF(34&lt;Model!$B$15,Model!$B$22,0))/(1-Model!$B$9)/(1+Model!$B$18)^34))</f>
        <v/>
      </c>
      <c r="AW48" s="7">
        <f>IF(A48="","",IF((A48+35)&gt;Model!$B$4,0,MAX(0,Model!$B$6-IF((A48+35)&gt;=Model!$B$11,Model!$B$20,0)-IF(35&lt;Model!$B$15,Model!$B$22,0))/(1-Model!$B$9)/(1+Model!$B$18)^35))</f>
        <v/>
      </c>
      <c r="AX48" s="7">
        <f>IF(A48="","",IF((A48+36)&gt;Model!$B$4,0,MAX(0,Model!$B$6-IF((A48+36)&gt;=Model!$B$11,Model!$B$20,0)-IF(36&lt;Model!$B$15,Model!$B$22,0))/(1-Model!$B$9)/(1+Model!$B$18)^36))</f>
        <v/>
      </c>
      <c r="AY48" s="7">
        <f>IF(A48="","",IF((A48+37)&gt;Model!$B$4,0,MAX(0,Model!$B$6-IF((A48+37)&gt;=Model!$B$11,Model!$B$20,0)-IF(37&lt;Model!$B$15,Model!$B$22,0))/(1-Model!$B$9)/(1+Model!$B$18)^37))</f>
        <v/>
      </c>
      <c r="AZ48" s="7">
        <f>IF(A48="","",IF((A48+38)&gt;Model!$B$4,0,MAX(0,Model!$B$6-IF((A48+38)&gt;=Model!$B$11,Model!$B$20,0)-IF(38&lt;Model!$B$15,Model!$B$22,0))/(1-Model!$B$9)/(1+Model!$B$18)^38))</f>
        <v/>
      </c>
      <c r="BA48" s="7">
        <f>IF(A48="","",IF((A48+39)&gt;Model!$B$4,0,MAX(0,Model!$B$6-IF((A48+39)&gt;=Model!$B$11,Model!$B$20,0)-IF(39&lt;Model!$B$15,Model!$B$22,0))/(1-Model!$B$9)/(1+Model!$B$18)^39))</f>
        <v/>
      </c>
      <c r="BB48" s="7">
        <f>IF(A48="","",IF((A48+40)&gt;Model!$B$4,0,MAX(0,Model!$B$6-IF((A48+40)&gt;=Model!$B$11,Model!$B$20,0)-IF(40&lt;Model!$B$15,Model!$B$22,0))/(1-Model!$B$9)/(1+Model!$B$18)^40))</f>
        <v/>
      </c>
      <c r="BC48" s="7">
        <f>IF(A48="","",IF((A48+41)&gt;Model!$B$4,0,MAX(0,Model!$B$6-IF((A48+41)&gt;=Model!$B$11,Model!$B$20,0)-IF(41&lt;Model!$B$15,Model!$B$22,0))/(1-Model!$B$9)/(1+Model!$B$18)^41))</f>
        <v/>
      </c>
      <c r="BD48" s="7">
        <f>IF(A48="","",IF((A48+42)&gt;Model!$B$4,0,MAX(0,Model!$B$6-IF((A48+42)&gt;=Model!$B$11,Model!$B$20,0)-IF(42&lt;Model!$B$15,Model!$B$22,0))/(1-Model!$B$9)/(1+Model!$B$18)^42))</f>
        <v/>
      </c>
      <c r="BE48" s="7">
        <f>IF(A48="","",IF((A48+43)&gt;Model!$B$4,0,MAX(0,Model!$B$6-IF((A48+43)&gt;=Model!$B$11,Model!$B$20,0)-IF(43&lt;Model!$B$15,Model!$B$22,0))/(1-Model!$B$9)/(1+Model!$B$18)^43))</f>
        <v/>
      </c>
      <c r="BF48" s="7">
        <f>IF(A48="","",IF((A48+44)&gt;Model!$B$4,0,MAX(0,Model!$B$6-IF((A48+44)&gt;=Model!$B$11,Model!$B$20,0)-IF(44&lt;Model!$B$15,Model!$B$22,0))/(1-Model!$B$9)/(1+Model!$B$18)^44))</f>
        <v/>
      </c>
      <c r="BG48" s="7">
        <f>IF(A48="","",IF((A48+45)&gt;Model!$B$4,0,MAX(0,Model!$B$6-IF((A48+45)&gt;=Model!$B$11,Model!$B$20,0)-IF(45&lt;Model!$B$15,Model!$B$22,0))/(1-Model!$B$9)/(1+Model!$B$18)^45))</f>
        <v/>
      </c>
      <c r="BH48" s="7">
        <f>IF(A48="","",IF((A48+46)&gt;Model!$B$4,0,MAX(0,Model!$B$6-IF((A48+46)&gt;=Model!$B$11,Model!$B$20,0)-IF(46&lt;Model!$B$15,Model!$B$22,0))/(1-Model!$B$9)/(1+Model!$B$18)^46))</f>
        <v/>
      </c>
      <c r="BI48" s="7">
        <f>IF(A48="","",IF((A48+47)&gt;Model!$B$4,0,MAX(0,Model!$B$6-IF((A48+47)&gt;=Model!$B$11,Model!$B$20,0)-IF(47&lt;Model!$B$15,Model!$B$22,0))/(1-Model!$B$9)/(1+Model!$B$18)^47))</f>
        <v/>
      </c>
      <c r="BJ48" s="7">
        <f>IF(A48="","",IF((A48+48)&gt;Model!$B$4,0,MAX(0,Model!$B$6-IF((A48+48)&gt;=Model!$B$11,Model!$B$20,0)-IF(48&lt;Model!$B$15,Model!$B$22,0))/(1-Model!$B$9)/(1+Model!$B$18)^48))</f>
        <v/>
      </c>
      <c r="BK48" s="7">
        <f>IF(A48="","",IF((A48+49)&gt;Model!$B$4,0,MAX(0,Model!$B$6-IF((A48+49)&gt;=Model!$B$11,Model!$B$20,0)-IF(49&lt;Model!$B$15,Model!$B$22,0))/(1-Model!$B$9)/(1+Model!$B$18)^49))</f>
        <v/>
      </c>
      <c r="BL48" s="7">
        <f>IF(A48="","",IF((A48+50)&gt;Model!$B$4,0,MAX(0,Model!$B$6-IF((A48+50)&gt;=Model!$B$11,Model!$B$20,0)-IF(50&lt;Model!$B$15,Model!$B$22,0))/(1-Model!$B$9)/(1+Model!$B$18)^50))</f>
        <v/>
      </c>
      <c r="BM48" s="7">
        <f>IF(A48="","",IF((A48+51)&gt;Model!$B$4,0,MAX(0,Model!$B$6-IF((A48+51)&gt;=Model!$B$11,Model!$B$20,0)-IF(51&lt;Model!$B$15,Model!$B$22,0))/(1-Model!$B$9)/(1+Model!$B$18)^51))</f>
        <v/>
      </c>
      <c r="BN48" s="7">
        <f>IF(A48="","",IF((A48+52)&gt;Model!$B$4,0,MAX(0,Model!$B$6-IF((A48+52)&gt;=Model!$B$11,Model!$B$20,0)-IF(52&lt;Model!$B$15,Model!$B$22,0))/(1-Model!$B$9)/(1+Model!$B$18)^52))</f>
        <v/>
      </c>
      <c r="BO48" s="7">
        <f>IF(A48="","",IF((A48+53)&gt;Model!$B$4,0,MAX(0,Model!$B$6-IF((A48+53)&gt;=Model!$B$11,Model!$B$20,0)-IF(53&lt;Model!$B$15,Model!$B$22,0))/(1-Model!$B$9)/(1+Model!$B$18)^53))</f>
        <v/>
      </c>
      <c r="BP48" s="7">
        <f>IF(A48="","",IF((A48+54)&gt;Model!$B$4,0,MAX(0,Model!$B$6-IF((A48+54)&gt;=Model!$B$11,Model!$B$20,0)-IF(54&lt;Model!$B$15,Model!$B$22,0))/(1-Model!$B$9)/(1+Model!$B$18)^54))</f>
        <v/>
      </c>
      <c r="BQ48" s="7">
        <f>IF(A48="","",IF((A48+55)&gt;Model!$B$4,0,MAX(0,Model!$B$6-IF((A48+55)&gt;=Model!$B$11,Model!$B$20,0)-IF(55&lt;Model!$B$15,Model!$B$22,0))/(1-Model!$B$9)/(1+Model!$B$18)^55))</f>
        <v/>
      </c>
      <c r="BR48" s="7">
        <f>IF(A48="","",IF((A48+56)&gt;Model!$B$4,0,MAX(0,Model!$B$6-IF((A48+56)&gt;=Model!$B$11,Model!$B$20,0)-IF(56&lt;Model!$B$15,Model!$B$22,0))/(1-Model!$B$9)/(1+Model!$B$18)^56))</f>
        <v/>
      </c>
      <c r="BS48" s="7">
        <f>IF(A48="","",IF((A48+57)&gt;Model!$B$4,0,MAX(0,Model!$B$6-IF((A48+57)&gt;=Model!$B$11,Model!$B$20,0)-IF(57&lt;Model!$B$15,Model!$B$22,0))/(1-Model!$B$9)/(1+Model!$B$18)^57))</f>
        <v/>
      </c>
      <c r="BT48" s="7">
        <f>IF(A48="","",IF((A48+58)&gt;Model!$B$4,0,MAX(0,Model!$B$6-IF((A48+58)&gt;=Model!$B$11,Model!$B$20,0)-IF(58&lt;Model!$B$15,Model!$B$22,0))/(1-Model!$B$9)/(1+Model!$B$18)^58))</f>
        <v/>
      </c>
      <c r="BU48" s="7">
        <f>IF(A48="","",IF((A48+59)&gt;Model!$B$4,0,MAX(0,Model!$B$6-IF((A48+59)&gt;=Model!$B$11,Model!$B$20,0)-IF(59&lt;Model!$B$15,Model!$B$22,0))/(1-Model!$B$9)/(1+Model!$B$18)^59))</f>
        <v/>
      </c>
      <c r="BV48" s="7">
        <f>IF(A48="","",IF((A48+60)&gt;Model!$B$4,0,MAX(0,Model!$B$6-IF((A48+60)&gt;=Model!$B$11,Model!$B$20,0)-IF(60&lt;Model!$B$15,Model!$B$22,0))/(1-Model!$B$9)/(1+Model!$B$18)^60))</f>
        <v/>
      </c>
      <c r="BW48" s="7">
        <f>IF(A48="","",IF((A48+61)&gt;Model!$B$4,0,MAX(0,Model!$B$6-IF((A48+61)&gt;=Model!$B$11,Model!$B$20,0)-IF(61&lt;Model!$B$15,Model!$B$22,0))/(1-Model!$B$9)/(1+Model!$B$18)^61))</f>
        <v/>
      </c>
      <c r="BX48" s="7">
        <f>IF(A48="","",IF((A48+62)&gt;Model!$B$4,0,MAX(0,Model!$B$6-IF((A48+62)&gt;=Model!$B$11,Model!$B$20,0)-IF(62&lt;Model!$B$15,Model!$B$22,0))/(1-Model!$B$9)/(1+Model!$B$18)^62))</f>
        <v/>
      </c>
      <c r="BY48" s="7">
        <f>IF(A48="","",IF((A48+63)&gt;Model!$B$4,0,MAX(0,Model!$B$6-IF((A48+63)&gt;=Model!$B$11,Model!$B$20,0)-IF(63&lt;Model!$B$15,Model!$B$22,0))/(1-Model!$B$9)/(1+Model!$B$18)^63))</f>
        <v/>
      </c>
      <c r="BZ48" s="7">
        <f>IF(A48="","",IF((A48+64)&gt;Model!$B$4,0,MAX(0,Model!$B$6-IF((A48+64)&gt;=Model!$B$11,Model!$B$20,0)-IF(64&lt;Model!$B$15,Model!$B$22,0))/(1-Model!$B$9)/(1+Model!$B$18)^64))</f>
        <v/>
      </c>
      <c r="CA48" s="7">
        <f>IF(A48="","",IF((A48+65)&gt;Model!$B$4,0,MAX(0,Model!$B$6-IF((A48+65)&gt;=Model!$B$11,Model!$B$20,0)-IF(65&lt;Model!$B$15,Model!$B$22,0))/(1-Model!$B$9)/(1+Model!$B$18)^65))</f>
        <v/>
      </c>
      <c r="CB48" s="7">
        <f>IF(A48="","",IF((A48+66)&gt;Model!$B$4,0,MAX(0,Model!$B$6-IF((A48+66)&gt;=Model!$B$11,Model!$B$20,0)-IF(66&lt;Model!$B$15,Model!$B$22,0))/(1-Model!$B$9)/(1+Model!$B$18)^66))</f>
        <v/>
      </c>
      <c r="CC48" s="7">
        <f>IF(A48="","",IF((A48+67)&gt;Model!$B$4,0,MAX(0,Model!$B$6-IF((A48+67)&gt;=Model!$B$11,Model!$B$20,0)-IF(67&lt;Model!$B$15,Model!$B$22,0))/(1-Model!$B$9)/(1+Model!$B$18)^67))</f>
        <v/>
      </c>
      <c r="CD48" s="7">
        <f>IF(A48="","",IF((A48+68)&gt;Model!$B$4,0,MAX(0,Model!$B$6-IF((A48+68)&gt;=Model!$B$11,Model!$B$20,0)-IF(68&lt;Model!$B$15,Model!$B$22,0))/(1-Model!$B$9)/(1+Model!$B$18)^68))</f>
        <v/>
      </c>
      <c r="CE48" s="7">
        <f>IF(A48="","",IF((A48+69)&gt;Model!$B$4,0,MAX(0,Model!$B$6-IF((A48+69)&gt;=Model!$B$11,Model!$B$20,0)-IF(69&lt;Model!$B$15,Model!$B$22,0))/(1-Model!$B$9)/(1+Model!$B$18)^69))</f>
        <v/>
      </c>
      <c r="CF48" s="7">
        <f>IF(A48="","",IF((A48+70)&gt;Model!$B$4,0,MAX(0,Model!$B$6-IF((A48+70)&gt;=Model!$B$11,Model!$B$20,0)-IF(70&lt;Model!$B$15,Model!$B$22,0))/(1-Model!$B$9)/(1+Model!$B$18)^70))</f>
        <v/>
      </c>
      <c r="CG48" s="7">
        <f>IF(A48="","",IF((A48+71)&gt;Model!$B$4,0,MAX(0,Model!$B$6-IF((A48+71)&gt;=Model!$B$11,Model!$B$20,0)-IF(71&lt;Model!$B$15,Model!$B$22,0))/(1-Model!$B$9)/(1+Model!$B$18)^71))</f>
        <v/>
      </c>
      <c r="CH48" s="7">
        <f>IF(A48="","",IF((A48+72)&gt;Model!$B$4,0,MAX(0,Model!$B$6-IF((A48+72)&gt;=Model!$B$11,Model!$B$20,0)-IF(72&lt;Model!$B$15,Model!$B$22,0))/(1-Model!$B$9)/(1+Model!$B$18)^72))</f>
        <v/>
      </c>
      <c r="CI48" s="7">
        <f>IF(A48="","",IF((A48+73)&gt;Model!$B$4,0,MAX(0,Model!$B$6-IF((A48+73)&gt;=Model!$B$11,Model!$B$20,0)-IF(73&lt;Model!$B$15,Model!$B$22,0))/(1-Model!$B$9)/(1+Model!$B$18)^73))</f>
        <v/>
      </c>
      <c r="CJ48" s="7">
        <f>IF(A48="","",IF((A48+74)&gt;Model!$B$4,0,MAX(0,Model!$B$6-IF((A48+74)&gt;=Model!$B$11,Model!$B$20,0)-IF(74&lt;Model!$B$15,Model!$B$22,0))/(1-Model!$B$9)/(1+Model!$B$18)^74))</f>
        <v/>
      </c>
      <c r="CK48" s="7">
        <f>IF(A48="","",IF((A48+75)&gt;Model!$B$4,0,MAX(0,Model!$B$6-IF((A48+75)&gt;=Model!$B$11,Model!$B$20,0)-IF(75&lt;Model!$B$15,Model!$B$22,0))/(1-Model!$B$9)/(1+Model!$B$18)^75))</f>
        <v/>
      </c>
      <c r="CL48" s="7">
        <f>IF(A48="","",IF((A48+76)&gt;Model!$B$4,0,MAX(0,Model!$B$6-IF((A48+76)&gt;=Model!$B$11,Model!$B$20,0)-IF(76&lt;Model!$B$15,Model!$B$22,0))/(1-Model!$B$9)/(1+Model!$B$18)^76))</f>
        <v/>
      </c>
      <c r="CM48" s="7">
        <f>IF(A48="","",IF((A48+77)&gt;Model!$B$4,0,MAX(0,Model!$B$6-IF((A48+77)&gt;=Model!$B$11,Model!$B$20,0)-IF(77&lt;Model!$B$15,Model!$B$22,0))/(1-Model!$B$9)/(1+Model!$B$18)^77))</f>
        <v/>
      </c>
      <c r="CN48" s="7">
        <f>IF(A48="","",IF((A48+78)&gt;Model!$B$4,0,MAX(0,Model!$B$6-IF((A48+78)&gt;=Model!$B$11,Model!$B$20,0)-IF(78&lt;Model!$B$15,Model!$B$22,0))/(1-Model!$B$9)/(1+Model!$B$18)^78))</f>
        <v/>
      </c>
      <c r="CO48" s="7">
        <f>IF(A48="","",IF((A48+79)&gt;Model!$B$4,0,MAX(0,Model!$B$6-IF((A48+79)&gt;=Model!$B$11,Model!$B$20,0)-IF(79&lt;Model!$B$15,Model!$B$22,0))/(1-Model!$B$9)/(1+Model!$B$18)^79))</f>
        <v/>
      </c>
      <c r="CP48" s="7">
        <f>IF(A48="","",IF((A48+80)&gt;Model!$B$4,0,MAX(0,Model!$B$6-IF((A48+80)&gt;=Model!$B$11,Model!$B$20,0)-IF(80&lt;Model!$B$15,Model!$B$22,0))/(1-Model!$B$9)/(1+Model!$B$18)^80))</f>
        <v/>
      </c>
      <c r="CQ48" s="7">
        <f>IF(A48="","",IF((A48+81)&gt;Model!$B$4,0,MAX(0,Model!$B$6-IF((A48+81)&gt;=Model!$B$11,Model!$B$20,0)-IF(81&lt;Model!$B$15,Model!$B$22,0))/(1-Model!$B$9)/(1+Model!$B$18)^81))</f>
        <v/>
      </c>
      <c r="CR48" s="7">
        <f>IF(A48="","",IF((A48+82)&gt;Model!$B$4,0,MAX(0,Model!$B$6-IF((A48+82)&gt;=Model!$B$11,Model!$B$20,0)-IF(82&lt;Model!$B$15,Model!$B$22,0))/(1-Model!$B$9)/(1+Model!$B$18)^82))</f>
        <v/>
      </c>
      <c r="CS48" s="7">
        <f>IF(A48="","",IF((A48+83)&gt;Model!$B$4,0,MAX(0,Model!$B$6-IF((A48+83)&gt;=Model!$B$11,Model!$B$20,0)-IF(83&lt;Model!$B$15,Model!$B$22,0))/(1-Model!$B$9)/(1+Model!$B$18)^83))</f>
        <v/>
      </c>
      <c r="CT48" s="7">
        <f>IF(A48="","",IF((A48+84)&gt;Model!$B$4,0,MAX(0,Model!$B$6-IF((A48+84)&gt;=Model!$B$11,Model!$B$20,0)-IF(84&lt;Model!$B$15,Model!$B$22,0))/(1-Model!$B$9)/(1+Model!$B$18)^84))</f>
        <v/>
      </c>
      <c r="CU48" s="7">
        <f>IF(A48="","",IF((A48+85)&gt;Model!$B$4,0,MAX(0,Model!$B$6-IF((A48+85)&gt;=Model!$B$11,Model!$B$20,0)-IF(85&lt;Model!$B$15,Model!$B$22,0))/(1-Model!$B$9)/(1+Model!$B$18)^85))</f>
        <v/>
      </c>
      <c r="CV48" s="7">
        <f>IF(A48="","",IF((A48+86)&gt;Model!$B$4,0,MAX(0,Model!$B$6-IF((A48+86)&gt;=Model!$B$11,Model!$B$20,0)-IF(86&lt;Model!$B$15,Model!$B$22,0))/(1-Model!$B$9)/(1+Model!$B$18)^86))</f>
        <v/>
      </c>
      <c r="CW48" s="7">
        <f>IF(A48="","",IF((A48+87)&gt;Model!$B$4,0,MAX(0,Model!$B$6-IF((A48+87)&gt;=Model!$B$11,Model!$B$20,0)-IF(87&lt;Model!$B$15,Model!$B$22,0))/(1-Model!$B$9)/(1+Model!$B$18)^87))</f>
        <v/>
      </c>
      <c r="CX48" s="7">
        <f>IF(A48="","",IF((A48+88)&gt;Model!$B$4,0,MAX(0,Model!$B$6-IF((A48+88)&gt;=Model!$B$11,Model!$B$20,0)-IF(88&lt;Model!$B$15,Model!$B$22,0))/(1-Model!$B$9)/(1+Model!$B$18)^88))</f>
        <v/>
      </c>
      <c r="CY48" s="7">
        <f>IF(A48="","",IF((A48+89)&gt;Model!$B$4,0,MAX(0,Model!$B$6-IF((A48+89)&gt;=Model!$B$11,Model!$B$20,0)-IF(89&lt;Model!$B$15,Model!$B$22,0))/(1-Model!$B$9)/(1+Model!$B$18)^89))</f>
        <v/>
      </c>
      <c r="CZ48" s="7">
        <f>IF(A48="","",IF((A48+90)&gt;Model!$B$4,0,MAX(0,Model!$B$6-IF((A48+90)&gt;=Model!$B$11,Model!$B$20,0)-IF(90&lt;Model!$B$15,Model!$B$22,0))/(1-Model!$B$9)/(1+Model!$B$18)^90))</f>
        <v/>
      </c>
      <c r="DA48" s="7">
        <f>IF(A48="","",IF((A48+91)&gt;Model!$B$4,0,MAX(0,Model!$B$6-IF((A48+91)&gt;=Model!$B$11,Model!$B$20,0)-IF(91&lt;Model!$B$15,Model!$B$22,0))/(1-Model!$B$9)/(1+Model!$B$18)^91))</f>
        <v/>
      </c>
      <c r="DB48" s="7">
        <f>IF(A48="","",IF((A48+92)&gt;Model!$B$4,0,MAX(0,Model!$B$6-IF((A48+92)&gt;=Model!$B$11,Model!$B$20,0)-IF(92&lt;Model!$B$15,Model!$B$22,0))/(1-Model!$B$9)/(1+Model!$B$18)^92))</f>
        <v/>
      </c>
      <c r="DC48" s="7">
        <f>IF(A48="","",IF((A48+93)&gt;Model!$B$4,0,MAX(0,Model!$B$6-IF((A48+93)&gt;=Model!$B$11,Model!$B$20,0)-IF(93&lt;Model!$B$15,Model!$B$22,0))/(1-Model!$B$9)/(1+Model!$B$18)^93))</f>
        <v/>
      </c>
      <c r="DD48" s="7">
        <f>IF(A48="","",IF((A48+94)&gt;Model!$B$4,0,MAX(0,Model!$B$6-IF((A48+94)&gt;=Model!$B$11,Model!$B$20,0)-IF(94&lt;Model!$B$15,Model!$B$22,0))/(1-Model!$B$9)/(1+Model!$B$18)^94))</f>
        <v/>
      </c>
      <c r="DE48" s="7">
        <f>IF(A48="","",IF((A48+95)&gt;Model!$B$4,0,MAX(0,Model!$B$6-IF((A48+95)&gt;=Model!$B$11,Model!$B$20,0)-IF(95&lt;Model!$B$15,Model!$B$22,0))/(1-Model!$B$9)/(1+Model!$B$18)^95))</f>
        <v/>
      </c>
      <c r="DF48" s="7">
        <f>IF(A48="","",IF((A48+96)&gt;Model!$B$4,0,MAX(0,Model!$B$6-IF((A48+96)&gt;=Model!$B$11,Model!$B$20,0)-IF(96&lt;Model!$B$15,Model!$B$22,0))/(1-Model!$B$9)/(1+Model!$B$18)^96))</f>
        <v/>
      </c>
      <c r="DG48" s="7">
        <f>IF(A48="","",IF((A48+97)&gt;Model!$B$4,0,MAX(0,Model!$B$6-IF((A48+97)&gt;=Model!$B$11,Model!$B$20,0)-IF(97&lt;Model!$B$15,Model!$B$22,0))/(1-Model!$B$9)/(1+Model!$B$18)^97))</f>
        <v/>
      </c>
      <c r="DH48" s="7">
        <f>IF(A48="","",IF((A48+98)&gt;Model!$B$4,0,MAX(0,Model!$B$6-IF((A48+98)&gt;=Model!$B$11,Model!$B$20,0)-IF(98&lt;Model!$B$15,Model!$B$22,0))/(1-Model!$B$9)/(1+Model!$B$18)^98))</f>
        <v/>
      </c>
      <c r="DI48" s="7">
        <f>IF(A48="","",IF((A48+99)&gt;Model!$B$4,0,MAX(0,Model!$B$6-IF((A48+99)&gt;=Model!$B$11,Model!$B$20,0)-IF(99&lt;Model!$B$15,Model!$B$22,0))/(1-Model!$B$9)/(1+Model!$B$18)^99))</f>
        <v/>
      </c>
      <c r="DJ48" s="7">
        <f>IF(A48="","",IF((A48+100)&gt;Model!$B$4,0,MAX(0,Model!$B$6-IF((A48+100)&gt;=Model!$B$11,Model!$B$20,0)-IF(100&lt;Model!$B$15,Model!$B$22,0))/(1-Model!$B$9)/(1+Model!$B$18)^100))</f>
        <v/>
      </c>
      <c r="DK48" s="7">
        <f>IF(A48="","",IF((A48+101)&gt;Model!$B$4,0,MAX(0,Model!$B$6-IF((A48+101)&gt;=Model!$B$11,Model!$B$20,0)-IF(101&lt;Model!$B$15,Model!$B$22,0))/(1-Model!$B$9)/(1+Model!$B$18)^101))</f>
        <v/>
      </c>
      <c r="DL48" s="7">
        <f>IF(A48="","",IF((A48+102)&gt;Model!$B$4,0,MAX(0,Model!$B$6-IF((A48+102)&gt;=Model!$B$11,Model!$B$20,0)-IF(102&lt;Model!$B$15,Model!$B$22,0))/(1-Model!$B$9)/(1+Model!$B$18)^102))</f>
        <v/>
      </c>
      <c r="DM48" s="7">
        <f>IF(A48="","",IF((A48+103)&gt;Model!$B$4,0,MAX(0,Model!$B$6-IF((A48+103)&gt;=Model!$B$11,Model!$B$20,0)-IF(103&lt;Model!$B$15,Model!$B$22,0))/(1-Model!$B$9)/(1+Model!$B$18)^103))</f>
        <v/>
      </c>
      <c r="DN48" s="7">
        <f>IF(A48="","",IF((A48+104)&gt;Model!$B$4,0,MAX(0,Model!$B$6-IF((A48+104)&gt;=Model!$B$11,Model!$B$20,0)-IF(104&lt;Model!$B$15,Model!$B$22,0))/(1-Model!$B$9)/(1+Model!$B$18)^104))</f>
        <v/>
      </c>
      <c r="DO48" s="7">
        <f>IF(A48="","",IF((A48+105)&gt;Model!$B$4,0,MAX(0,Model!$B$6-IF((A48+105)&gt;=Model!$B$11,Model!$B$20,0)-IF(105&lt;Model!$B$15,Model!$B$22,0))/(1-Model!$B$9)/(1+Model!$B$18)^105))</f>
        <v/>
      </c>
      <c r="DP48" s="7">
        <f>IF(A48="","",IF((A48+106)&gt;Model!$B$4,0,MAX(0,Model!$B$6-IF((A48+106)&gt;=Model!$B$11,Model!$B$20,0)-IF(106&lt;Model!$B$15,Model!$B$22,0))/(1-Model!$B$9)/(1+Model!$B$18)^106))</f>
        <v/>
      </c>
      <c r="DQ48" s="7">
        <f>IF(A48="","",IF((A48+107)&gt;Model!$B$4,0,MAX(0,Model!$B$6-IF((A48+107)&gt;=Model!$B$11,Model!$B$20,0)-IF(107&lt;Model!$B$15,Model!$B$22,0))/(1-Model!$B$9)/(1+Model!$B$18)^107))</f>
        <v/>
      </c>
      <c r="DR48" s="7">
        <f>IF(A48="","",IF((A48+108)&gt;Model!$B$4,0,MAX(0,Model!$B$6-IF((A48+108)&gt;=Model!$B$11,Model!$B$20,0)-IF(108&lt;Model!$B$15,Model!$B$22,0))/(1-Model!$B$9)/(1+Model!$B$18)^108))</f>
        <v/>
      </c>
      <c r="DS48" s="7">
        <f>IF(A48="","",IF((A48+109)&gt;Model!$B$4,0,MAX(0,Model!$B$6-IF((A48+109)&gt;=Model!$B$11,Model!$B$20,0)-IF(109&lt;Model!$B$15,Model!$B$22,0))/(1-Model!$B$9)/(1+Model!$B$18)^109))</f>
        <v/>
      </c>
      <c r="DT48" s="7">
        <f>IF(A48="","",IF((A48+110)&gt;Model!$B$4,0,MAX(0,Model!$B$6-IF((A48+110)&gt;=Model!$B$11,Model!$B$20,0)-IF(110&lt;Model!$B$15,Model!$B$22,0))/(1-Model!$B$9)/(1+Model!$B$18)^110))</f>
        <v/>
      </c>
      <c r="DU48" s="7">
        <f>IF(A48="","",IF((A48+111)&gt;Model!$B$4,0,MAX(0,Model!$B$6-IF((A48+111)&gt;=Model!$B$11,Model!$B$20,0)-IF(111&lt;Model!$B$15,Model!$B$22,0))/(1-Model!$B$9)/(1+Model!$B$18)^111))</f>
        <v/>
      </c>
      <c r="DV48" s="7">
        <f>IF(A48="","",IF((A48+112)&gt;Model!$B$4,0,MAX(0,Model!$B$6-IF((A48+112)&gt;=Model!$B$11,Model!$B$20,0)-IF(112&lt;Model!$B$15,Model!$B$22,0))/(1-Model!$B$9)/(1+Model!$B$18)^112))</f>
        <v/>
      </c>
      <c r="DW48" s="7">
        <f>IF(A48="","",IF((A48+113)&gt;Model!$B$4,0,MAX(0,Model!$B$6-IF((A48+113)&gt;=Model!$B$11,Model!$B$20,0)-IF(113&lt;Model!$B$15,Model!$B$22,0))/(1-Model!$B$9)/(1+Model!$B$18)^113))</f>
        <v/>
      </c>
      <c r="DX48" s="7">
        <f>IF(A48="","",IF((A48+114)&gt;Model!$B$4,0,MAX(0,Model!$B$6-IF((A48+114)&gt;=Model!$B$11,Model!$B$20,0)-IF(114&lt;Model!$B$15,Model!$B$22,0))/(1-Model!$B$9)/(1+Model!$B$18)^114))</f>
        <v/>
      </c>
      <c r="DY48" s="7">
        <f>IF(A48="","",IF((A48+115)&gt;Model!$B$4,0,MAX(0,Model!$B$6-IF((A48+115)&gt;=Model!$B$11,Model!$B$20,0)-IF(115&lt;Model!$B$15,Model!$B$22,0))/(1-Model!$B$9)/(1+Model!$B$18)^115))</f>
        <v/>
      </c>
      <c r="DZ48" s="7">
        <f>IF(A48="","",IF((A48+116)&gt;Model!$B$4,0,MAX(0,Model!$B$6-IF((A48+116)&gt;=Model!$B$11,Model!$B$20,0)-IF(116&lt;Model!$B$15,Model!$B$22,0))/(1-Model!$B$9)/(1+Model!$B$18)^116))</f>
        <v/>
      </c>
      <c r="EA48" s="7">
        <f>IF(A48="","",IF((A48+117)&gt;Model!$B$4,0,MAX(0,Model!$B$6-IF((A48+117)&gt;=Model!$B$11,Model!$B$20,0)-IF(117&lt;Model!$B$15,Model!$B$22,0))/(1-Model!$B$9)/(1+Model!$B$18)^117))</f>
        <v/>
      </c>
      <c r="EB48" s="7">
        <f>IF(A48="","",IF((A48+118)&gt;Model!$B$4,0,MAX(0,Model!$B$6-IF((A48+118)&gt;=Model!$B$11,Model!$B$20,0)-IF(118&lt;Model!$B$15,Model!$B$22,0))/(1-Model!$B$9)/(1+Model!$B$18)^118))</f>
        <v/>
      </c>
      <c r="EC48" s="7">
        <f>IF(A48="","",IF((A48+119)&gt;Model!$B$4,0,MAX(0,Model!$B$6-IF((A48+119)&gt;=Model!$B$11,Model!$B$20,0)-IF(119&lt;Model!$B$15,Model!$B$22,0))/(1-Model!$B$9)/(1+Model!$B$18)^119))</f>
        <v/>
      </c>
      <c r="ED48" s="7">
        <f>IF(A48="","",IF((A48+120)&gt;Model!$B$4,0,MAX(0,Model!$B$6-IF((A48+120)&gt;=Model!$B$11,Model!$B$20,0)-IF(120&lt;Model!$B$15,Model!$B$22,0))/(1-Model!$B$9)/(1+Model!$B$18)^120))</f>
        <v/>
      </c>
    </row>
    <row r="49">
      <c r="A49">
        <f>IF(Model!$B$10+ROW()-2&lt;=Model!$B$4,Model!$B$10+ROW()-2,"")</f>
        <v/>
      </c>
      <c r="B49">
        <f>IF(A49="","",A49-Model!$B$10)</f>
        <v/>
      </c>
      <c r="C49" s="7">
        <f>IF(A49="","",Model!$B$5*(1+Model!$B$18)^B49)</f>
        <v/>
      </c>
      <c r="D49" s="7">
        <f>IF(A49="","",SUM(N49:ED49))</f>
        <v/>
      </c>
      <c r="E49" s="7">
        <f>IF(A49="","",IF(A49&gt;=Model!$B$11,Model!$B$20,0))</f>
        <v/>
      </c>
      <c r="F49" s="7">
        <f>IF(A49="","",IF(Model!$B$15&gt;0,Model!$B$22,0))</f>
        <v/>
      </c>
      <c r="G49" s="7">
        <f>IF(A49="","",E49+F49)</f>
        <v/>
      </c>
      <c r="H49" s="7">
        <f>IF(A49="","",MAX(0,Model!$B$6-G49))</f>
        <v/>
      </c>
      <c r="I49" s="7">
        <f>IF(A49="","",H49/(1-Model!$B$9))</f>
        <v/>
      </c>
      <c r="J49" s="7">
        <f>IF(A49="","",C49-D49)</f>
        <v/>
      </c>
      <c r="K49">
        <f>IF(A49="","",C49&gt;=D49)</f>
        <v/>
      </c>
      <c r="L49" s="7">
        <f>IF(A49="","",IF(A49&gt;=Model!$B$11,Model!$B$19*(1+Model!$B$13)^B49,0))</f>
        <v/>
      </c>
      <c r="M49" s="7">
        <f>IF(A49="","",IF(Model!$B$15&gt;0,Model!$B$21*(1+Model!$B$13)^B49,0))</f>
        <v/>
      </c>
      <c r="N49" s="7">
        <f>IF(A49="","",IF((A49+0)&gt;Model!$B$4,0,MAX(0,Model!$B$6-IF((A49+0)&gt;=Model!$B$11,Model!$B$20,0)-IF(0&lt;Model!$B$15,Model!$B$22,0))/(1-Model!$B$9)/(1+Model!$B$18)^0))</f>
        <v/>
      </c>
      <c r="O49" s="7">
        <f>IF(A49="","",IF((A49+1)&gt;Model!$B$4,0,MAX(0,Model!$B$6-IF((A49+1)&gt;=Model!$B$11,Model!$B$20,0)-IF(1&lt;Model!$B$15,Model!$B$22,0))/(1-Model!$B$9)/(1+Model!$B$18)^1))</f>
        <v/>
      </c>
      <c r="P49" s="7">
        <f>IF(A49="","",IF((A49+2)&gt;Model!$B$4,0,MAX(0,Model!$B$6-IF((A49+2)&gt;=Model!$B$11,Model!$B$20,0)-IF(2&lt;Model!$B$15,Model!$B$22,0))/(1-Model!$B$9)/(1+Model!$B$18)^2))</f>
        <v/>
      </c>
      <c r="Q49" s="7">
        <f>IF(A49="","",IF((A49+3)&gt;Model!$B$4,0,MAX(0,Model!$B$6-IF((A49+3)&gt;=Model!$B$11,Model!$B$20,0)-IF(3&lt;Model!$B$15,Model!$B$22,0))/(1-Model!$B$9)/(1+Model!$B$18)^3))</f>
        <v/>
      </c>
      <c r="R49" s="7">
        <f>IF(A49="","",IF((A49+4)&gt;Model!$B$4,0,MAX(0,Model!$B$6-IF((A49+4)&gt;=Model!$B$11,Model!$B$20,0)-IF(4&lt;Model!$B$15,Model!$B$22,0))/(1-Model!$B$9)/(1+Model!$B$18)^4))</f>
        <v/>
      </c>
      <c r="S49" s="7">
        <f>IF(A49="","",IF((A49+5)&gt;Model!$B$4,0,MAX(0,Model!$B$6-IF((A49+5)&gt;=Model!$B$11,Model!$B$20,0)-IF(5&lt;Model!$B$15,Model!$B$22,0))/(1-Model!$B$9)/(1+Model!$B$18)^5))</f>
        <v/>
      </c>
      <c r="T49" s="7">
        <f>IF(A49="","",IF((A49+6)&gt;Model!$B$4,0,MAX(0,Model!$B$6-IF((A49+6)&gt;=Model!$B$11,Model!$B$20,0)-IF(6&lt;Model!$B$15,Model!$B$22,0))/(1-Model!$B$9)/(1+Model!$B$18)^6))</f>
        <v/>
      </c>
      <c r="U49" s="7">
        <f>IF(A49="","",IF((A49+7)&gt;Model!$B$4,0,MAX(0,Model!$B$6-IF((A49+7)&gt;=Model!$B$11,Model!$B$20,0)-IF(7&lt;Model!$B$15,Model!$B$22,0))/(1-Model!$B$9)/(1+Model!$B$18)^7))</f>
        <v/>
      </c>
      <c r="V49" s="7">
        <f>IF(A49="","",IF((A49+8)&gt;Model!$B$4,0,MAX(0,Model!$B$6-IF((A49+8)&gt;=Model!$B$11,Model!$B$20,0)-IF(8&lt;Model!$B$15,Model!$B$22,0))/(1-Model!$B$9)/(1+Model!$B$18)^8))</f>
        <v/>
      </c>
      <c r="W49" s="7">
        <f>IF(A49="","",IF((A49+9)&gt;Model!$B$4,0,MAX(0,Model!$B$6-IF((A49+9)&gt;=Model!$B$11,Model!$B$20,0)-IF(9&lt;Model!$B$15,Model!$B$22,0))/(1-Model!$B$9)/(1+Model!$B$18)^9))</f>
        <v/>
      </c>
      <c r="X49" s="7">
        <f>IF(A49="","",IF((A49+10)&gt;Model!$B$4,0,MAX(0,Model!$B$6-IF((A49+10)&gt;=Model!$B$11,Model!$B$20,0)-IF(10&lt;Model!$B$15,Model!$B$22,0))/(1-Model!$B$9)/(1+Model!$B$18)^10))</f>
        <v/>
      </c>
      <c r="Y49" s="7">
        <f>IF(A49="","",IF((A49+11)&gt;Model!$B$4,0,MAX(0,Model!$B$6-IF((A49+11)&gt;=Model!$B$11,Model!$B$20,0)-IF(11&lt;Model!$B$15,Model!$B$22,0))/(1-Model!$B$9)/(1+Model!$B$18)^11))</f>
        <v/>
      </c>
      <c r="Z49" s="7">
        <f>IF(A49="","",IF((A49+12)&gt;Model!$B$4,0,MAX(0,Model!$B$6-IF((A49+12)&gt;=Model!$B$11,Model!$B$20,0)-IF(12&lt;Model!$B$15,Model!$B$22,0))/(1-Model!$B$9)/(1+Model!$B$18)^12))</f>
        <v/>
      </c>
      <c r="AA49" s="7">
        <f>IF(A49="","",IF((A49+13)&gt;Model!$B$4,0,MAX(0,Model!$B$6-IF((A49+13)&gt;=Model!$B$11,Model!$B$20,0)-IF(13&lt;Model!$B$15,Model!$B$22,0))/(1-Model!$B$9)/(1+Model!$B$18)^13))</f>
        <v/>
      </c>
      <c r="AB49" s="7">
        <f>IF(A49="","",IF((A49+14)&gt;Model!$B$4,0,MAX(0,Model!$B$6-IF((A49+14)&gt;=Model!$B$11,Model!$B$20,0)-IF(14&lt;Model!$B$15,Model!$B$22,0))/(1-Model!$B$9)/(1+Model!$B$18)^14))</f>
        <v/>
      </c>
      <c r="AC49" s="7">
        <f>IF(A49="","",IF((A49+15)&gt;Model!$B$4,0,MAX(0,Model!$B$6-IF((A49+15)&gt;=Model!$B$11,Model!$B$20,0)-IF(15&lt;Model!$B$15,Model!$B$22,0))/(1-Model!$B$9)/(1+Model!$B$18)^15))</f>
        <v/>
      </c>
      <c r="AD49" s="7">
        <f>IF(A49="","",IF((A49+16)&gt;Model!$B$4,0,MAX(0,Model!$B$6-IF((A49+16)&gt;=Model!$B$11,Model!$B$20,0)-IF(16&lt;Model!$B$15,Model!$B$22,0))/(1-Model!$B$9)/(1+Model!$B$18)^16))</f>
        <v/>
      </c>
      <c r="AE49" s="7">
        <f>IF(A49="","",IF((A49+17)&gt;Model!$B$4,0,MAX(0,Model!$B$6-IF((A49+17)&gt;=Model!$B$11,Model!$B$20,0)-IF(17&lt;Model!$B$15,Model!$B$22,0))/(1-Model!$B$9)/(1+Model!$B$18)^17))</f>
        <v/>
      </c>
      <c r="AF49" s="7">
        <f>IF(A49="","",IF((A49+18)&gt;Model!$B$4,0,MAX(0,Model!$B$6-IF((A49+18)&gt;=Model!$B$11,Model!$B$20,0)-IF(18&lt;Model!$B$15,Model!$B$22,0))/(1-Model!$B$9)/(1+Model!$B$18)^18))</f>
        <v/>
      </c>
      <c r="AG49" s="7">
        <f>IF(A49="","",IF((A49+19)&gt;Model!$B$4,0,MAX(0,Model!$B$6-IF((A49+19)&gt;=Model!$B$11,Model!$B$20,0)-IF(19&lt;Model!$B$15,Model!$B$22,0))/(1-Model!$B$9)/(1+Model!$B$18)^19))</f>
        <v/>
      </c>
      <c r="AH49" s="7">
        <f>IF(A49="","",IF((A49+20)&gt;Model!$B$4,0,MAX(0,Model!$B$6-IF((A49+20)&gt;=Model!$B$11,Model!$B$20,0)-IF(20&lt;Model!$B$15,Model!$B$22,0))/(1-Model!$B$9)/(1+Model!$B$18)^20))</f>
        <v/>
      </c>
      <c r="AI49" s="7">
        <f>IF(A49="","",IF((A49+21)&gt;Model!$B$4,0,MAX(0,Model!$B$6-IF((A49+21)&gt;=Model!$B$11,Model!$B$20,0)-IF(21&lt;Model!$B$15,Model!$B$22,0))/(1-Model!$B$9)/(1+Model!$B$18)^21))</f>
        <v/>
      </c>
      <c r="AJ49" s="7">
        <f>IF(A49="","",IF((A49+22)&gt;Model!$B$4,0,MAX(0,Model!$B$6-IF((A49+22)&gt;=Model!$B$11,Model!$B$20,0)-IF(22&lt;Model!$B$15,Model!$B$22,0))/(1-Model!$B$9)/(1+Model!$B$18)^22))</f>
        <v/>
      </c>
      <c r="AK49" s="7">
        <f>IF(A49="","",IF((A49+23)&gt;Model!$B$4,0,MAX(0,Model!$B$6-IF((A49+23)&gt;=Model!$B$11,Model!$B$20,0)-IF(23&lt;Model!$B$15,Model!$B$22,0))/(1-Model!$B$9)/(1+Model!$B$18)^23))</f>
        <v/>
      </c>
      <c r="AL49" s="7">
        <f>IF(A49="","",IF((A49+24)&gt;Model!$B$4,0,MAX(0,Model!$B$6-IF((A49+24)&gt;=Model!$B$11,Model!$B$20,0)-IF(24&lt;Model!$B$15,Model!$B$22,0))/(1-Model!$B$9)/(1+Model!$B$18)^24))</f>
        <v/>
      </c>
      <c r="AM49" s="7">
        <f>IF(A49="","",IF((A49+25)&gt;Model!$B$4,0,MAX(0,Model!$B$6-IF((A49+25)&gt;=Model!$B$11,Model!$B$20,0)-IF(25&lt;Model!$B$15,Model!$B$22,0))/(1-Model!$B$9)/(1+Model!$B$18)^25))</f>
        <v/>
      </c>
      <c r="AN49" s="7">
        <f>IF(A49="","",IF((A49+26)&gt;Model!$B$4,0,MAX(0,Model!$B$6-IF((A49+26)&gt;=Model!$B$11,Model!$B$20,0)-IF(26&lt;Model!$B$15,Model!$B$22,0))/(1-Model!$B$9)/(1+Model!$B$18)^26))</f>
        <v/>
      </c>
      <c r="AO49" s="7">
        <f>IF(A49="","",IF((A49+27)&gt;Model!$B$4,0,MAX(0,Model!$B$6-IF((A49+27)&gt;=Model!$B$11,Model!$B$20,0)-IF(27&lt;Model!$B$15,Model!$B$22,0))/(1-Model!$B$9)/(1+Model!$B$18)^27))</f>
        <v/>
      </c>
      <c r="AP49" s="7">
        <f>IF(A49="","",IF((A49+28)&gt;Model!$B$4,0,MAX(0,Model!$B$6-IF((A49+28)&gt;=Model!$B$11,Model!$B$20,0)-IF(28&lt;Model!$B$15,Model!$B$22,0))/(1-Model!$B$9)/(1+Model!$B$18)^28))</f>
        <v/>
      </c>
      <c r="AQ49" s="7">
        <f>IF(A49="","",IF((A49+29)&gt;Model!$B$4,0,MAX(0,Model!$B$6-IF((A49+29)&gt;=Model!$B$11,Model!$B$20,0)-IF(29&lt;Model!$B$15,Model!$B$22,0))/(1-Model!$B$9)/(1+Model!$B$18)^29))</f>
        <v/>
      </c>
      <c r="AR49" s="7">
        <f>IF(A49="","",IF((A49+30)&gt;Model!$B$4,0,MAX(0,Model!$B$6-IF((A49+30)&gt;=Model!$B$11,Model!$B$20,0)-IF(30&lt;Model!$B$15,Model!$B$22,0))/(1-Model!$B$9)/(1+Model!$B$18)^30))</f>
        <v/>
      </c>
      <c r="AS49" s="7">
        <f>IF(A49="","",IF((A49+31)&gt;Model!$B$4,0,MAX(0,Model!$B$6-IF((A49+31)&gt;=Model!$B$11,Model!$B$20,0)-IF(31&lt;Model!$B$15,Model!$B$22,0))/(1-Model!$B$9)/(1+Model!$B$18)^31))</f>
        <v/>
      </c>
      <c r="AT49" s="7">
        <f>IF(A49="","",IF((A49+32)&gt;Model!$B$4,0,MAX(0,Model!$B$6-IF((A49+32)&gt;=Model!$B$11,Model!$B$20,0)-IF(32&lt;Model!$B$15,Model!$B$22,0))/(1-Model!$B$9)/(1+Model!$B$18)^32))</f>
        <v/>
      </c>
      <c r="AU49" s="7">
        <f>IF(A49="","",IF((A49+33)&gt;Model!$B$4,0,MAX(0,Model!$B$6-IF((A49+33)&gt;=Model!$B$11,Model!$B$20,0)-IF(33&lt;Model!$B$15,Model!$B$22,0))/(1-Model!$B$9)/(1+Model!$B$18)^33))</f>
        <v/>
      </c>
      <c r="AV49" s="7">
        <f>IF(A49="","",IF((A49+34)&gt;Model!$B$4,0,MAX(0,Model!$B$6-IF((A49+34)&gt;=Model!$B$11,Model!$B$20,0)-IF(34&lt;Model!$B$15,Model!$B$22,0))/(1-Model!$B$9)/(1+Model!$B$18)^34))</f>
        <v/>
      </c>
      <c r="AW49" s="7">
        <f>IF(A49="","",IF((A49+35)&gt;Model!$B$4,0,MAX(0,Model!$B$6-IF((A49+35)&gt;=Model!$B$11,Model!$B$20,0)-IF(35&lt;Model!$B$15,Model!$B$22,0))/(1-Model!$B$9)/(1+Model!$B$18)^35))</f>
        <v/>
      </c>
      <c r="AX49" s="7">
        <f>IF(A49="","",IF((A49+36)&gt;Model!$B$4,0,MAX(0,Model!$B$6-IF((A49+36)&gt;=Model!$B$11,Model!$B$20,0)-IF(36&lt;Model!$B$15,Model!$B$22,0))/(1-Model!$B$9)/(1+Model!$B$18)^36))</f>
        <v/>
      </c>
      <c r="AY49" s="7">
        <f>IF(A49="","",IF((A49+37)&gt;Model!$B$4,0,MAX(0,Model!$B$6-IF((A49+37)&gt;=Model!$B$11,Model!$B$20,0)-IF(37&lt;Model!$B$15,Model!$B$22,0))/(1-Model!$B$9)/(1+Model!$B$18)^37))</f>
        <v/>
      </c>
      <c r="AZ49" s="7">
        <f>IF(A49="","",IF((A49+38)&gt;Model!$B$4,0,MAX(0,Model!$B$6-IF((A49+38)&gt;=Model!$B$11,Model!$B$20,0)-IF(38&lt;Model!$B$15,Model!$B$22,0))/(1-Model!$B$9)/(1+Model!$B$18)^38))</f>
        <v/>
      </c>
      <c r="BA49" s="7">
        <f>IF(A49="","",IF((A49+39)&gt;Model!$B$4,0,MAX(0,Model!$B$6-IF((A49+39)&gt;=Model!$B$11,Model!$B$20,0)-IF(39&lt;Model!$B$15,Model!$B$22,0))/(1-Model!$B$9)/(1+Model!$B$18)^39))</f>
        <v/>
      </c>
      <c r="BB49" s="7">
        <f>IF(A49="","",IF((A49+40)&gt;Model!$B$4,0,MAX(0,Model!$B$6-IF((A49+40)&gt;=Model!$B$11,Model!$B$20,0)-IF(40&lt;Model!$B$15,Model!$B$22,0))/(1-Model!$B$9)/(1+Model!$B$18)^40))</f>
        <v/>
      </c>
      <c r="BC49" s="7">
        <f>IF(A49="","",IF((A49+41)&gt;Model!$B$4,0,MAX(0,Model!$B$6-IF((A49+41)&gt;=Model!$B$11,Model!$B$20,0)-IF(41&lt;Model!$B$15,Model!$B$22,0))/(1-Model!$B$9)/(1+Model!$B$18)^41))</f>
        <v/>
      </c>
      <c r="BD49" s="7">
        <f>IF(A49="","",IF((A49+42)&gt;Model!$B$4,0,MAX(0,Model!$B$6-IF((A49+42)&gt;=Model!$B$11,Model!$B$20,0)-IF(42&lt;Model!$B$15,Model!$B$22,0))/(1-Model!$B$9)/(1+Model!$B$18)^42))</f>
        <v/>
      </c>
      <c r="BE49" s="7">
        <f>IF(A49="","",IF((A49+43)&gt;Model!$B$4,0,MAX(0,Model!$B$6-IF((A49+43)&gt;=Model!$B$11,Model!$B$20,0)-IF(43&lt;Model!$B$15,Model!$B$22,0))/(1-Model!$B$9)/(1+Model!$B$18)^43))</f>
        <v/>
      </c>
      <c r="BF49" s="7">
        <f>IF(A49="","",IF((A49+44)&gt;Model!$B$4,0,MAX(0,Model!$B$6-IF((A49+44)&gt;=Model!$B$11,Model!$B$20,0)-IF(44&lt;Model!$B$15,Model!$B$22,0))/(1-Model!$B$9)/(1+Model!$B$18)^44))</f>
        <v/>
      </c>
      <c r="BG49" s="7">
        <f>IF(A49="","",IF((A49+45)&gt;Model!$B$4,0,MAX(0,Model!$B$6-IF((A49+45)&gt;=Model!$B$11,Model!$B$20,0)-IF(45&lt;Model!$B$15,Model!$B$22,0))/(1-Model!$B$9)/(1+Model!$B$18)^45))</f>
        <v/>
      </c>
      <c r="BH49" s="7">
        <f>IF(A49="","",IF((A49+46)&gt;Model!$B$4,0,MAX(0,Model!$B$6-IF((A49+46)&gt;=Model!$B$11,Model!$B$20,0)-IF(46&lt;Model!$B$15,Model!$B$22,0))/(1-Model!$B$9)/(1+Model!$B$18)^46))</f>
        <v/>
      </c>
      <c r="BI49" s="7">
        <f>IF(A49="","",IF((A49+47)&gt;Model!$B$4,0,MAX(0,Model!$B$6-IF((A49+47)&gt;=Model!$B$11,Model!$B$20,0)-IF(47&lt;Model!$B$15,Model!$B$22,0))/(1-Model!$B$9)/(1+Model!$B$18)^47))</f>
        <v/>
      </c>
      <c r="BJ49" s="7">
        <f>IF(A49="","",IF((A49+48)&gt;Model!$B$4,0,MAX(0,Model!$B$6-IF((A49+48)&gt;=Model!$B$11,Model!$B$20,0)-IF(48&lt;Model!$B$15,Model!$B$22,0))/(1-Model!$B$9)/(1+Model!$B$18)^48))</f>
        <v/>
      </c>
      <c r="BK49" s="7">
        <f>IF(A49="","",IF((A49+49)&gt;Model!$B$4,0,MAX(0,Model!$B$6-IF((A49+49)&gt;=Model!$B$11,Model!$B$20,0)-IF(49&lt;Model!$B$15,Model!$B$22,0))/(1-Model!$B$9)/(1+Model!$B$18)^49))</f>
        <v/>
      </c>
      <c r="BL49" s="7">
        <f>IF(A49="","",IF((A49+50)&gt;Model!$B$4,0,MAX(0,Model!$B$6-IF((A49+50)&gt;=Model!$B$11,Model!$B$20,0)-IF(50&lt;Model!$B$15,Model!$B$22,0))/(1-Model!$B$9)/(1+Model!$B$18)^50))</f>
        <v/>
      </c>
      <c r="BM49" s="7">
        <f>IF(A49="","",IF((A49+51)&gt;Model!$B$4,0,MAX(0,Model!$B$6-IF((A49+51)&gt;=Model!$B$11,Model!$B$20,0)-IF(51&lt;Model!$B$15,Model!$B$22,0))/(1-Model!$B$9)/(1+Model!$B$18)^51))</f>
        <v/>
      </c>
      <c r="BN49" s="7">
        <f>IF(A49="","",IF((A49+52)&gt;Model!$B$4,0,MAX(0,Model!$B$6-IF((A49+52)&gt;=Model!$B$11,Model!$B$20,0)-IF(52&lt;Model!$B$15,Model!$B$22,0))/(1-Model!$B$9)/(1+Model!$B$18)^52))</f>
        <v/>
      </c>
      <c r="BO49" s="7">
        <f>IF(A49="","",IF((A49+53)&gt;Model!$B$4,0,MAX(0,Model!$B$6-IF((A49+53)&gt;=Model!$B$11,Model!$B$20,0)-IF(53&lt;Model!$B$15,Model!$B$22,0))/(1-Model!$B$9)/(1+Model!$B$18)^53))</f>
        <v/>
      </c>
      <c r="BP49" s="7">
        <f>IF(A49="","",IF((A49+54)&gt;Model!$B$4,0,MAX(0,Model!$B$6-IF((A49+54)&gt;=Model!$B$11,Model!$B$20,0)-IF(54&lt;Model!$B$15,Model!$B$22,0))/(1-Model!$B$9)/(1+Model!$B$18)^54))</f>
        <v/>
      </c>
      <c r="BQ49" s="7">
        <f>IF(A49="","",IF((A49+55)&gt;Model!$B$4,0,MAX(0,Model!$B$6-IF((A49+55)&gt;=Model!$B$11,Model!$B$20,0)-IF(55&lt;Model!$B$15,Model!$B$22,0))/(1-Model!$B$9)/(1+Model!$B$18)^55))</f>
        <v/>
      </c>
      <c r="BR49" s="7">
        <f>IF(A49="","",IF((A49+56)&gt;Model!$B$4,0,MAX(0,Model!$B$6-IF((A49+56)&gt;=Model!$B$11,Model!$B$20,0)-IF(56&lt;Model!$B$15,Model!$B$22,0))/(1-Model!$B$9)/(1+Model!$B$18)^56))</f>
        <v/>
      </c>
      <c r="BS49" s="7">
        <f>IF(A49="","",IF((A49+57)&gt;Model!$B$4,0,MAX(0,Model!$B$6-IF((A49+57)&gt;=Model!$B$11,Model!$B$20,0)-IF(57&lt;Model!$B$15,Model!$B$22,0))/(1-Model!$B$9)/(1+Model!$B$18)^57))</f>
        <v/>
      </c>
      <c r="BT49" s="7">
        <f>IF(A49="","",IF((A49+58)&gt;Model!$B$4,0,MAX(0,Model!$B$6-IF((A49+58)&gt;=Model!$B$11,Model!$B$20,0)-IF(58&lt;Model!$B$15,Model!$B$22,0))/(1-Model!$B$9)/(1+Model!$B$18)^58))</f>
        <v/>
      </c>
      <c r="BU49" s="7">
        <f>IF(A49="","",IF((A49+59)&gt;Model!$B$4,0,MAX(0,Model!$B$6-IF((A49+59)&gt;=Model!$B$11,Model!$B$20,0)-IF(59&lt;Model!$B$15,Model!$B$22,0))/(1-Model!$B$9)/(1+Model!$B$18)^59))</f>
        <v/>
      </c>
      <c r="BV49" s="7">
        <f>IF(A49="","",IF((A49+60)&gt;Model!$B$4,0,MAX(0,Model!$B$6-IF((A49+60)&gt;=Model!$B$11,Model!$B$20,0)-IF(60&lt;Model!$B$15,Model!$B$22,0))/(1-Model!$B$9)/(1+Model!$B$18)^60))</f>
        <v/>
      </c>
      <c r="BW49" s="7">
        <f>IF(A49="","",IF((A49+61)&gt;Model!$B$4,0,MAX(0,Model!$B$6-IF((A49+61)&gt;=Model!$B$11,Model!$B$20,0)-IF(61&lt;Model!$B$15,Model!$B$22,0))/(1-Model!$B$9)/(1+Model!$B$18)^61))</f>
        <v/>
      </c>
      <c r="BX49" s="7">
        <f>IF(A49="","",IF((A49+62)&gt;Model!$B$4,0,MAX(0,Model!$B$6-IF((A49+62)&gt;=Model!$B$11,Model!$B$20,0)-IF(62&lt;Model!$B$15,Model!$B$22,0))/(1-Model!$B$9)/(1+Model!$B$18)^62))</f>
        <v/>
      </c>
      <c r="BY49" s="7">
        <f>IF(A49="","",IF((A49+63)&gt;Model!$B$4,0,MAX(0,Model!$B$6-IF((A49+63)&gt;=Model!$B$11,Model!$B$20,0)-IF(63&lt;Model!$B$15,Model!$B$22,0))/(1-Model!$B$9)/(1+Model!$B$18)^63))</f>
        <v/>
      </c>
      <c r="BZ49" s="7">
        <f>IF(A49="","",IF((A49+64)&gt;Model!$B$4,0,MAX(0,Model!$B$6-IF((A49+64)&gt;=Model!$B$11,Model!$B$20,0)-IF(64&lt;Model!$B$15,Model!$B$22,0))/(1-Model!$B$9)/(1+Model!$B$18)^64))</f>
        <v/>
      </c>
      <c r="CA49" s="7">
        <f>IF(A49="","",IF((A49+65)&gt;Model!$B$4,0,MAX(0,Model!$B$6-IF((A49+65)&gt;=Model!$B$11,Model!$B$20,0)-IF(65&lt;Model!$B$15,Model!$B$22,0))/(1-Model!$B$9)/(1+Model!$B$18)^65))</f>
        <v/>
      </c>
      <c r="CB49" s="7">
        <f>IF(A49="","",IF((A49+66)&gt;Model!$B$4,0,MAX(0,Model!$B$6-IF((A49+66)&gt;=Model!$B$11,Model!$B$20,0)-IF(66&lt;Model!$B$15,Model!$B$22,0))/(1-Model!$B$9)/(1+Model!$B$18)^66))</f>
        <v/>
      </c>
      <c r="CC49" s="7">
        <f>IF(A49="","",IF((A49+67)&gt;Model!$B$4,0,MAX(0,Model!$B$6-IF((A49+67)&gt;=Model!$B$11,Model!$B$20,0)-IF(67&lt;Model!$B$15,Model!$B$22,0))/(1-Model!$B$9)/(1+Model!$B$18)^67))</f>
        <v/>
      </c>
      <c r="CD49" s="7">
        <f>IF(A49="","",IF((A49+68)&gt;Model!$B$4,0,MAX(0,Model!$B$6-IF((A49+68)&gt;=Model!$B$11,Model!$B$20,0)-IF(68&lt;Model!$B$15,Model!$B$22,0))/(1-Model!$B$9)/(1+Model!$B$18)^68))</f>
        <v/>
      </c>
      <c r="CE49" s="7">
        <f>IF(A49="","",IF((A49+69)&gt;Model!$B$4,0,MAX(0,Model!$B$6-IF((A49+69)&gt;=Model!$B$11,Model!$B$20,0)-IF(69&lt;Model!$B$15,Model!$B$22,0))/(1-Model!$B$9)/(1+Model!$B$18)^69))</f>
        <v/>
      </c>
      <c r="CF49" s="7">
        <f>IF(A49="","",IF((A49+70)&gt;Model!$B$4,0,MAX(0,Model!$B$6-IF((A49+70)&gt;=Model!$B$11,Model!$B$20,0)-IF(70&lt;Model!$B$15,Model!$B$22,0))/(1-Model!$B$9)/(1+Model!$B$18)^70))</f>
        <v/>
      </c>
      <c r="CG49" s="7">
        <f>IF(A49="","",IF((A49+71)&gt;Model!$B$4,0,MAX(0,Model!$B$6-IF((A49+71)&gt;=Model!$B$11,Model!$B$20,0)-IF(71&lt;Model!$B$15,Model!$B$22,0))/(1-Model!$B$9)/(1+Model!$B$18)^71))</f>
        <v/>
      </c>
      <c r="CH49" s="7">
        <f>IF(A49="","",IF((A49+72)&gt;Model!$B$4,0,MAX(0,Model!$B$6-IF((A49+72)&gt;=Model!$B$11,Model!$B$20,0)-IF(72&lt;Model!$B$15,Model!$B$22,0))/(1-Model!$B$9)/(1+Model!$B$18)^72))</f>
        <v/>
      </c>
      <c r="CI49" s="7">
        <f>IF(A49="","",IF((A49+73)&gt;Model!$B$4,0,MAX(0,Model!$B$6-IF((A49+73)&gt;=Model!$B$11,Model!$B$20,0)-IF(73&lt;Model!$B$15,Model!$B$22,0))/(1-Model!$B$9)/(1+Model!$B$18)^73))</f>
        <v/>
      </c>
      <c r="CJ49" s="7">
        <f>IF(A49="","",IF((A49+74)&gt;Model!$B$4,0,MAX(0,Model!$B$6-IF((A49+74)&gt;=Model!$B$11,Model!$B$20,0)-IF(74&lt;Model!$B$15,Model!$B$22,0))/(1-Model!$B$9)/(1+Model!$B$18)^74))</f>
        <v/>
      </c>
      <c r="CK49" s="7">
        <f>IF(A49="","",IF((A49+75)&gt;Model!$B$4,0,MAX(0,Model!$B$6-IF((A49+75)&gt;=Model!$B$11,Model!$B$20,0)-IF(75&lt;Model!$B$15,Model!$B$22,0))/(1-Model!$B$9)/(1+Model!$B$18)^75))</f>
        <v/>
      </c>
      <c r="CL49" s="7">
        <f>IF(A49="","",IF((A49+76)&gt;Model!$B$4,0,MAX(0,Model!$B$6-IF((A49+76)&gt;=Model!$B$11,Model!$B$20,0)-IF(76&lt;Model!$B$15,Model!$B$22,0))/(1-Model!$B$9)/(1+Model!$B$18)^76))</f>
        <v/>
      </c>
      <c r="CM49" s="7">
        <f>IF(A49="","",IF((A49+77)&gt;Model!$B$4,0,MAX(0,Model!$B$6-IF((A49+77)&gt;=Model!$B$11,Model!$B$20,0)-IF(77&lt;Model!$B$15,Model!$B$22,0))/(1-Model!$B$9)/(1+Model!$B$18)^77))</f>
        <v/>
      </c>
      <c r="CN49" s="7">
        <f>IF(A49="","",IF((A49+78)&gt;Model!$B$4,0,MAX(0,Model!$B$6-IF((A49+78)&gt;=Model!$B$11,Model!$B$20,0)-IF(78&lt;Model!$B$15,Model!$B$22,0))/(1-Model!$B$9)/(1+Model!$B$18)^78))</f>
        <v/>
      </c>
      <c r="CO49" s="7">
        <f>IF(A49="","",IF((A49+79)&gt;Model!$B$4,0,MAX(0,Model!$B$6-IF((A49+79)&gt;=Model!$B$11,Model!$B$20,0)-IF(79&lt;Model!$B$15,Model!$B$22,0))/(1-Model!$B$9)/(1+Model!$B$18)^79))</f>
        <v/>
      </c>
      <c r="CP49" s="7">
        <f>IF(A49="","",IF((A49+80)&gt;Model!$B$4,0,MAX(0,Model!$B$6-IF((A49+80)&gt;=Model!$B$11,Model!$B$20,0)-IF(80&lt;Model!$B$15,Model!$B$22,0))/(1-Model!$B$9)/(1+Model!$B$18)^80))</f>
        <v/>
      </c>
      <c r="CQ49" s="7">
        <f>IF(A49="","",IF((A49+81)&gt;Model!$B$4,0,MAX(0,Model!$B$6-IF((A49+81)&gt;=Model!$B$11,Model!$B$20,0)-IF(81&lt;Model!$B$15,Model!$B$22,0))/(1-Model!$B$9)/(1+Model!$B$18)^81))</f>
        <v/>
      </c>
      <c r="CR49" s="7">
        <f>IF(A49="","",IF((A49+82)&gt;Model!$B$4,0,MAX(0,Model!$B$6-IF((A49+82)&gt;=Model!$B$11,Model!$B$20,0)-IF(82&lt;Model!$B$15,Model!$B$22,0))/(1-Model!$B$9)/(1+Model!$B$18)^82))</f>
        <v/>
      </c>
      <c r="CS49" s="7">
        <f>IF(A49="","",IF((A49+83)&gt;Model!$B$4,0,MAX(0,Model!$B$6-IF((A49+83)&gt;=Model!$B$11,Model!$B$20,0)-IF(83&lt;Model!$B$15,Model!$B$22,0))/(1-Model!$B$9)/(1+Model!$B$18)^83))</f>
        <v/>
      </c>
      <c r="CT49" s="7">
        <f>IF(A49="","",IF((A49+84)&gt;Model!$B$4,0,MAX(0,Model!$B$6-IF((A49+84)&gt;=Model!$B$11,Model!$B$20,0)-IF(84&lt;Model!$B$15,Model!$B$22,0))/(1-Model!$B$9)/(1+Model!$B$18)^84))</f>
        <v/>
      </c>
      <c r="CU49" s="7">
        <f>IF(A49="","",IF((A49+85)&gt;Model!$B$4,0,MAX(0,Model!$B$6-IF((A49+85)&gt;=Model!$B$11,Model!$B$20,0)-IF(85&lt;Model!$B$15,Model!$B$22,0))/(1-Model!$B$9)/(1+Model!$B$18)^85))</f>
        <v/>
      </c>
      <c r="CV49" s="7">
        <f>IF(A49="","",IF((A49+86)&gt;Model!$B$4,0,MAX(0,Model!$B$6-IF((A49+86)&gt;=Model!$B$11,Model!$B$20,0)-IF(86&lt;Model!$B$15,Model!$B$22,0))/(1-Model!$B$9)/(1+Model!$B$18)^86))</f>
        <v/>
      </c>
      <c r="CW49" s="7">
        <f>IF(A49="","",IF((A49+87)&gt;Model!$B$4,0,MAX(0,Model!$B$6-IF((A49+87)&gt;=Model!$B$11,Model!$B$20,0)-IF(87&lt;Model!$B$15,Model!$B$22,0))/(1-Model!$B$9)/(1+Model!$B$18)^87))</f>
        <v/>
      </c>
      <c r="CX49" s="7">
        <f>IF(A49="","",IF((A49+88)&gt;Model!$B$4,0,MAX(0,Model!$B$6-IF((A49+88)&gt;=Model!$B$11,Model!$B$20,0)-IF(88&lt;Model!$B$15,Model!$B$22,0))/(1-Model!$B$9)/(1+Model!$B$18)^88))</f>
        <v/>
      </c>
      <c r="CY49" s="7">
        <f>IF(A49="","",IF((A49+89)&gt;Model!$B$4,0,MAX(0,Model!$B$6-IF((A49+89)&gt;=Model!$B$11,Model!$B$20,0)-IF(89&lt;Model!$B$15,Model!$B$22,0))/(1-Model!$B$9)/(1+Model!$B$18)^89))</f>
        <v/>
      </c>
      <c r="CZ49" s="7">
        <f>IF(A49="","",IF((A49+90)&gt;Model!$B$4,0,MAX(0,Model!$B$6-IF((A49+90)&gt;=Model!$B$11,Model!$B$20,0)-IF(90&lt;Model!$B$15,Model!$B$22,0))/(1-Model!$B$9)/(1+Model!$B$18)^90))</f>
        <v/>
      </c>
      <c r="DA49" s="7">
        <f>IF(A49="","",IF((A49+91)&gt;Model!$B$4,0,MAX(0,Model!$B$6-IF((A49+91)&gt;=Model!$B$11,Model!$B$20,0)-IF(91&lt;Model!$B$15,Model!$B$22,0))/(1-Model!$B$9)/(1+Model!$B$18)^91))</f>
        <v/>
      </c>
      <c r="DB49" s="7">
        <f>IF(A49="","",IF((A49+92)&gt;Model!$B$4,0,MAX(0,Model!$B$6-IF((A49+92)&gt;=Model!$B$11,Model!$B$20,0)-IF(92&lt;Model!$B$15,Model!$B$22,0))/(1-Model!$B$9)/(1+Model!$B$18)^92))</f>
        <v/>
      </c>
      <c r="DC49" s="7">
        <f>IF(A49="","",IF((A49+93)&gt;Model!$B$4,0,MAX(0,Model!$B$6-IF((A49+93)&gt;=Model!$B$11,Model!$B$20,0)-IF(93&lt;Model!$B$15,Model!$B$22,0))/(1-Model!$B$9)/(1+Model!$B$18)^93))</f>
        <v/>
      </c>
      <c r="DD49" s="7">
        <f>IF(A49="","",IF((A49+94)&gt;Model!$B$4,0,MAX(0,Model!$B$6-IF((A49+94)&gt;=Model!$B$11,Model!$B$20,0)-IF(94&lt;Model!$B$15,Model!$B$22,0))/(1-Model!$B$9)/(1+Model!$B$18)^94))</f>
        <v/>
      </c>
      <c r="DE49" s="7">
        <f>IF(A49="","",IF((A49+95)&gt;Model!$B$4,0,MAX(0,Model!$B$6-IF((A49+95)&gt;=Model!$B$11,Model!$B$20,0)-IF(95&lt;Model!$B$15,Model!$B$22,0))/(1-Model!$B$9)/(1+Model!$B$18)^95))</f>
        <v/>
      </c>
      <c r="DF49" s="7">
        <f>IF(A49="","",IF((A49+96)&gt;Model!$B$4,0,MAX(0,Model!$B$6-IF((A49+96)&gt;=Model!$B$11,Model!$B$20,0)-IF(96&lt;Model!$B$15,Model!$B$22,0))/(1-Model!$B$9)/(1+Model!$B$18)^96))</f>
        <v/>
      </c>
      <c r="DG49" s="7">
        <f>IF(A49="","",IF((A49+97)&gt;Model!$B$4,0,MAX(0,Model!$B$6-IF((A49+97)&gt;=Model!$B$11,Model!$B$20,0)-IF(97&lt;Model!$B$15,Model!$B$22,0))/(1-Model!$B$9)/(1+Model!$B$18)^97))</f>
        <v/>
      </c>
      <c r="DH49" s="7">
        <f>IF(A49="","",IF((A49+98)&gt;Model!$B$4,0,MAX(0,Model!$B$6-IF((A49+98)&gt;=Model!$B$11,Model!$B$20,0)-IF(98&lt;Model!$B$15,Model!$B$22,0))/(1-Model!$B$9)/(1+Model!$B$18)^98))</f>
        <v/>
      </c>
      <c r="DI49" s="7">
        <f>IF(A49="","",IF((A49+99)&gt;Model!$B$4,0,MAX(0,Model!$B$6-IF((A49+99)&gt;=Model!$B$11,Model!$B$20,0)-IF(99&lt;Model!$B$15,Model!$B$22,0))/(1-Model!$B$9)/(1+Model!$B$18)^99))</f>
        <v/>
      </c>
      <c r="DJ49" s="7">
        <f>IF(A49="","",IF((A49+100)&gt;Model!$B$4,0,MAX(0,Model!$B$6-IF((A49+100)&gt;=Model!$B$11,Model!$B$20,0)-IF(100&lt;Model!$B$15,Model!$B$22,0))/(1-Model!$B$9)/(1+Model!$B$18)^100))</f>
        <v/>
      </c>
      <c r="DK49" s="7">
        <f>IF(A49="","",IF((A49+101)&gt;Model!$B$4,0,MAX(0,Model!$B$6-IF((A49+101)&gt;=Model!$B$11,Model!$B$20,0)-IF(101&lt;Model!$B$15,Model!$B$22,0))/(1-Model!$B$9)/(1+Model!$B$18)^101))</f>
        <v/>
      </c>
      <c r="DL49" s="7">
        <f>IF(A49="","",IF((A49+102)&gt;Model!$B$4,0,MAX(0,Model!$B$6-IF((A49+102)&gt;=Model!$B$11,Model!$B$20,0)-IF(102&lt;Model!$B$15,Model!$B$22,0))/(1-Model!$B$9)/(1+Model!$B$18)^102))</f>
        <v/>
      </c>
      <c r="DM49" s="7">
        <f>IF(A49="","",IF((A49+103)&gt;Model!$B$4,0,MAX(0,Model!$B$6-IF((A49+103)&gt;=Model!$B$11,Model!$B$20,0)-IF(103&lt;Model!$B$15,Model!$B$22,0))/(1-Model!$B$9)/(1+Model!$B$18)^103))</f>
        <v/>
      </c>
      <c r="DN49" s="7">
        <f>IF(A49="","",IF((A49+104)&gt;Model!$B$4,0,MAX(0,Model!$B$6-IF((A49+104)&gt;=Model!$B$11,Model!$B$20,0)-IF(104&lt;Model!$B$15,Model!$B$22,0))/(1-Model!$B$9)/(1+Model!$B$18)^104))</f>
        <v/>
      </c>
      <c r="DO49" s="7">
        <f>IF(A49="","",IF((A49+105)&gt;Model!$B$4,0,MAX(0,Model!$B$6-IF((A49+105)&gt;=Model!$B$11,Model!$B$20,0)-IF(105&lt;Model!$B$15,Model!$B$22,0))/(1-Model!$B$9)/(1+Model!$B$18)^105))</f>
        <v/>
      </c>
      <c r="DP49" s="7">
        <f>IF(A49="","",IF((A49+106)&gt;Model!$B$4,0,MAX(0,Model!$B$6-IF((A49+106)&gt;=Model!$B$11,Model!$B$20,0)-IF(106&lt;Model!$B$15,Model!$B$22,0))/(1-Model!$B$9)/(1+Model!$B$18)^106))</f>
        <v/>
      </c>
      <c r="DQ49" s="7">
        <f>IF(A49="","",IF((A49+107)&gt;Model!$B$4,0,MAX(0,Model!$B$6-IF((A49+107)&gt;=Model!$B$11,Model!$B$20,0)-IF(107&lt;Model!$B$15,Model!$B$22,0))/(1-Model!$B$9)/(1+Model!$B$18)^107))</f>
        <v/>
      </c>
      <c r="DR49" s="7">
        <f>IF(A49="","",IF((A49+108)&gt;Model!$B$4,0,MAX(0,Model!$B$6-IF((A49+108)&gt;=Model!$B$11,Model!$B$20,0)-IF(108&lt;Model!$B$15,Model!$B$22,0))/(1-Model!$B$9)/(1+Model!$B$18)^108))</f>
        <v/>
      </c>
      <c r="DS49" s="7">
        <f>IF(A49="","",IF((A49+109)&gt;Model!$B$4,0,MAX(0,Model!$B$6-IF((A49+109)&gt;=Model!$B$11,Model!$B$20,0)-IF(109&lt;Model!$B$15,Model!$B$22,0))/(1-Model!$B$9)/(1+Model!$B$18)^109))</f>
        <v/>
      </c>
      <c r="DT49" s="7">
        <f>IF(A49="","",IF((A49+110)&gt;Model!$B$4,0,MAX(0,Model!$B$6-IF((A49+110)&gt;=Model!$B$11,Model!$B$20,0)-IF(110&lt;Model!$B$15,Model!$B$22,0))/(1-Model!$B$9)/(1+Model!$B$18)^110))</f>
        <v/>
      </c>
      <c r="DU49" s="7">
        <f>IF(A49="","",IF((A49+111)&gt;Model!$B$4,0,MAX(0,Model!$B$6-IF((A49+111)&gt;=Model!$B$11,Model!$B$20,0)-IF(111&lt;Model!$B$15,Model!$B$22,0))/(1-Model!$B$9)/(1+Model!$B$18)^111))</f>
        <v/>
      </c>
      <c r="DV49" s="7">
        <f>IF(A49="","",IF((A49+112)&gt;Model!$B$4,0,MAX(0,Model!$B$6-IF((A49+112)&gt;=Model!$B$11,Model!$B$20,0)-IF(112&lt;Model!$B$15,Model!$B$22,0))/(1-Model!$B$9)/(1+Model!$B$18)^112))</f>
        <v/>
      </c>
      <c r="DW49" s="7">
        <f>IF(A49="","",IF((A49+113)&gt;Model!$B$4,0,MAX(0,Model!$B$6-IF((A49+113)&gt;=Model!$B$11,Model!$B$20,0)-IF(113&lt;Model!$B$15,Model!$B$22,0))/(1-Model!$B$9)/(1+Model!$B$18)^113))</f>
        <v/>
      </c>
      <c r="DX49" s="7">
        <f>IF(A49="","",IF((A49+114)&gt;Model!$B$4,0,MAX(0,Model!$B$6-IF((A49+114)&gt;=Model!$B$11,Model!$B$20,0)-IF(114&lt;Model!$B$15,Model!$B$22,0))/(1-Model!$B$9)/(1+Model!$B$18)^114))</f>
        <v/>
      </c>
      <c r="DY49" s="7">
        <f>IF(A49="","",IF((A49+115)&gt;Model!$B$4,0,MAX(0,Model!$B$6-IF((A49+115)&gt;=Model!$B$11,Model!$B$20,0)-IF(115&lt;Model!$B$15,Model!$B$22,0))/(1-Model!$B$9)/(1+Model!$B$18)^115))</f>
        <v/>
      </c>
      <c r="DZ49" s="7">
        <f>IF(A49="","",IF((A49+116)&gt;Model!$B$4,0,MAX(0,Model!$B$6-IF((A49+116)&gt;=Model!$B$11,Model!$B$20,0)-IF(116&lt;Model!$B$15,Model!$B$22,0))/(1-Model!$B$9)/(1+Model!$B$18)^116))</f>
        <v/>
      </c>
      <c r="EA49" s="7">
        <f>IF(A49="","",IF((A49+117)&gt;Model!$B$4,0,MAX(0,Model!$B$6-IF((A49+117)&gt;=Model!$B$11,Model!$B$20,0)-IF(117&lt;Model!$B$15,Model!$B$22,0))/(1-Model!$B$9)/(1+Model!$B$18)^117))</f>
        <v/>
      </c>
      <c r="EB49" s="7">
        <f>IF(A49="","",IF((A49+118)&gt;Model!$B$4,0,MAX(0,Model!$B$6-IF((A49+118)&gt;=Model!$B$11,Model!$B$20,0)-IF(118&lt;Model!$B$15,Model!$B$22,0))/(1-Model!$B$9)/(1+Model!$B$18)^118))</f>
        <v/>
      </c>
      <c r="EC49" s="7">
        <f>IF(A49="","",IF((A49+119)&gt;Model!$B$4,0,MAX(0,Model!$B$6-IF((A49+119)&gt;=Model!$B$11,Model!$B$20,0)-IF(119&lt;Model!$B$15,Model!$B$22,0))/(1-Model!$B$9)/(1+Model!$B$18)^119))</f>
        <v/>
      </c>
      <c r="ED49" s="7">
        <f>IF(A49="","",IF((A49+120)&gt;Model!$B$4,0,MAX(0,Model!$B$6-IF((A49+120)&gt;=Model!$B$11,Model!$B$20,0)-IF(120&lt;Model!$B$15,Model!$B$22,0))/(1-Model!$B$9)/(1+Model!$B$18)^120))</f>
        <v/>
      </c>
    </row>
    <row r="50">
      <c r="A50">
        <f>IF(Model!$B$10+ROW()-2&lt;=Model!$B$4,Model!$B$10+ROW()-2,"")</f>
        <v/>
      </c>
      <c r="B50">
        <f>IF(A50="","",A50-Model!$B$10)</f>
        <v/>
      </c>
      <c r="C50" s="7">
        <f>IF(A50="","",Model!$B$5*(1+Model!$B$18)^B50)</f>
        <v/>
      </c>
      <c r="D50" s="7">
        <f>IF(A50="","",SUM(N50:ED50))</f>
        <v/>
      </c>
      <c r="E50" s="7">
        <f>IF(A50="","",IF(A50&gt;=Model!$B$11,Model!$B$20,0))</f>
        <v/>
      </c>
      <c r="F50" s="7">
        <f>IF(A50="","",IF(Model!$B$15&gt;0,Model!$B$22,0))</f>
        <v/>
      </c>
      <c r="G50" s="7">
        <f>IF(A50="","",E50+F50)</f>
        <v/>
      </c>
      <c r="H50" s="7">
        <f>IF(A50="","",MAX(0,Model!$B$6-G50))</f>
        <v/>
      </c>
      <c r="I50" s="7">
        <f>IF(A50="","",H50/(1-Model!$B$9))</f>
        <v/>
      </c>
      <c r="J50" s="7">
        <f>IF(A50="","",C50-D50)</f>
        <v/>
      </c>
      <c r="K50">
        <f>IF(A50="","",C50&gt;=D50)</f>
        <v/>
      </c>
      <c r="L50" s="7">
        <f>IF(A50="","",IF(A50&gt;=Model!$B$11,Model!$B$19*(1+Model!$B$13)^B50,0))</f>
        <v/>
      </c>
      <c r="M50" s="7">
        <f>IF(A50="","",IF(Model!$B$15&gt;0,Model!$B$21*(1+Model!$B$13)^B50,0))</f>
        <v/>
      </c>
      <c r="N50" s="7">
        <f>IF(A50="","",IF((A50+0)&gt;Model!$B$4,0,MAX(0,Model!$B$6-IF((A50+0)&gt;=Model!$B$11,Model!$B$20,0)-IF(0&lt;Model!$B$15,Model!$B$22,0))/(1-Model!$B$9)/(1+Model!$B$18)^0))</f>
        <v/>
      </c>
      <c r="O50" s="7">
        <f>IF(A50="","",IF((A50+1)&gt;Model!$B$4,0,MAX(0,Model!$B$6-IF((A50+1)&gt;=Model!$B$11,Model!$B$20,0)-IF(1&lt;Model!$B$15,Model!$B$22,0))/(1-Model!$B$9)/(1+Model!$B$18)^1))</f>
        <v/>
      </c>
      <c r="P50" s="7">
        <f>IF(A50="","",IF((A50+2)&gt;Model!$B$4,0,MAX(0,Model!$B$6-IF((A50+2)&gt;=Model!$B$11,Model!$B$20,0)-IF(2&lt;Model!$B$15,Model!$B$22,0))/(1-Model!$B$9)/(1+Model!$B$18)^2))</f>
        <v/>
      </c>
      <c r="Q50" s="7">
        <f>IF(A50="","",IF((A50+3)&gt;Model!$B$4,0,MAX(0,Model!$B$6-IF((A50+3)&gt;=Model!$B$11,Model!$B$20,0)-IF(3&lt;Model!$B$15,Model!$B$22,0))/(1-Model!$B$9)/(1+Model!$B$18)^3))</f>
        <v/>
      </c>
      <c r="R50" s="7">
        <f>IF(A50="","",IF((A50+4)&gt;Model!$B$4,0,MAX(0,Model!$B$6-IF((A50+4)&gt;=Model!$B$11,Model!$B$20,0)-IF(4&lt;Model!$B$15,Model!$B$22,0))/(1-Model!$B$9)/(1+Model!$B$18)^4))</f>
        <v/>
      </c>
      <c r="S50" s="7">
        <f>IF(A50="","",IF((A50+5)&gt;Model!$B$4,0,MAX(0,Model!$B$6-IF((A50+5)&gt;=Model!$B$11,Model!$B$20,0)-IF(5&lt;Model!$B$15,Model!$B$22,0))/(1-Model!$B$9)/(1+Model!$B$18)^5))</f>
        <v/>
      </c>
      <c r="T50" s="7">
        <f>IF(A50="","",IF((A50+6)&gt;Model!$B$4,0,MAX(0,Model!$B$6-IF((A50+6)&gt;=Model!$B$11,Model!$B$20,0)-IF(6&lt;Model!$B$15,Model!$B$22,0))/(1-Model!$B$9)/(1+Model!$B$18)^6))</f>
        <v/>
      </c>
      <c r="U50" s="7">
        <f>IF(A50="","",IF((A50+7)&gt;Model!$B$4,0,MAX(0,Model!$B$6-IF((A50+7)&gt;=Model!$B$11,Model!$B$20,0)-IF(7&lt;Model!$B$15,Model!$B$22,0))/(1-Model!$B$9)/(1+Model!$B$18)^7))</f>
        <v/>
      </c>
      <c r="V50" s="7">
        <f>IF(A50="","",IF((A50+8)&gt;Model!$B$4,0,MAX(0,Model!$B$6-IF((A50+8)&gt;=Model!$B$11,Model!$B$20,0)-IF(8&lt;Model!$B$15,Model!$B$22,0))/(1-Model!$B$9)/(1+Model!$B$18)^8))</f>
        <v/>
      </c>
      <c r="W50" s="7">
        <f>IF(A50="","",IF((A50+9)&gt;Model!$B$4,0,MAX(0,Model!$B$6-IF((A50+9)&gt;=Model!$B$11,Model!$B$20,0)-IF(9&lt;Model!$B$15,Model!$B$22,0))/(1-Model!$B$9)/(1+Model!$B$18)^9))</f>
        <v/>
      </c>
      <c r="X50" s="7">
        <f>IF(A50="","",IF((A50+10)&gt;Model!$B$4,0,MAX(0,Model!$B$6-IF((A50+10)&gt;=Model!$B$11,Model!$B$20,0)-IF(10&lt;Model!$B$15,Model!$B$22,0))/(1-Model!$B$9)/(1+Model!$B$18)^10))</f>
        <v/>
      </c>
      <c r="Y50" s="7">
        <f>IF(A50="","",IF((A50+11)&gt;Model!$B$4,0,MAX(0,Model!$B$6-IF((A50+11)&gt;=Model!$B$11,Model!$B$20,0)-IF(11&lt;Model!$B$15,Model!$B$22,0))/(1-Model!$B$9)/(1+Model!$B$18)^11))</f>
        <v/>
      </c>
      <c r="Z50" s="7">
        <f>IF(A50="","",IF((A50+12)&gt;Model!$B$4,0,MAX(0,Model!$B$6-IF((A50+12)&gt;=Model!$B$11,Model!$B$20,0)-IF(12&lt;Model!$B$15,Model!$B$22,0))/(1-Model!$B$9)/(1+Model!$B$18)^12))</f>
        <v/>
      </c>
      <c r="AA50" s="7">
        <f>IF(A50="","",IF((A50+13)&gt;Model!$B$4,0,MAX(0,Model!$B$6-IF((A50+13)&gt;=Model!$B$11,Model!$B$20,0)-IF(13&lt;Model!$B$15,Model!$B$22,0))/(1-Model!$B$9)/(1+Model!$B$18)^13))</f>
        <v/>
      </c>
      <c r="AB50" s="7">
        <f>IF(A50="","",IF((A50+14)&gt;Model!$B$4,0,MAX(0,Model!$B$6-IF((A50+14)&gt;=Model!$B$11,Model!$B$20,0)-IF(14&lt;Model!$B$15,Model!$B$22,0))/(1-Model!$B$9)/(1+Model!$B$18)^14))</f>
        <v/>
      </c>
      <c r="AC50" s="7">
        <f>IF(A50="","",IF((A50+15)&gt;Model!$B$4,0,MAX(0,Model!$B$6-IF((A50+15)&gt;=Model!$B$11,Model!$B$20,0)-IF(15&lt;Model!$B$15,Model!$B$22,0))/(1-Model!$B$9)/(1+Model!$B$18)^15))</f>
        <v/>
      </c>
      <c r="AD50" s="7">
        <f>IF(A50="","",IF((A50+16)&gt;Model!$B$4,0,MAX(0,Model!$B$6-IF((A50+16)&gt;=Model!$B$11,Model!$B$20,0)-IF(16&lt;Model!$B$15,Model!$B$22,0))/(1-Model!$B$9)/(1+Model!$B$18)^16))</f>
        <v/>
      </c>
      <c r="AE50" s="7">
        <f>IF(A50="","",IF((A50+17)&gt;Model!$B$4,0,MAX(0,Model!$B$6-IF((A50+17)&gt;=Model!$B$11,Model!$B$20,0)-IF(17&lt;Model!$B$15,Model!$B$22,0))/(1-Model!$B$9)/(1+Model!$B$18)^17))</f>
        <v/>
      </c>
      <c r="AF50" s="7">
        <f>IF(A50="","",IF((A50+18)&gt;Model!$B$4,0,MAX(0,Model!$B$6-IF((A50+18)&gt;=Model!$B$11,Model!$B$20,0)-IF(18&lt;Model!$B$15,Model!$B$22,0))/(1-Model!$B$9)/(1+Model!$B$18)^18))</f>
        <v/>
      </c>
      <c r="AG50" s="7">
        <f>IF(A50="","",IF((A50+19)&gt;Model!$B$4,0,MAX(0,Model!$B$6-IF((A50+19)&gt;=Model!$B$11,Model!$B$20,0)-IF(19&lt;Model!$B$15,Model!$B$22,0))/(1-Model!$B$9)/(1+Model!$B$18)^19))</f>
        <v/>
      </c>
      <c r="AH50" s="7">
        <f>IF(A50="","",IF((A50+20)&gt;Model!$B$4,0,MAX(0,Model!$B$6-IF((A50+20)&gt;=Model!$B$11,Model!$B$20,0)-IF(20&lt;Model!$B$15,Model!$B$22,0))/(1-Model!$B$9)/(1+Model!$B$18)^20))</f>
        <v/>
      </c>
      <c r="AI50" s="7">
        <f>IF(A50="","",IF((A50+21)&gt;Model!$B$4,0,MAX(0,Model!$B$6-IF((A50+21)&gt;=Model!$B$11,Model!$B$20,0)-IF(21&lt;Model!$B$15,Model!$B$22,0))/(1-Model!$B$9)/(1+Model!$B$18)^21))</f>
        <v/>
      </c>
      <c r="AJ50" s="7">
        <f>IF(A50="","",IF((A50+22)&gt;Model!$B$4,0,MAX(0,Model!$B$6-IF((A50+22)&gt;=Model!$B$11,Model!$B$20,0)-IF(22&lt;Model!$B$15,Model!$B$22,0))/(1-Model!$B$9)/(1+Model!$B$18)^22))</f>
        <v/>
      </c>
      <c r="AK50" s="7">
        <f>IF(A50="","",IF((A50+23)&gt;Model!$B$4,0,MAX(0,Model!$B$6-IF((A50+23)&gt;=Model!$B$11,Model!$B$20,0)-IF(23&lt;Model!$B$15,Model!$B$22,0))/(1-Model!$B$9)/(1+Model!$B$18)^23))</f>
        <v/>
      </c>
      <c r="AL50" s="7">
        <f>IF(A50="","",IF((A50+24)&gt;Model!$B$4,0,MAX(0,Model!$B$6-IF((A50+24)&gt;=Model!$B$11,Model!$B$20,0)-IF(24&lt;Model!$B$15,Model!$B$22,0))/(1-Model!$B$9)/(1+Model!$B$18)^24))</f>
        <v/>
      </c>
      <c r="AM50" s="7">
        <f>IF(A50="","",IF((A50+25)&gt;Model!$B$4,0,MAX(0,Model!$B$6-IF((A50+25)&gt;=Model!$B$11,Model!$B$20,0)-IF(25&lt;Model!$B$15,Model!$B$22,0))/(1-Model!$B$9)/(1+Model!$B$18)^25))</f>
        <v/>
      </c>
      <c r="AN50" s="7">
        <f>IF(A50="","",IF((A50+26)&gt;Model!$B$4,0,MAX(0,Model!$B$6-IF((A50+26)&gt;=Model!$B$11,Model!$B$20,0)-IF(26&lt;Model!$B$15,Model!$B$22,0))/(1-Model!$B$9)/(1+Model!$B$18)^26))</f>
        <v/>
      </c>
      <c r="AO50" s="7">
        <f>IF(A50="","",IF((A50+27)&gt;Model!$B$4,0,MAX(0,Model!$B$6-IF((A50+27)&gt;=Model!$B$11,Model!$B$20,0)-IF(27&lt;Model!$B$15,Model!$B$22,0))/(1-Model!$B$9)/(1+Model!$B$18)^27))</f>
        <v/>
      </c>
      <c r="AP50" s="7">
        <f>IF(A50="","",IF((A50+28)&gt;Model!$B$4,0,MAX(0,Model!$B$6-IF((A50+28)&gt;=Model!$B$11,Model!$B$20,0)-IF(28&lt;Model!$B$15,Model!$B$22,0))/(1-Model!$B$9)/(1+Model!$B$18)^28))</f>
        <v/>
      </c>
      <c r="AQ50" s="7">
        <f>IF(A50="","",IF((A50+29)&gt;Model!$B$4,0,MAX(0,Model!$B$6-IF((A50+29)&gt;=Model!$B$11,Model!$B$20,0)-IF(29&lt;Model!$B$15,Model!$B$22,0))/(1-Model!$B$9)/(1+Model!$B$18)^29))</f>
        <v/>
      </c>
      <c r="AR50" s="7">
        <f>IF(A50="","",IF((A50+30)&gt;Model!$B$4,0,MAX(0,Model!$B$6-IF((A50+30)&gt;=Model!$B$11,Model!$B$20,0)-IF(30&lt;Model!$B$15,Model!$B$22,0))/(1-Model!$B$9)/(1+Model!$B$18)^30))</f>
        <v/>
      </c>
      <c r="AS50" s="7">
        <f>IF(A50="","",IF((A50+31)&gt;Model!$B$4,0,MAX(0,Model!$B$6-IF((A50+31)&gt;=Model!$B$11,Model!$B$20,0)-IF(31&lt;Model!$B$15,Model!$B$22,0))/(1-Model!$B$9)/(1+Model!$B$18)^31))</f>
        <v/>
      </c>
      <c r="AT50" s="7">
        <f>IF(A50="","",IF((A50+32)&gt;Model!$B$4,0,MAX(0,Model!$B$6-IF((A50+32)&gt;=Model!$B$11,Model!$B$20,0)-IF(32&lt;Model!$B$15,Model!$B$22,0))/(1-Model!$B$9)/(1+Model!$B$18)^32))</f>
        <v/>
      </c>
      <c r="AU50" s="7">
        <f>IF(A50="","",IF((A50+33)&gt;Model!$B$4,0,MAX(0,Model!$B$6-IF((A50+33)&gt;=Model!$B$11,Model!$B$20,0)-IF(33&lt;Model!$B$15,Model!$B$22,0))/(1-Model!$B$9)/(1+Model!$B$18)^33))</f>
        <v/>
      </c>
      <c r="AV50" s="7">
        <f>IF(A50="","",IF((A50+34)&gt;Model!$B$4,0,MAX(0,Model!$B$6-IF((A50+34)&gt;=Model!$B$11,Model!$B$20,0)-IF(34&lt;Model!$B$15,Model!$B$22,0))/(1-Model!$B$9)/(1+Model!$B$18)^34))</f>
        <v/>
      </c>
      <c r="AW50" s="7">
        <f>IF(A50="","",IF((A50+35)&gt;Model!$B$4,0,MAX(0,Model!$B$6-IF((A50+35)&gt;=Model!$B$11,Model!$B$20,0)-IF(35&lt;Model!$B$15,Model!$B$22,0))/(1-Model!$B$9)/(1+Model!$B$18)^35))</f>
        <v/>
      </c>
      <c r="AX50" s="7">
        <f>IF(A50="","",IF((A50+36)&gt;Model!$B$4,0,MAX(0,Model!$B$6-IF((A50+36)&gt;=Model!$B$11,Model!$B$20,0)-IF(36&lt;Model!$B$15,Model!$B$22,0))/(1-Model!$B$9)/(1+Model!$B$18)^36))</f>
        <v/>
      </c>
      <c r="AY50" s="7">
        <f>IF(A50="","",IF((A50+37)&gt;Model!$B$4,0,MAX(0,Model!$B$6-IF((A50+37)&gt;=Model!$B$11,Model!$B$20,0)-IF(37&lt;Model!$B$15,Model!$B$22,0))/(1-Model!$B$9)/(1+Model!$B$18)^37))</f>
        <v/>
      </c>
      <c r="AZ50" s="7">
        <f>IF(A50="","",IF((A50+38)&gt;Model!$B$4,0,MAX(0,Model!$B$6-IF((A50+38)&gt;=Model!$B$11,Model!$B$20,0)-IF(38&lt;Model!$B$15,Model!$B$22,0))/(1-Model!$B$9)/(1+Model!$B$18)^38))</f>
        <v/>
      </c>
      <c r="BA50" s="7">
        <f>IF(A50="","",IF((A50+39)&gt;Model!$B$4,0,MAX(0,Model!$B$6-IF((A50+39)&gt;=Model!$B$11,Model!$B$20,0)-IF(39&lt;Model!$B$15,Model!$B$22,0))/(1-Model!$B$9)/(1+Model!$B$18)^39))</f>
        <v/>
      </c>
      <c r="BB50" s="7">
        <f>IF(A50="","",IF((A50+40)&gt;Model!$B$4,0,MAX(0,Model!$B$6-IF((A50+40)&gt;=Model!$B$11,Model!$B$20,0)-IF(40&lt;Model!$B$15,Model!$B$22,0))/(1-Model!$B$9)/(1+Model!$B$18)^40))</f>
        <v/>
      </c>
      <c r="BC50" s="7">
        <f>IF(A50="","",IF((A50+41)&gt;Model!$B$4,0,MAX(0,Model!$B$6-IF((A50+41)&gt;=Model!$B$11,Model!$B$20,0)-IF(41&lt;Model!$B$15,Model!$B$22,0))/(1-Model!$B$9)/(1+Model!$B$18)^41))</f>
        <v/>
      </c>
      <c r="BD50" s="7">
        <f>IF(A50="","",IF((A50+42)&gt;Model!$B$4,0,MAX(0,Model!$B$6-IF((A50+42)&gt;=Model!$B$11,Model!$B$20,0)-IF(42&lt;Model!$B$15,Model!$B$22,0))/(1-Model!$B$9)/(1+Model!$B$18)^42))</f>
        <v/>
      </c>
      <c r="BE50" s="7">
        <f>IF(A50="","",IF((A50+43)&gt;Model!$B$4,0,MAX(0,Model!$B$6-IF((A50+43)&gt;=Model!$B$11,Model!$B$20,0)-IF(43&lt;Model!$B$15,Model!$B$22,0))/(1-Model!$B$9)/(1+Model!$B$18)^43))</f>
        <v/>
      </c>
      <c r="BF50" s="7">
        <f>IF(A50="","",IF((A50+44)&gt;Model!$B$4,0,MAX(0,Model!$B$6-IF((A50+44)&gt;=Model!$B$11,Model!$B$20,0)-IF(44&lt;Model!$B$15,Model!$B$22,0))/(1-Model!$B$9)/(1+Model!$B$18)^44))</f>
        <v/>
      </c>
      <c r="BG50" s="7">
        <f>IF(A50="","",IF((A50+45)&gt;Model!$B$4,0,MAX(0,Model!$B$6-IF((A50+45)&gt;=Model!$B$11,Model!$B$20,0)-IF(45&lt;Model!$B$15,Model!$B$22,0))/(1-Model!$B$9)/(1+Model!$B$18)^45))</f>
        <v/>
      </c>
      <c r="BH50" s="7">
        <f>IF(A50="","",IF((A50+46)&gt;Model!$B$4,0,MAX(0,Model!$B$6-IF((A50+46)&gt;=Model!$B$11,Model!$B$20,0)-IF(46&lt;Model!$B$15,Model!$B$22,0))/(1-Model!$B$9)/(1+Model!$B$18)^46))</f>
        <v/>
      </c>
      <c r="BI50" s="7">
        <f>IF(A50="","",IF((A50+47)&gt;Model!$B$4,0,MAX(0,Model!$B$6-IF((A50+47)&gt;=Model!$B$11,Model!$B$20,0)-IF(47&lt;Model!$B$15,Model!$B$22,0))/(1-Model!$B$9)/(1+Model!$B$18)^47))</f>
        <v/>
      </c>
      <c r="BJ50" s="7">
        <f>IF(A50="","",IF((A50+48)&gt;Model!$B$4,0,MAX(0,Model!$B$6-IF((A50+48)&gt;=Model!$B$11,Model!$B$20,0)-IF(48&lt;Model!$B$15,Model!$B$22,0))/(1-Model!$B$9)/(1+Model!$B$18)^48))</f>
        <v/>
      </c>
      <c r="BK50" s="7">
        <f>IF(A50="","",IF((A50+49)&gt;Model!$B$4,0,MAX(0,Model!$B$6-IF((A50+49)&gt;=Model!$B$11,Model!$B$20,0)-IF(49&lt;Model!$B$15,Model!$B$22,0))/(1-Model!$B$9)/(1+Model!$B$18)^49))</f>
        <v/>
      </c>
      <c r="BL50" s="7">
        <f>IF(A50="","",IF((A50+50)&gt;Model!$B$4,0,MAX(0,Model!$B$6-IF((A50+50)&gt;=Model!$B$11,Model!$B$20,0)-IF(50&lt;Model!$B$15,Model!$B$22,0))/(1-Model!$B$9)/(1+Model!$B$18)^50))</f>
        <v/>
      </c>
      <c r="BM50" s="7">
        <f>IF(A50="","",IF((A50+51)&gt;Model!$B$4,0,MAX(0,Model!$B$6-IF((A50+51)&gt;=Model!$B$11,Model!$B$20,0)-IF(51&lt;Model!$B$15,Model!$B$22,0))/(1-Model!$B$9)/(1+Model!$B$18)^51))</f>
        <v/>
      </c>
      <c r="BN50" s="7">
        <f>IF(A50="","",IF((A50+52)&gt;Model!$B$4,0,MAX(0,Model!$B$6-IF((A50+52)&gt;=Model!$B$11,Model!$B$20,0)-IF(52&lt;Model!$B$15,Model!$B$22,0))/(1-Model!$B$9)/(1+Model!$B$18)^52))</f>
        <v/>
      </c>
      <c r="BO50" s="7">
        <f>IF(A50="","",IF((A50+53)&gt;Model!$B$4,0,MAX(0,Model!$B$6-IF((A50+53)&gt;=Model!$B$11,Model!$B$20,0)-IF(53&lt;Model!$B$15,Model!$B$22,0))/(1-Model!$B$9)/(1+Model!$B$18)^53))</f>
        <v/>
      </c>
      <c r="BP50" s="7">
        <f>IF(A50="","",IF((A50+54)&gt;Model!$B$4,0,MAX(0,Model!$B$6-IF((A50+54)&gt;=Model!$B$11,Model!$B$20,0)-IF(54&lt;Model!$B$15,Model!$B$22,0))/(1-Model!$B$9)/(1+Model!$B$18)^54))</f>
        <v/>
      </c>
      <c r="BQ50" s="7">
        <f>IF(A50="","",IF((A50+55)&gt;Model!$B$4,0,MAX(0,Model!$B$6-IF((A50+55)&gt;=Model!$B$11,Model!$B$20,0)-IF(55&lt;Model!$B$15,Model!$B$22,0))/(1-Model!$B$9)/(1+Model!$B$18)^55))</f>
        <v/>
      </c>
      <c r="BR50" s="7">
        <f>IF(A50="","",IF((A50+56)&gt;Model!$B$4,0,MAX(0,Model!$B$6-IF((A50+56)&gt;=Model!$B$11,Model!$B$20,0)-IF(56&lt;Model!$B$15,Model!$B$22,0))/(1-Model!$B$9)/(1+Model!$B$18)^56))</f>
        <v/>
      </c>
      <c r="BS50" s="7">
        <f>IF(A50="","",IF((A50+57)&gt;Model!$B$4,0,MAX(0,Model!$B$6-IF((A50+57)&gt;=Model!$B$11,Model!$B$20,0)-IF(57&lt;Model!$B$15,Model!$B$22,0))/(1-Model!$B$9)/(1+Model!$B$18)^57))</f>
        <v/>
      </c>
      <c r="BT50" s="7">
        <f>IF(A50="","",IF((A50+58)&gt;Model!$B$4,0,MAX(0,Model!$B$6-IF((A50+58)&gt;=Model!$B$11,Model!$B$20,0)-IF(58&lt;Model!$B$15,Model!$B$22,0))/(1-Model!$B$9)/(1+Model!$B$18)^58))</f>
        <v/>
      </c>
      <c r="BU50" s="7">
        <f>IF(A50="","",IF((A50+59)&gt;Model!$B$4,0,MAX(0,Model!$B$6-IF((A50+59)&gt;=Model!$B$11,Model!$B$20,0)-IF(59&lt;Model!$B$15,Model!$B$22,0))/(1-Model!$B$9)/(1+Model!$B$18)^59))</f>
        <v/>
      </c>
      <c r="BV50" s="7">
        <f>IF(A50="","",IF((A50+60)&gt;Model!$B$4,0,MAX(0,Model!$B$6-IF((A50+60)&gt;=Model!$B$11,Model!$B$20,0)-IF(60&lt;Model!$B$15,Model!$B$22,0))/(1-Model!$B$9)/(1+Model!$B$18)^60))</f>
        <v/>
      </c>
      <c r="BW50" s="7">
        <f>IF(A50="","",IF((A50+61)&gt;Model!$B$4,0,MAX(0,Model!$B$6-IF((A50+61)&gt;=Model!$B$11,Model!$B$20,0)-IF(61&lt;Model!$B$15,Model!$B$22,0))/(1-Model!$B$9)/(1+Model!$B$18)^61))</f>
        <v/>
      </c>
      <c r="BX50" s="7">
        <f>IF(A50="","",IF((A50+62)&gt;Model!$B$4,0,MAX(0,Model!$B$6-IF((A50+62)&gt;=Model!$B$11,Model!$B$20,0)-IF(62&lt;Model!$B$15,Model!$B$22,0))/(1-Model!$B$9)/(1+Model!$B$18)^62))</f>
        <v/>
      </c>
      <c r="BY50" s="7">
        <f>IF(A50="","",IF((A50+63)&gt;Model!$B$4,0,MAX(0,Model!$B$6-IF((A50+63)&gt;=Model!$B$11,Model!$B$20,0)-IF(63&lt;Model!$B$15,Model!$B$22,0))/(1-Model!$B$9)/(1+Model!$B$18)^63))</f>
        <v/>
      </c>
      <c r="BZ50" s="7">
        <f>IF(A50="","",IF((A50+64)&gt;Model!$B$4,0,MAX(0,Model!$B$6-IF((A50+64)&gt;=Model!$B$11,Model!$B$20,0)-IF(64&lt;Model!$B$15,Model!$B$22,0))/(1-Model!$B$9)/(1+Model!$B$18)^64))</f>
        <v/>
      </c>
      <c r="CA50" s="7">
        <f>IF(A50="","",IF((A50+65)&gt;Model!$B$4,0,MAX(0,Model!$B$6-IF((A50+65)&gt;=Model!$B$11,Model!$B$20,0)-IF(65&lt;Model!$B$15,Model!$B$22,0))/(1-Model!$B$9)/(1+Model!$B$18)^65))</f>
        <v/>
      </c>
      <c r="CB50" s="7">
        <f>IF(A50="","",IF((A50+66)&gt;Model!$B$4,0,MAX(0,Model!$B$6-IF((A50+66)&gt;=Model!$B$11,Model!$B$20,0)-IF(66&lt;Model!$B$15,Model!$B$22,0))/(1-Model!$B$9)/(1+Model!$B$18)^66))</f>
        <v/>
      </c>
      <c r="CC50" s="7">
        <f>IF(A50="","",IF((A50+67)&gt;Model!$B$4,0,MAX(0,Model!$B$6-IF((A50+67)&gt;=Model!$B$11,Model!$B$20,0)-IF(67&lt;Model!$B$15,Model!$B$22,0))/(1-Model!$B$9)/(1+Model!$B$18)^67))</f>
        <v/>
      </c>
      <c r="CD50" s="7">
        <f>IF(A50="","",IF((A50+68)&gt;Model!$B$4,0,MAX(0,Model!$B$6-IF((A50+68)&gt;=Model!$B$11,Model!$B$20,0)-IF(68&lt;Model!$B$15,Model!$B$22,0))/(1-Model!$B$9)/(1+Model!$B$18)^68))</f>
        <v/>
      </c>
      <c r="CE50" s="7">
        <f>IF(A50="","",IF((A50+69)&gt;Model!$B$4,0,MAX(0,Model!$B$6-IF((A50+69)&gt;=Model!$B$11,Model!$B$20,0)-IF(69&lt;Model!$B$15,Model!$B$22,0))/(1-Model!$B$9)/(1+Model!$B$18)^69))</f>
        <v/>
      </c>
      <c r="CF50" s="7">
        <f>IF(A50="","",IF((A50+70)&gt;Model!$B$4,0,MAX(0,Model!$B$6-IF((A50+70)&gt;=Model!$B$11,Model!$B$20,0)-IF(70&lt;Model!$B$15,Model!$B$22,0))/(1-Model!$B$9)/(1+Model!$B$18)^70))</f>
        <v/>
      </c>
      <c r="CG50" s="7">
        <f>IF(A50="","",IF((A50+71)&gt;Model!$B$4,0,MAX(0,Model!$B$6-IF((A50+71)&gt;=Model!$B$11,Model!$B$20,0)-IF(71&lt;Model!$B$15,Model!$B$22,0))/(1-Model!$B$9)/(1+Model!$B$18)^71))</f>
        <v/>
      </c>
      <c r="CH50" s="7">
        <f>IF(A50="","",IF((A50+72)&gt;Model!$B$4,0,MAX(0,Model!$B$6-IF((A50+72)&gt;=Model!$B$11,Model!$B$20,0)-IF(72&lt;Model!$B$15,Model!$B$22,0))/(1-Model!$B$9)/(1+Model!$B$18)^72))</f>
        <v/>
      </c>
      <c r="CI50" s="7">
        <f>IF(A50="","",IF((A50+73)&gt;Model!$B$4,0,MAX(0,Model!$B$6-IF((A50+73)&gt;=Model!$B$11,Model!$B$20,0)-IF(73&lt;Model!$B$15,Model!$B$22,0))/(1-Model!$B$9)/(1+Model!$B$18)^73))</f>
        <v/>
      </c>
      <c r="CJ50" s="7">
        <f>IF(A50="","",IF((A50+74)&gt;Model!$B$4,0,MAX(0,Model!$B$6-IF((A50+74)&gt;=Model!$B$11,Model!$B$20,0)-IF(74&lt;Model!$B$15,Model!$B$22,0))/(1-Model!$B$9)/(1+Model!$B$18)^74))</f>
        <v/>
      </c>
      <c r="CK50" s="7">
        <f>IF(A50="","",IF((A50+75)&gt;Model!$B$4,0,MAX(0,Model!$B$6-IF((A50+75)&gt;=Model!$B$11,Model!$B$20,0)-IF(75&lt;Model!$B$15,Model!$B$22,0))/(1-Model!$B$9)/(1+Model!$B$18)^75))</f>
        <v/>
      </c>
      <c r="CL50" s="7">
        <f>IF(A50="","",IF((A50+76)&gt;Model!$B$4,0,MAX(0,Model!$B$6-IF((A50+76)&gt;=Model!$B$11,Model!$B$20,0)-IF(76&lt;Model!$B$15,Model!$B$22,0))/(1-Model!$B$9)/(1+Model!$B$18)^76))</f>
        <v/>
      </c>
      <c r="CM50" s="7">
        <f>IF(A50="","",IF((A50+77)&gt;Model!$B$4,0,MAX(0,Model!$B$6-IF((A50+77)&gt;=Model!$B$11,Model!$B$20,0)-IF(77&lt;Model!$B$15,Model!$B$22,0))/(1-Model!$B$9)/(1+Model!$B$18)^77))</f>
        <v/>
      </c>
      <c r="CN50" s="7">
        <f>IF(A50="","",IF((A50+78)&gt;Model!$B$4,0,MAX(0,Model!$B$6-IF((A50+78)&gt;=Model!$B$11,Model!$B$20,0)-IF(78&lt;Model!$B$15,Model!$B$22,0))/(1-Model!$B$9)/(1+Model!$B$18)^78))</f>
        <v/>
      </c>
      <c r="CO50" s="7">
        <f>IF(A50="","",IF((A50+79)&gt;Model!$B$4,0,MAX(0,Model!$B$6-IF((A50+79)&gt;=Model!$B$11,Model!$B$20,0)-IF(79&lt;Model!$B$15,Model!$B$22,0))/(1-Model!$B$9)/(1+Model!$B$18)^79))</f>
        <v/>
      </c>
      <c r="CP50" s="7">
        <f>IF(A50="","",IF((A50+80)&gt;Model!$B$4,0,MAX(0,Model!$B$6-IF((A50+80)&gt;=Model!$B$11,Model!$B$20,0)-IF(80&lt;Model!$B$15,Model!$B$22,0))/(1-Model!$B$9)/(1+Model!$B$18)^80))</f>
        <v/>
      </c>
      <c r="CQ50" s="7">
        <f>IF(A50="","",IF((A50+81)&gt;Model!$B$4,0,MAX(0,Model!$B$6-IF((A50+81)&gt;=Model!$B$11,Model!$B$20,0)-IF(81&lt;Model!$B$15,Model!$B$22,0))/(1-Model!$B$9)/(1+Model!$B$18)^81))</f>
        <v/>
      </c>
      <c r="CR50" s="7">
        <f>IF(A50="","",IF((A50+82)&gt;Model!$B$4,0,MAX(0,Model!$B$6-IF((A50+82)&gt;=Model!$B$11,Model!$B$20,0)-IF(82&lt;Model!$B$15,Model!$B$22,0))/(1-Model!$B$9)/(1+Model!$B$18)^82))</f>
        <v/>
      </c>
      <c r="CS50" s="7">
        <f>IF(A50="","",IF((A50+83)&gt;Model!$B$4,0,MAX(0,Model!$B$6-IF((A50+83)&gt;=Model!$B$11,Model!$B$20,0)-IF(83&lt;Model!$B$15,Model!$B$22,0))/(1-Model!$B$9)/(1+Model!$B$18)^83))</f>
        <v/>
      </c>
      <c r="CT50" s="7">
        <f>IF(A50="","",IF((A50+84)&gt;Model!$B$4,0,MAX(0,Model!$B$6-IF((A50+84)&gt;=Model!$B$11,Model!$B$20,0)-IF(84&lt;Model!$B$15,Model!$B$22,0))/(1-Model!$B$9)/(1+Model!$B$18)^84))</f>
        <v/>
      </c>
      <c r="CU50" s="7">
        <f>IF(A50="","",IF((A50+85)&gt;Model!$B$4,0,MAX(0,Model!$B$6-IF((A50+85)&gt;=Model!$B$11,Model!$B$20,0)-IF(85&lt;Model!$B$15,Model!$B$22,0))/(1-Model!$B$9)/(1+Model!$B$18)^85))</f>
        <v/>
      </c>
      <c r="CV50" s="7">
        <f>IF(A50="","",IF((A50+86)&gt;Model!$B$4,0,MAX(0,Model!$B$6-IF((A50+86)&gt;=Model!$B$11,Model!$B$20,0)-IF(86&lt;Model!$B$15,Model!$B$22,0))/(1-Model!$B$9)/(1+Model!$B$18)^86))</f>
        <v/>
      </c>
      <c r="CW50" s="7">
        <f>IF(A50="","",IF((A50+87)&gt;Model!$B$4,0,MAX(0,Model!$B$6-IF((A50+87)&gt;=Model!$B$11,Model!$B$20,0)-IF(87&lt;Model!$B$15,Model!$B$22,0))/(1-Model!$B$9)/(1+Model!$B$18)^87))</f>
        <v/>
      </c>
      <c r="CX50" s="7">
        <f>IF(A50="","",IF((A50+88)&gt;Model!$B$4,0,MAX(0,Model!$B$6-IF((A50+88)&gt;=Model!$B$11,Model!$B$20,0)-IF(88&lt;Model!$B$15,Model!$B$22,0))/(1-Model!$B$9)/(1+Model!$B$18)^88))</f>
        <v/>
      </c>
      <c r="CY50" s="7">
        <f>IF(A50="","",IF((A50+89)&gt;Model!$B$4,0,MAX(0,Model!$B$6-IF((A50+89)&gt;=Model!$B$11,Model!$B$20,0)-IF(89&lt;Model!$B$15,Model!$B$22,0))/(1-Model!$B$9)/(1+Model!$B$18)^89))</f>
        <v/>
      </c>
      <c r="CZ50" s="7">
        <f>IF(A50="","",IF((A50+90)&gt;Model!$B$4,0,MAX(0,Model!$B$6-IF((A50+90)&gt;=Model!$B$11,Model!$B$20,0)-IF(90&lt;Model!$B$15,Model!$B$22,0))/(1-Model!$B$9)/(1+Model!$B$18)^90))</f>
        <v/>
      </c>
      <c r="DA50" s="7">
        <f>IF(A50="","",IF((A50+91)&gt;Model!$B$4,0,MAX(0,Model!$B$6-IF((A50+91)&gt;=Model!$B$11,Model!$B$20,0)-IF(91&lt;Model!$B$15,Model!$B$22,0))/(1-Model!$B$9)/(1+Model!$B$18)^91))</f>
        <v/>
      </c>
      <c r="DB50" s="7">
        <f>IF(A50="","",IF((A50+92)&gt;Model!$B$4,0,MAX(0,Model!$B$6-IF((A50+92)&gt;=Model!$B$11,Model!$B$20,0)-IF(92&lt;Model!$B$15,Model!$B$22,0))/(1-Model!$B$9)/(1+Model!$B$18)^92))</f>
        <v/>
      </c>
      <c r="DC50" s="7">
        <f>IF(A50="","",IF((A50+93)&gt;Model!$B$4,0,MAX(0,Model!$B$6-IF((A50+93)&gt;=Model!$B$11,Model!$B$20,0)-IF(93&lt;Model!$B$15,Model!$B$22,0))/(1-Model!$B$9)/(1+Model!$B$18)^93))</f>
        <v/>
      </c>
      <c r="DD50" s="7">
        <f>IF(A50="","",IF((A50+94)&gt;Model!$B$4,0,MAX(0,Model!$B$6-IF((A50+94)&gt;=Model!$B$11,Model!$B$20,0)-IF(94&lt;Model!$B$15,Model!$B$22,0))/(1-Model!$B$9)/(1+Model!$B$18)^94))</f>
        <v/>
      </c>
      <c r="DE50" s="7">
        <f>IF(A50="","",IF((A50+95)&gt;Model!$B$4,0,MAX(0,Model!$B$6-IF((A50+95)&gt;=Model!$B$11,Model!$B$20,0)-IF(95&lt;Model!$B$15,Model!$B$22,0))/(1-Model!$B$9)/(1+Model!$B$18)^95))</f>
        <v/>
      </c>
      <c r="DF50" s="7">
        <f>IF(A50="","",IF((A50+96)&gt;Model!$B$4,0,MAX(0,Model!$B$6-IF((A50+96)&gt;=Model!$B$11,Model!$B$20,0)-IF(96&lt;Model!$B$15,Model!$B$22,0))/(1-Model!$B$9)/(1+Model!$B$18)^96))</f>
        <v/>
      </c>
      <c r="DG50" s="7">
        <f>IF(A50="","",IF((A50+97)&gt;Model!$B$4,0,MAX(0,Model!$B$6-IF((A50+97)&gt;=Model!$B$11,Model!$B$20,0)-IF(97&lt;Model!$B$15,Model!$B$22,0))/(1-Model!$B$9)/(1+Model!$B$18)^97))</f>
        <v/>
      </c>
      <c r="DH50" s="7">
        <f>IF(A50="","",IF((A50+98)&gt;Model!$B$4,0,MAX(0,Model!$B$6-IF((A50+98)&gt;=Model!$B$11,Model!$B$20,0)-IF(98&lt;Model!$B$15,Model!$B$22,0))/(1-Model!$B$9)/(1+Model!$B$18)^98))</f>
        <v/>
      </c>
      <c r="DI50" s="7">
        <f>IF(A50="","",IF((A50+99)&gt;Model!$B$4,0,MAX(0,Model!$B$6-IF((A50+99)&gt;=Model!$B$11,Model!$B$20,0)-IF(99&lt;Model!$B$15,Model!$B$22,0))/(1-Model!$B$9)/(1+Model!$B$18)^99))</f>
        <v/>
      </c>
      <c r="DJ50" s="7">
        <f>IF(A50="","",IF((A50+100)&gt;Model!$B$4,0,MAX(0,Model!$B$6-IF((A50+100)&gt;=Model!$B$11,Model!$B$20,0)-IF(100&lt;Model!$B$15,Model!$B$22,0))/(1-Model!$B$9)/(1+Model!$B$18)^100))</f>
        <v/>
      </c>
      <c r="DK50" s="7">
        <f>IF(A50="","",IF((A50+101)&gt;Model!$B$4,0,MAX(0,Model!$B$6-IF((A50+101)&gt;=Model!$B$11,Model!$B$20,0)-IF(101&lt;Model!$B$15,Model!$B$22,0))/(1-Model!$B$9)/(1+Model!$B$18)^101))</f>
        <v/>
      </c>
      <c r="DL50" s="7">
        <f>IF(A50="","",IF((A50+102)&gt;Model!$B$4,0,MAX(0,Model!$B$6-IF((A50+102)&gt;=Model!$B$11,Model!$B$20,0)-IF(102&lt;Model!$B$15,Model!$B$22,0))/(1-Model!$B$9)/(1+Model!$B$18)^102))</f>
        <v/>
      </c>
      <c r="DM50" s="7">
        <f>IF(A50="","",IF((A50+103)&gt;Model!$B$4,0,MAX(0,Model!$B$6-IF((A50+103)&gt;=Model!$B$11,Model!$B$20,0)-IF(103&lt;Model!$B$15,Model!$B$22,0))/(1-Model!$B$9)/(1+Model!$B$18)^103))</f>
        <v/>
      </c>
      <c r="DN50" s="7">
        <f>IF(A50="","",IF((A50+104)&gt;Model!$B$4,0,MAX(0,Model!$B$6-IF((A50+104)&gt;=Model!$B$11,Model!$B$20,0)-IF(104&lt;Model!$B$15,Model!$B$22,0))/(1-Model!$B$9)/(1+Model!$B$18)^104))</f>
        <v/>
      </c>
      <c r="DO50" s="7">
        <f>IF(A50="","",IF((A50+105)&gt;Model!$B$4,0,MAX(0,Model!$B$6-IF((A50+105)&gt;=Model!$B$11,Model!$B$20,0)-IF(105&lt;Model!$B$15,Model!$B$22,0))/(1-Model!$B$9)/(1+Model!$B$18)^105))</f>
        <v/>
      </c>
      <c r="DP50" s="7">
        <f>IF(A50="","",IF((A50+106)&gt;Model!$B$4,0,MAX(0,Model!$B$6-IF((A50+106)&gt;=Model!$B$11,Model!$B$20,0)-IF(106&lt;Model!$B$15,Model!$B$22,0))/(1-Model!$B$9)/(1+Model!$B$18)^106))</f>
        <v/>
      </c>
      <c r="DQ50" s="7">
        <f>IF(A50="","",IF((A50+107)&gt;Model!$B$4,0,MAX(0,Model!$B$6-IF((A50+107)&gt;=Model!$B$11,Model!$B$20,0)-IF(107&lt;Model!$B$15,Model!$B$22,0))/(1-Model!$B$9)/(1+Model!$B$18)^107))</f>
        <v/>
      </c>
      <c r="DR50" s="7">
        <f>IF(A50="","",IF((A50+108)&gt;Model!$B$4,0,MAX(0,Model!$B$6-IF((A50+108)&gt;=Model!$B$11,Model!$B$20,0)-IF(108&lt;Model!$B$15,Model!$B$22,0))/(1-Model!$B$9)/(1+Model!$B$18)^108))</f>
        <v/>
      </c>
      <c r="DS50" s="7">
        <f>IF(A50="","",IF((A50+109)&gt;Model!$B$4,0,MAX(0,Model!$B$6-IF((A50+109)&gt;=Model!$B$11,Model!$B$20,0)-IF(109&lt;Model!$B$15,Model!$B$22,0))/(1-Model!$B$9)/(1+Model!$B$18)^109))</f>
        <v/>
      </c>
      <c r="DT50" s="7">
        <f>IF(A50="","",IF((A50+110)&gt;Model!$B$4,0,MAX(0,Model!$B$6-IF((A50+110)&gt;=Model!$B$11,Model!$B$20,0)-IF(110&lt;Model!$B$15,Model!$B$22,0))/(1-Model!$B$9)/(1+Model!$B$18)^110))</f>
        <v/>
      </c>
      <c r="DU50" s="7">
        <f>IF(A50="","",IF((A50+111)&gt;Model!$B$4,0,MAX(0,Model!$B$6-IF((A50+111)&gt;=Model!$B$11,Model!$B$20,0)-IF(111&lt;Model!$B$15,Model!$B$22,0))/(1-Model!$B$9)/(1+Model!$B$18)^111))</f>
        <v/>
      </c>
      <c r="DV50" s="7">
        <f>IF(A50="","",IF((A50+112)&gt;Model!$B$4,0,MAX(0,Model!$B$6-IF((A50+112)&gt;=Model!$B$11,Model!$B$20,0)-IF(112&lt;Model!$B$15,Model!$B$22,0))/(1-Model!$B$9)/(1+Model!$B$18)^112))</f>
        <v/>
      </c>
      <c r="DW50" s="7">
        <f>IF(A50="","",IF((A50+113)&gt;Model!$B$4,0,MAX(0,Model!$B$6-IF((A50+113)&gt;=Model!$B$11,Model!$B$20,0)-IF(113&lt;Model!$B$15,Model!$B$22,0))/(1-Model!$B$9)/(1+Model!$B$18)^113))</f>
        <v/>
      </c>
      <c r="DX50" s="7">
        <f>IF(A50="","",IF((A50+114)&gt;Model!$B$4,0,MAX(0,Model!$B$6-IF((A50+114)&gt;=Model!$B$11,Model!$B$20,0)-IF(114&lt;Model!$B$15,Model!$B$22,0))/(1-Model!$B$9)/(1+Model!$B$18)^114))</f>
        <v/>
      </c>
      <c r="DY50" s="7">
        <f>IF(A50="","",IF((A50+115)&gt;Model!$B$4,0,MAX(0,Model!$B$6-IF((A50+115)&gt;=Model!$B$11,Model!$B$20,0)-IF(115&lt;Model!$B$15,Model!$B$22,0))/(1-Model!$B$9)/(1+Model!$B$18)^115))</f>
        <v/>
      </c>
      <c r="DZ50" s="7">
        <f>IF(A50="","",IF((A50+116)&gt;Model!$B$4,0,MAX(0,Model!$B$6-IF((A50+116)&gt;=Model!$B$11,Model!$B$20,0)-IF(116&lt;Model!$B$15,Model!$B$22,0))/(1-Model!$B$9)/(1+Model!$B$18)^116))</f>
        <v/>
      </c>
      <c r="EA50" s="7">
        <f>IF(A50="","",IF((A50+117)&gt;Model!$B$4,0,MAX(0,Model!$B$6-IF((A50+117)&gt;=Model!$B$11,Model!$B$20,0)-IF(117&lt;Model!$B$15,Model!$B$22,0))/(1-Model!$B$9)/(1+Model!$B$18)^117))</f>
        <v/>
      </c>
      <c r="EB50" s="7">
        <f>IF(A50="","",IF((A50+118)&gt;Model!$B$4,0,MAX(0,Model!$B$6-IF((A50+118)&gt;=Model!$B$11,Model!$B$20,0)-IF(118&lt;Model!$B$15,Model!$B$22,0))/(1-Model!$B$9)/(1+Model!$B$18)^118))</f>
        <v/>
      </c>
      <c r="EC50" s="7">
        <f>IF(A50="","",IF((A50+119)&gt;Model!$B$4,0,MAX(0,Model!$B$6-IF((A50+119)&gt;=Model!$B$11,Model!$B$20,0)-IF(119&lt;Model!$B$15,Model!$B$22,0))/(1-Model!$B$9)/(1+Model!$B$18)^119))</f>
        <v/>
      </c>
      <c r="ED50" s="7">
        <f>IF(A50="","",IF((A50+120)&gt;Model!$B$4,0,MAX(0,Model!$B$6-IF((A50+120)&gt;=Model!$B$11,Model!$B$20,0)-IF(120&lt;Model!$B$15,Model!$B$22,0))/(1-Model!$B$9)/(1+Model!$B$18)^120))</f>
        <v/>
      </c>
    </row>
    <row r="51">
      <c r="A51">
        <f>IF(Model!$B$10+ROW()-2&lt;=Model!$B$4,Model!$B$10+ROW()-2,"")</f>
        <v/>
      </c>
      <c r="B51">
        <f>IF(A51="","",A51-Model!$B$10)</f>
        <v/>
      </c>
      <c r="C51" s="7">
        <f>IF(A51="","",Model!$B$5*(1+Model!$B$18)^B51)</f>
        <v/>
      </c>
      <c r="D51" s="7">
        <f>IF(A51="","",SUM(N51:ED51))</f>
        <v/>
      </c>
      <c r="E51" s="7">
        <f>IF(A51="","",IF(A51&gt;=Model!$B$11,Model!$B$20,0))</f>
        <v/>
      </c>
      <c r="F51" s="7">
        <f>IF(A51="","",IF(Model!$B$15&gt;0,Model!$B$22,0))</f>
        <v/>
      </c>
      <c r="G51" s="7">
        <f>IF(A51="","",E51+F51)</f>
        <v/>
      </c>
      <c r="H51" s="7">
        <f>IF(A51="","",MAX(0,Model!$B$6-G51))</f>
        <v/>
      </c>
      <c r="I51" s="7">
        <f>IF(A51="","",H51/(1-Model!$B$9))</f>
        <v/>
      </c>
      <c r="J51" s="7">
        <f>IF(A51="","",C51-D51)</f>
        <v/>
      </c>
      <c r="K51">
        <f>IF(A51="","",C51&gt;=D51)</f>
        <v/>
      </c>
      <c r="L51" s="7">
        <f>IF(A51="","",IF(A51&gt;=Model!$B$11,Model!$B$19*(1+Model!$B$13)^B51,0))</f>
        <v/>
      </c>
      <c r="M51" s="7">
        <f>IF(A51="","",IF(Model!$B$15&gt;0,Model!$B$21*(1+Model!$B$13)^B51,0))</f>
        <v/>
      </c>
      <c r="N51" s="7">
        <f>IF(A51="","",IF((A51+0)&gt;Model!$B$4,0,MAX(0,Model!$B$6-IF((A51+0)&gt;=Model!$B$11,Model!$B$20,0)-IF(0&lt;Model!$B$15,Model!$B$22,0))/(1-Model!$B$9)/(1+Model!$B$18)^0))</f>
        <v/>
      </c>
      <c r="O51" s="7">
        <f>IF(A51="","",IF((A51+1)&gt;Model!$B$4,0,MAX(0,Model!$B$6-IF((A51+1)&gt;=Model!$B$11,Model!$B$20,0)-IF(1&lt;Model!$B$15,Model!$B$22,0))/(1-Model!$B$9)/(1+Model!$B$18)^1))</f>
        <v/>
      </c>
      <c r="P51" s="7">
        <f>IF(A51="","",IF((A51+2)&gt;Model!$B$4,0,MAX(0,Model!$B$6-IF((A51+2)&gt;=Model!$B$11,Model!$B$20,0)-IF(2&lt;Model!$B$15,Model!$B$22,0))/(1-Model!$B$9)/(1+Model!$B$18)^2))</f>
        <v/>
      </c>
      <c r="Q51" s="7">
        <f>IF(A51="","",IF((A51+3)&gt;Model!$B$4,0,MAX(0,Model!$B$6-IF((A51+3)&gt;=Model!$B$11,Model!$B$20,0)-IF(3&lt;Model!$B$15,Model!$B$22,0))/(1-Model!$B$9)/(1+Model!$B$18)^3))</f>
        <v/>
      </c>
      <c r="R51" s="7">
        <f>IF(A51="","",IF((A51+4)&gt;Model!$B$4,0,MAX(0,Model!$B$6-IF((A51+4)&gt;=Model!$B$11,Model!$B$20,0)-IF(4&lt;Model!$B$15,Model!$B$22,0))/(1-Model!$B$9)/(1+Model!$B$18)^4))</f>
        <v/>
      </c>
      <c r="S51" s="7">
        <f>IF(A51="","",IF((A51+5)&gt;Model!$B$4,0,MAX(0,Model!$B$6-IF((A51+5)&gt;=Model!$B$11,Model!$B$20,0)-IF(5&lt;Model!$B$15,Model!$B$22,0))/(1-Model!$B$9)/(1+Model!$B$18)^5))</f>
        <v/>
      </c>
      <c r="T51" s="7">
        <f>IF(A51="","",IF((A51+6)&gt;Model!$B$4,0,MAX(0,Model!$B$6-IF((A51+6)&gt;=Model!$B$11,Model!$B$20,0)-IF(6&lt;Model!$B$15,Model!$B$22,0))/(1-Model!$B$9)/(1+Model!$B$18)^6))</f>
        <v/>
      </c>
      <c r="U51" s="7">
        <f>IF(A51="","",IF((A51+7)&gt;Model!$B$4,0,MAX(0,Model!$B$6-IF((A51+7)&gt;=Model!$B$11,Model!$B$20,0)-IF(7&lt;Model!$B$15,Model!$B$22,0))/(1-Model!$B$9)/(1+Model!$B$18)^7))</f>
        <v/>
      </c>
      <c r="V51" s="7">
        <f>IF(A51="","",IF((A51+8)&gt;Model!$B$4,0,MAX(0,Model!$B$6-IF((A51+8)&gt;=Model!$B$11,Model!$B$20,0)-IF(8&lt;Model!$B$15,Model!$B$22,0))/(1-Model!$B$9)/(1+Model!$B$18)^8))</f>
        <v/>
      </c>
      <c r="W51" s="7">
        <f>IF(A51="","",IF((A51+9)&gt;Model!$B$4,0,MAX(0,Model!$B$6-IF((A51+9)&gt;=Model!$B$11,Model!$B$20,0)-IF(9&lt;Model!$B$15,Model!$B$22,0))/(1-Model!$B$9)/(1+Model!$B$18)^9))</f>
        <v/>
      </c>
      <c r="X51" s="7">
        <f>IF(A51="","",IF((A51+10)&gt;Model!$B$4,0,MAX(0,Model!$B$6-IF((A51+10)&gt;=Model!$B$11,Model!$B$20,0)-IF(10&lt;Model!$B$15,Model!$B$22,0))/(1-Model!$B$9)/(1+Model!$B$18)^10))</f>
        <v/>
      </c>
      <c r="Y51" s="7">
        <f>IF(A51="","",IF((A51+11)&gt;Model!$B$4,0,MAX(0,Model!$B$6-IF((A51+11)&gt;=Model!$B$11,Model!$B$20,0)-IF(11&lt;Model!$B$15,Model!$B$22,0))/(1-Model!$B$9)/(1+Model!$B$18)^11))</f>
        <v/>
      </c>
      <c r="Z51" s="7">
        <f>IF(A51="","",IF((A51+12)&gt;Model!$B$4,0,MAX(0,Model!$B$6-IF((A51+12)&gt;=Model!$B$11,Model!$B$20,0)-IF(12&lt;Model!$B$15,Model!$B$22,0))/(1-Model!$B$9)/(1+Model!$B$18)^12))</f>
        <v/>
      </c>
      <c r="AA51" s="7">
        <f>IF(A51="","",IF((A51+13)&gt;Model!$B$4,0,MAX(0,Model!$B$6-IF((A51+13)&gt;=Model!$B$11,Model!$B$20,0)-IF(13&lt;Model!$B$15,Model!$B$22,0))/(1-Model!$B$9)/(1+Model!$B$18)^13))</f>
        <v/>
      </c>
      <c r="AB51" s="7">
        <f>IF(A51="","",IF((A51+14)&gt;Model!$B$4,0,MAX(0,Model!$B$6-IF((A51+14)&gt;=Model!$B$11,Model!$B$20,0)-IF(14&lt;Model!$B$15,Model!$B$22,0))/(1-Model!$B$9)/(1+Model!$B$18)^14))</f>
        <v/>
      </c>
      <c r="AC51" s="7">
        <f>IF(A51="","",IF((A51+15)&gt;Model!$B$4,0,MAX(0,Model!$B$6-IF((A51+15)&gt;=Model!$B$11,Model!$B$20,0)-IF(15&lt;Model!$B$15,Model!$B$22,0))/(1-Model!$B$9)/(1+Model!$B$18)^15))</f>
        <v/>
      </c>
      <c r="AD51" s="7">
        <f>IF(A51="","",IF((A51+16)&gt;Model!$B$4,0,MAX(0,Model!$B$6-IF((A51+16)&gt;=Model!$B$11,Model!$B$20,0)-IF(16&lt;Model!$B$15,Model!$B$22,0))/(1-Model!$B$9)/(1+Model!$B$18)^16))</f>
        <v/>
      </c>
      <c r="AE51" s="7">
        <f>IF(A51="","",IF((A51+17)&gt;Model!$B$4,0,MAX(0,Model!$B$6-IF((A51+17)&gt;=Model!$B$11,Model!$B$20,0)-IF(17&lt;Model!$B$15,Model!$B$22,0))/(1-Model!$B$9)/(1+Model!$B$18)^17))</f>
        <v/>
      </c>
      <c r="AF51" s="7">
        <f>IF(A51="","",IF((A51+18)&gt;Model!$B$4,0,MAX(0,Model!$B$6-IF((A51+18)&gt;=Model!$B$11,Model!$B$20,0)-IF(18&lt;Model!$B$15,Model!$B$22,0))/(1-Model!$B$9)/(1+Model!$B$18)^18))</f>
        <v/>
      </c>
      <c r="AG51" s="7">
        <f>IF(A51="","",IF((A51+19)&gt;Model!$B$4,0,MAX(0,Model!$B$6-IF((A51+19)&gt;=Model!$B$11,Model!$B$20,0)-IF(19&lt;Model!$B$15,Model!$B$22,0))/(1-Model!$B$9)/(1+Model!$B$18)^19))</f>
        <v/>
      </c>
      <c r="AH51" s="7">
        <f>IF(A51="","",IF((A51+20)&gt;Model!$B$4,0,MAX(0,Model!$B$6-IF((A51+20)&gt;=Model!$B$11,Model!$B$20,0)-IF(20&lt;Model!$B$15,Model!$B$22,0))/(1-Model!$B$9)/(1+Model!$B$18)^20))</f>
        <v/>
      </c>
      <c r="AI51" s="7">
        <f>IF(A51="","",IF((A51+21)&gt;Model!$B$4,0,MAX(0,Model!$B$6-IF((A51+21)&gt;=Model!$B$11,Model!$B$20,0)-IF(21&lt;Model!$B$15,Model!$B$22,0))/(1-Model!$B$9)/(1+Model!$B$18)^21))</f>
        <v/>
      </c>
      <c r="AJ51" s="7">
        <f>IF(A51="","",IF((A51+22)&gt;Model!$B$4,0,MAX(0,Model!$B$6-IF((A51+22)&gt;=Model!$B$11,Model!$B$20,0)-IF(22&lt;Model!$B$15,Model!$B$22,0))/(1-Model!$B$9)/(1+Model!$B$18)^22))</f>
        <v/>
      </c>
      <c r="AK51" s="7">
        <f>IF(A51="","",IF((A51+23)&gt;Model!$B$4,0,MAX(0,Model!$B$6-IF((A51+23)&gt;=Model!$B$11,Model!$B$20,0)-IF(23&lt;Model!$B$15,Model!$B$22,0))/(1-Model!$B$9)/(1+Model!$B$18)^23))</f>
        <v/>
      </c>
      <c r="AL51" s="7">
        <f>IF(A51="","",IF((A51+24)&gt;Model!$B$4,0,MAX(0,Model!$B$6-IF((A51+24)&gt;=Model!$B$11,Model!$B$20,0)-IF(24&lt;Model!$B$15,Model!$B$22,0))/(1-Model!$B$9)/(1+Model!$B$18)^24))</f>
        <v/>
      </c>
      <c r="AM51" s="7">
        <f>IF(A51="","",IF((A51+25)&gt;Model!$B$4,0,MAX(0,Model!$B$6-IF((A51+25)&gt;=Model!$B$11,Model!$B$20,0)-IF(25&lt;Model!$B$15,Model!$B$22,0))/(1-Model!$B$9)/(1+Model!$B$18)^25))</f>
        <v/>
      </c>
      <c r="AN51" s="7">
        <f>IF(A51="","",IF((A51+26)&gt;Model!$B$4,0,MAX(0,Model!$B$6-IF((A51+26)&gt;=Model!$B$11,Model!$B$20,0)-IF(26&lt;Model!$B$15,Model!$B$22,0))/(1-Model!$B$9)/(1+Model!$B$18)^26))</f>
        <v/>
      </c>
      <c r="AO51" s="7">
        <f>IF(A51="","",IF((A51+27)&gt;Model!$B$4,0,MAX(0,Model!$B$6-IF((A51+27)&gt;=Model!$B$11,Model!$B$20,0)-IF(27&lt;Model!$B$15,Model!$B$22,0))/(1-Model!$B$9)/(1+Model!$B$18)^27))</f>
        <v/>
      </c>
      <c r="AP51" s="7">
        <f>IF(A51="","",IF((A51+28)&gt;Model!$B$4,0,MAX(0,Model!$B$6-IF((A51+28)&gt;=Model!$B$11,Model!$B$20,0)-IF(28&lt;Model!$B$15,Model!$B$22,0))/(1-Model!$B$9)/(1+Model!$B$18)^28))</f>
        <v/>
      </c>
      <c r="AQ51" s="7">
        <f>IF(A51="","",IF((A51+29)&gt;Model!$B$4,0,MAX(0,Model!$B$6-IF((A51+29)&gt;=Model!$B$11,Model!$B$20,0)-IF(29&lt;Model!$B$15,Model!$B$22,0))/(1-Model!$B$9)/(1+Model!$B$18)^29))</f>
        <v/>
      </c>
      <c r="AR51" s="7">
        <f>IF(A51="","",IF((A51+30)&gt;Model!$B$4,0,MAX(0,Model!$B$6-IF((A51+30)&gt;=Model!$B$11,Model!$B$20,0)-IF(30&lt;Model!$B$15,Model!$B$22,0))/(1-Model!$B$9)/(1+Model!$B$18)^30))</f>
        <v/>
      </c>
      <c r="AS51" s="7">
        <f>IF(A51="","",IF((A51+31)&gt;Model!$B$4,0,MAX(0,Model!$B$6-IF((A51+31)&gt;=Model!$B$11,Model!$B$20,0)-IF(31&lt;Model!$B$15,Model!$B$22,0))/(1-Model!$B$9)/(1+Model!$B$18)^31))</f>
        <v/>
      </c>
      <c r="AT51" s="7">
        <f>IF(A51="","",IF((A51+32)&gt;Model!$B$4,0,MAX(0,Model!$B$6-IF((A51+32)&gt;=Model!$B$11,Model!$B$20,0)-IF(32&lt;Model!$B$15,Model!$B$22,0))/(1-Model!$B$9)/(1+Model!$B$18)^32))</f>
        <v/>
      </c>
      <c r="AU51" s="7">
        <f>IF(A51="","",IF((A51+33)&gt;Model!$B$4,0,MAX(0,Model!$B$6-IF((A51+33)&gt;=Model!$B$11,Model!$B$20,0)-IF(33&lt;Model!$B$15,Model!$B$22,0))/(1-Model!$B$9)/(1+Model!$B$18)^33))</f>
        <v/>
      </c>
      <c r="AV51" s="7">
        <f>IF(A51="","",IF((A51+34)&gt;Model!$B$4,0,MAX(0,Model!$B$6-IF((A51+34)&gt;=Model!$B$11,Model!$B$20,0)-IF(34&lt;Model!$B$15,Model!$B$22,0))/(1-Model!$B$9)/(1+Model!$B$18)^34))</f>
        <v/>
      </c>
      <c r="AW51" s="7">
        <f>IF(A51="","",IF((A51+35)&gt;Model!$B$4,0,MAX(0,Model!$B$6-IF((A51+35)&gt;=Model!$B$11,Model!$B$20,0)-IF(35&lt;Model!$B$15,Model!$B$22,0))/(1-Model!$B$9)/(1+Model!$B$18)^35))</f>
        <v/>
      </c>
      <c r="AX51" s="7">
        <f>IF(A51="","",IF((A51+36)&gt;Model!$B$4,0,MAX(0,Model!$B$6-IF((A51+36)&gt;=Model!$B$11,Model!$B$20,0)-IF(36&lt;Model!$B$15,Model!$B$22,0))/(1-Model!$B$9)/(1+Model!$B$18)^36))</f>
        <v/>
      </c>
      <c r="AY51" s="7">
        <f>IF(A51="","",IF((A51+37)&gt;Model!$B$4,0,MAX(0,Model!$B$6-IF((A51+37)&gt;=Model!$B$11,Model!$B$20,0)-IF(37&lt;Model!$B$15,Model!$B$22,0))/(1-Model!$B$9)/(1+Model!$B$18)^37))</f>
        <v/>
      </c>
      <c r="AZ51" s="7">
        <f>IF(A51="","",IF((A51+38)&gt;Model!$B$4,0,MAX(0,Model!$B$6-IF((A51+38)&gt;=Model!$B$11,Model!$B$20,0)-IF(38&lt;Model!$B$15,Model!$B$22,0))/(1-Model!$B$9)/(1+Model!$B$18)^38))</f>
        <v/>
      </c>
      <c r="BA51" s="7">
        <f>IF(A51="","",IF((A51+39)&gt;Model!$B$4,0,MAX(0,Model!$B$6-IF((A51+39)&gt;=Model!$B$11,Model!$B$20,0)-IF(39&lt;Model!$B$15,Model!$B$22,0))/(1-Model!$B$9)/(1+Model!$B$18)^39))</f>
        <v/>
      </c>
      <c r="BB51" s="7">
        <f>IF(A51="","",IF((A51+40)&gt;Model!$B$4,0,MAX(0,Model!$B$6-IF((A51+40)&gt;=Model!$B$11,Model!$B$20,0)-IF(40&lt;Model!$B$15,Model!$B$22,0))/(1-Model!$B$9)/(1+Model!$B$18)^40))</f>
        <v/>
      </c>
      <c r="BC51" s="7">
        <f>IF(A51="","",IF((A51+41)&gt;Model!$B$4,0,MAX(0,Model!$B$6-IF((A51+41)&gt;=Model!$B$11,Model!$B$20,0)-IF(41&lt;Model!$B$15,Model!$B$22,0))/(1-Model!$B$9)/(1+Model!$B$18)^41))</f>
        <v/>
      </c>
      <c r="BD51" s="7">
        <f>IF(A51="","",IF((A51+42)&gt;Model!$B$4,0,MAX(0,Model!$B$6-IF((A51+42)&gt;=Model!$B$11,Model!$B$20,0)-IF(42&lt;Model!$B$15,Model!$B$22,0))/(1-Model!$B$9)/(1+Model!$B$18)^42))</f>
        <v/>
      </c>
      <c r="BE51" s="7">
        <f>IF(A51="","",IF((A51+43)&gt;Model!$B$4,0,MAX(0,Model!$B$6-IF((A51+43)&gt;=Model!$B$11,Model!$B$20,0)-IF(43&lt;Model!$B$15,Model!$B$22,0))/(1-Model!$B$9)/(1+Model!$B$18)^43))</f>
        <v/>
      </c>
      <c r="BF51" s="7">
        <f>IF(A51="","",IF((A51+44)&gt;Model!$B$4,0,MAX(0,Model!$B$6-IF((A51+44)&gt;=Model!$B$11,Model!$B$20,0)-IF(44&lt;Model!$B$15,Model!$B$22,0))/(1-Model!$B$9)/(1+Model!$B$18)^44))</f>
        <v/>
      </c>
      <c r="BG51" s="7">
        <f>IF(A51="","",IF((A51+45)&gt;Model!$B$4,0,MAX(0,Model!$B$6-IF((A51+45)&gt;=Model!$B$11,Model!$B$20,0)-IF(45&lt;Model!$B$15,Model!$B$22,0))/(1-Model!$B$9)/(1+Model!$B$18)^45))</f>
        <v/>
      </c>
      <c r="BH51" s="7">
        <f>IF(A51="","",IF((A51+46)&gt;Model!$B$4,0,MAX(0,Model!$B$6-IF((A51+46)&gt;=Model!$B$11,Model!$B$20,0)-IF(46&lt;Model!$B$15,Model!$B$22,0))/(1-Model!$B$9)/(1+Model!$B$18)^46))</f>
        <v/>
      </c>
      <c r="BI51" s="7">
        <f>IF(A51="","",IF((A51+47)&gt;Model!$B$4,0,MAX(0,Model!$B$6-IF((A51+47)&gt;=Model!$B$11,Model!$B$20,0)-IF(47&lt;Model!$B$15,Model!$B$22,0))/(1-Model!$B$9)/(1+Model!$B$18)^47))</f>
        <v/>
      </c>
      <c r="BJ51" s="7">
        <f>IF(A51="","",IF((A51+48)&gt;Model!$B$4,0,MAX(0,Model!$B$6-IF((A51+48)&gt;=Model!$B$11,Model!$B$20,0)-IF(48&lt;Model!$B$15,Model!$B$22,0))/(1-Model!$B$9)/(1+Model!$B$18)^48))</f>
        <v/>
      </c>
      <c r="BK51" s="7">
        <f>IF(A51="","",IF((A51+49)&gt;Model!$B$4,0,MAX(0,Model!$B$6-IF((A51+49)&gt;=Model!$B$11,Model!$B$20,0)-IF(49&lt;Model!$B$15,Model!$B$22,0))/(1-Model!$B$9)/(1+Model!$B$18)^49))</f>
        <v/>
      </c>
      <c r="BL51" s="7">
        <f>IF(A51="","",IF((A51+50)&gt;Model!$B$4,0,MAX(0,Model!$B$6-IF((A51+50)&gt;=Model!$B$11,Model!$B$20,0)-IF(50&lt;Model!$B$15,Model!$B$22,0))/(1-Model!$B$9)/(1+Model!$B$18)^50))</f>
        <v/>
      </c>
      <c r="BM51" s="7">
        <f>IF(A51="","",IF((A51+51)&gt;Model!$B$4,0,MAX(0,Model!$B$6-IF((A51+51)&gt;=Model!$B$11,Model!$B$20,0)-IF(51&lt;Model!$B$15,Model!$B$22,0))/(1-Model!$B$9)/(1+Model!$B$18)^51))</f>
        <v/>
      </c>
      <c r="BN51" s="7">
        <f>IF(A51="","",IF((A51+52)&gt;Model!$B$4,0,MAX(0,Model!$B$6-IF((A51+52)&gt;=Model!$B$11,Model!$B$20,0)-IF(52&lt;Model!$B$15,Model!$B$22,0))/(1-Model!$B$9)/(1+Model!$B$18)^52))</f>
        <v/>
      </c>
      <c r="BO51" s="7">
        <f>IF(A51="","",IF((A51+53)&gt;Model!$B$4,0,MAX(0,Model!$B$6-IF((A51+53)&gt;=Model!$B$11,Model!$B$20,0)-IF(53&lt;Model!$B$15,Model!$B$22,0))/(1-Model!$B$9)/(1+Model!$B$18)^53))</f>
        <v/>
      </c>
      <c r="BP51" s="7">
        <f>IF(A51="","",IF((A51+54)&gt;Model!$B$4,0,MAX(0,Model!$B$6-IF((A51+54)&gt;=Model!$B$11,Model!$B$20,0)-IF(54&lt;Model!$B$15,Model!$B$22,0))/(1-Model!$B$9)/(1+Model!$B$18)^54))</f>
        <v/>
      </c>
      <c r="BQ51" s="7">
        <f>IF(A51="","",IF((A51+55)&gt;Model!$B$4,0,MAX(0,Model!$B$6-IF((A51+55)&gt;=Model!$B$11,Model!$B$20,0)-IF(55&lt;Model!$B$15,Model!$B$22,0))/(1-Model!$B$9)/(1+Model!$B$18)^55))</f>
        <v/>
      </c>
      <c r="BR51" s="7">
        <f>IF(A51="","",IF((A51+56)&gt;Model!$B$4,0,MAX(0,Model!$B$6-IF((A51+56)&gt;=Model!$B$11,Model!$B$20,0)-IF(56&lt;Model!$B$15,Model!$B$22,0))/(1-Model!$B$9)/(1+Model!$B$18)^56))</f>
        <v/>
      </c>
      <c r="BS51" s="7">
        <f>IF(A51="","",IF((A51+57)&gt;Model!$B$4,0,MAX(0,Model!$B$6-IF((A51+57)&gt;=Model!$B$11,Model!$B$20,0)-IF(57&lt;Model!$B$15,Model!$B$22,0))/(1-Model!$B$9)/(1+Model!$B$18)^57))</f>
        <v/>
      </c>
      <c r="BT51" s="7">
        <f>IF(A51="","",IF((A51+58)&gt;Model!$B$4,0,MAX(0,Model!$B$6-IF((A51+58)&gt;=Model!$B$11,Model!$B$20,0)-IF(58&lt;Model!$B$15,Model!$B$22,0))/(1-Model!$B$9)/(1+Model!$B$18)^58))</f>
        <v/>
      </c>
      <c r="BU51" s="7">
        <f>IF(A51="","",IF((A51+59)&gt;Model!$B$4,0,MAX(0,Model!$B$6-IF((A51+59)&gt;=Model!$B$11,Model!$B$20,0)-IF(59&lt;Model!$B$15,Model!$B$22,0))/(1-Model!$B$9)/(1+Model!$B$18)^59))</f>
        <v/>
      </c>
      <c r="BV51" s="7">
        <f>IF(A51="","",IF((A51+60)&gt;Model!$B$4,0,MAX(0,Model!$B$6-IF((A51+60)&gt;=Model!$B$11,Model!$B$20,0)-IF(60&lt;Model!$B$15,Model!$B$22,0))/(1-Model!$B$9)/(1+Model!$B$18)^60))</f>
        <v/>
      </c>
      <c r="BW51" s="7">
        <f>IF(A51="","",IF((A51+61)&gt;Model!$B$4,0,MAX(0,Model!$B$6-IF((A51+61)&gt;=Model!$B$11,Model!$B$20,0)-IF(61&lt;Model!$B$15,Model!$B$22,0))/(1-Model!$B$9)/(1+Model!$B$18)^61))</f>
        <v/>
      </c>
      <c r="BX51" s="7">
        <f>IF(A51="","",IF((A51+62)&gt;Model!$B$4,0,MAX(0,Model!$B$6-IF((A51+62)&gt;=Model!$B$11,Model!$B$20,0)-IF(62&lt;Model!$B$15,Model!$B$22,0))/(1-Model!$B$9)/(1+Model!$B$18)^62))</f>
        <v/>
      </c>
      <c r="BY51" s="7">
        <f>IF(A51="","",IF((A51+63)&gt;Model!$B$4,0,MAX(0,Model!$B$6-IF((A51+63)&gt;=Model!$B$11,Model!$B$20,0)-IF(63&lt;Model!$B$15,Model!$B$22,0))/(1-Model!$B$9)/(1+Model!$B$18)^63))</f>
        <v/>
      </c>
      <c r="BZ51" s="7">
        <f>IF(A51="","",IF((A51+64)&gt;Model!$B$4,0,MAX(0,Model!$B$6-IF((A51+64)&gt;=Model!$B$11,Model!$B$20,0)-IF(64&lt;Model!$B$15,Model!$B$22,0))/(1-Model!$B$9)/(1+Model!$B$18)^64))</f>
        <v/>
      </c>
      <c r="CA51" s="7">
        <f>IF(A51="","",IF((A51+65)&gt;Model!$B$4,0,MAX(0,Model!$B$6-IF((A51+65)&gt;=Model!$B$11,Model!$B$20,0)-IF(65&lt;Model!$B$15,Model!$B$22,0))/(1-Model!$B$9)/(1+Model!$B$18)^65))</f>
        <v/>
      </c>
      <c r="CB51" s="7">
        <f>IF(A51="","",IF((A51+66)&gt;Model!$B$4,0,MAX(0,Model!$B$6-IF((A51+66)&gt;=Model!$B$11,Model!$B$20,0)-IF(66&lt;Model!$B$15,Model!$B$22,0))/(1-Model!$B$9)/(1+Model!$B$18)^66))</f>
        <v/>
      </c>
      <c r="CC51" s="7">
        <f>IF(A51="","",IF((A51+67)&gt;Model!$B$4,0,MAX(0,Model!$B$6-IF((A51+67)&gt;=Model!$B$11,Model!$B$20,0)-IF(67&lt;Model!$B$15,Model!$B$22,0))/(1-Model!$B$9)/(1+Model!$B$18)^67))</f>
        <v/>
      </c>
      <c r="CD51" s="7">
        <f>IF(A51="","",IF((A51+68)&gt;Model!$B$4,0,MAX(0,Model!$B$6-IF((A51+68)&gt;=Model!$B$11,Model!$B$20,0)-IF(68&lt;Model!$B$15,Model!$B$22,0))/(1-Model!$B$9)/(1+Model!$B$18)^68))</f>
        <v/>
      </c>
      <c r="CE51" s="7">
        <f>IF(A51="","",IF((A51+69)&gt;Model!$B$4,0,MAX(0,Model!$B$6-IF((A51+69)&gt;=Model!$B$11,Model!$B$20,0)-IF(69&lt;Model!$B$15,Model!$B$22,0))/(1-Model!$B$9)/(1+Model!$B$18)^69))</f>
        <v/>
      </c>
      <c r="CF51" s="7">
        <f>IF(A51="","",IF((A51+70)&gt;Model!$B$4,0,MAX(0,Model!$B$6-IF((A51+70)&gt;=Model!$B$11,Model!$B$20,0)-IF(70&lt;Model!$B$15,Model!$B$22,0))/(1-Model!$B$9)/(1+Model!$B$18)^70))</f>
        <v/>
      </c>
      <c r="CG51" s="7">
        <f>IF(A51="","",IF((A51+71)&gt;Model!$B$4,0,MAX(0,Model!$B$6-IF((A51+71)&gt;=Model!$B$11,Model!$B$20,0)-IF(71&lt;Model!$B$15,Model!$B$22,0))/(1-Model!$B$9)/(1+Model!$B$18)^71))</f>
        <v/>
      </c>
      <c r="CH51" s="7">
        <f>IF(A51="","",IF((A51+72)&gt;Model!$B$4,0,MAX(0,Model!$B$6-IF((A51+72)&gt;=Model!$B$11,Model!$B$20,0)-IF(72&lt;Model!$B$15,Model!$B$22,0))/(1-Model!$B$9)/(1+Model!$B$18)^72))</f>
        <v/>
      </c>
      <c r="CI51" s="7">
        <f>IF(A51="","",IF((A51+73)&gt;Model!$B$4,0,MAX(0,Model!$B$6-IF((A51+73)&gt;=Model!$B$11,Model!$B$20,0)-IF(73&lt;Model!$B$15,Model!$B$22,0))/(1-Model!$B$9)/(1+Model!$B$18)^73))</f>
        <v/>
      </c>
      <c r="CJ51" s="7">
        <f>IF(A51="","",IF((A51+74)&gt;Model!$B$4,0,MAX(0,Model!$B$6-IF((A51+74)&gt;=Model!$B$11,Model!$B$20,0)-IF(74&lt;Model!$B$15,Model!$B$22,0))/(1-Model!$B$9)/(1+Model!$B$18)^74))</f>
        <v/>
      </c>
      <c r="CK51" s="7">
        <f>IF(A51="","",IF((A51+75)&gt;Model!$B$4,0,MAX(0,Model!$B$6-IF((A51+75)&gt;=Model!$B$11,Model!$B$20,0)-IF(75&lt;Model!$B$15,Model!$B$22,0))/(1-Model!$B$9)/(1+Model!$B$18)^75))</f>
        <v/>
      </c>
      <c r="CL51" s="7">
        <f>IF(A51="","",IF((A51+76)&gt;Model!$B$4,0,MAX(0,Model!$B$6-IF((A51+76)&gt;=Model!$B$11,Model!$B$20,0)-IF(76&lt;Model!$B$15,Model!$B$22,0))/(1-Model!$B$9)/(1+Model!$B$18)^76))</f>
        <v/>
      </c>
      <c r="CM51" s="7">
        <f>IF(A51="","",IF((A51+77)&gt;Model!$B$4,0,MAX(0,Model!$B$6-IF((A51+77)&gt;=Model!$B$11,Model!$B$20,0)-IF(77&lt;Model!$B$15,Model!$B$22,0))/(1-Model!$B$9)/(1+Model!$B$18)^77))</f>
        <v/>
      </c>
      <c r="CN51" s="7">
        <f>IF(A51="","",IF((A51+78)&gt;Model!$B$4,0,MAX(0,Model!$B$6-IF((A51+78)&gt;=Model!$B$11,Model!$B$20,0)-IF(78&lt;Model!$B$15,Model!$B$22,0))/(1-Model!$B$9)/(1+Model!$B$18)^78))</f>
        <v/>
      </c>
      <c r="CO51" s="7">
        <f>IF(A51="","",IF((A51+79)&gt;Model!$B$4,0,MAX(0,Model!$B$6-IF((A51+79)&gt;=Model!$B$11,Model!$B$20,0)-IF(79&lt;Model!$B$15,Model!$B$22,0))/(1-Model!$B$9)/(1+Model!$B$18)^79))</f>
        <v/>
      </c>
      <c r="CP51" s="7">
        <f>IF(A51="","",IF((A51+80)&gt;Model!$B$4,0,MAX(0,Model!$B$6-IF((A51+80)&gt;=Model!$B$11,Model!$B$20,0)-IF(80&lt;Model!$B$15,Model!$B$22,0))/(1-Model!$B$9)/(1+Model!$B$18)^80))</f>
        <v/>
      </c>
      <c r="CQ51" s="7">
        <f>IF(A51="","",IF((A51+81)&gt;Model!$B$4,0,MAX(0,Model!$B$6-IF((A51+81)&gt;=Model!$B$11,Model!$B$20,0)-IF(81&lt;Model!$B$15,Model!$B$22,0))/(1-Model!$B$9)/(1+Model!$B$18)^81))</f>
        <v/>
      </c>
      <c r="CR51" s="7">
        <f>IF(A51="","",IF((A51+82)&gt;Model!$B$4,0,MAX(0,Model!$B$6-IF((A51+82)&gt;=Model!$B$11,Model!$B$20,0)-IF(82&lt;Model!$B$15,Model!$B$22,0))/(1-Model!$B$9)/(1+Model!$B$18)^82))</f>
        <v/>
      </c>
      <c r="CS51" s="7">
        <f>IF(A51="","",IF((A51+83)&gt;Model!$B$4,0,MAX(0,Model!$B$6-IF((A51+83)&gt;=Model!$B$11,Model!$B$20,0)-IF(83&lt;Model!$B$15,Model!$B$22,0))/(1-Model!$B$9)/(1+Model!$B$18)^83))</f>
        <v/>
      </c>
      <c r="CT51" s="7">
        <f>IF(A51="","",IF((A51+84)&gt;Model!$B$4,0,MAX(0,Model!$B$6-IF((A51+84)&gt;=Model!$B$11,Model!$B$20,0)-IF(84&lt;Model!$B$15,Model!$B$22,0))/(1-Model!$B$9)/(1+Model!$B$18)^84))</f>
        <v/>
      </c>
      <c r="CU51" s="7">
        <f>IF(A51="","",IF((A51+85)&gt;Model!$B$4,0,MAX(0,Model!$B$6-IF((A51+85)&gt;=Model!$B$11,Model!$B$20,0)-IF(85&lt;Model!$B$15,Model!$B$22,0))/(1-Model!$B$9)/(1+Model!$B$18)^85))</f>
        <v/>
      </c>
      <c r="CV51" s="7">
        <f>IF(A51="","",IF((A51+86)&gt;Model!$B$4,0,MAX(0,Model!$B$6-IF((A51+86)&gt;=Model!$B$11,Model!$B$20,0)-IF(86&lt;Model!$B$15,Model!$B$22,0))/(1-Model!$B$9)/(1+Model!$B$18)^86))</f>
        <v/>
      </c>
      <c r="CW51" s="7">
        <f>IF(A51="","",IF((A51+87)&gt;Model!$B$4,0,MAX(0,Model!$B$6-IF((A51+87)&gt;=Model!$B$11,Model!$B$20,0)-IF(87&lt;Model!$B$15,Model!$B$22,0))/(1-Model!$B$9)/(1+Model!$B$18)^87))</f>
        <v/>
      </c>
      <c r="CX51" s="7">
        <f>IF(A51="","",IF((A51+88)&gt;Model!$B$4,0,MAX(0,Model!$B$6-IF((A51+88)&gt;=Model!$B$11,Model!$B$20,0)-IF(88&lt;Model!$B$15,Model!$B$22,0))/(1-Model!$B$9)/(1+Model!$B$18)^88))</f>
        <v/>
      </c>
      <c r="CY51" s="7">
        <f>IF(A51="","",IF((A51+89)&gt;Model!$B$4,0,MAX(0,Model!$B$6-IF((A51+89)&gt;=Model!$B$11,Model!$B$20,0)-IF(89&lt;Model!$B$15,Model!$B$22,0))/(1-Model!$B$9)/(1+Model!$B$18)^89))</f>
        <v/>
      </c>
      <c r="CZ51" s="7">
        <f>IF(A51="","",IF((A51+90)&gt;Model!$B$4,0,MAX(0,Model!$B$6-IF((A51+90)&gt;=Model!$B$11,Model!$B$20,0)-IF(90&lt;Model!$B$15,Model!$B$22,0))/(1-Model!$B$9)/(1+Model!$B$18)^90))</f>
        <v/>
      </c>
      <c r="DA51" s="7">
        <f>IF(A51="","",IF((A51+91)&gt;Model!$B$4,0,MAX(0,Model!$B$6-IF((A51+91)&gt;=Model!$B$11,Model!$B$20,0)-IF(91&lt;Model!$B$15,Model!$B$22,0))/(1-Model!$B$9)/(1+Model!$B$18)^91))</f>
        <v/>
      </c>
      <c r="DB51" s="7">
        <f>IF(A51="","",IF((A51+92)&gt;Model!$B$4,0,MAX(0,Model!$B$6-IF((A51+92)&gt;=Model!$B$11,Model!$B$20,0)-IF(92&lt;Model!$B$15,Model!$B$22,0))/(1-Model!$B$9)/(1+Model!$B$18)^92))</f>
        <v/>
      </c>
      <c r="DC51" s="7">
        <f>IF(A51="","",IF((A51+93)&gt;Model!$B$4,0,MAX(0,Model!$B$6-IF((A51+93)&gt;=Model!$B$11,Model!$B$20,0)-IF(93&lt;Model!$B$15,Model!$B$22,0))/(1-Model!$B$9)/(1+Model!$B$18)^93))</f>
        <v/>
      </c>
      <c r="DD51" s="7">
        <f>IF(A51="","",IF((A51+94)&gt;Model!$B$4,0,MAX(0,Model!$B$6-IF((A51+94)&gt;=Model!$B$11,Model!$B$20,0)-IF(94&lt;Model!$B$15,Model!$B$22,0))/(1-Model!$B$9)/(1+Model!$B$18)^94))</f>
        <v/>
      </c>
      <c r="DE51" s="7">
        <f>IF(A51="","",IF((A51+95)&gt;Model!$B$4,0,MAX(0,Model!$B$6-IF((A51+95)&gt;=Model!$B$11,Model!$B$20,0)-IF(95&lt;Model!$B$15,Model!$B$22,0))/(1-Model!$B$9)/(1+Model!$B$18)^95))</f>
        <v/>
      </c>
      <c r="DF51" s="7">
        <f>IF(A51="","",IF((A51+96)&gt;Model!$B$4,0,MAX(0,Model!$B$6-IF((A51+96)&gt;=Model!$B$11,Model!$B$20,0)-IF(96&lt;Model!$B$15,Model!$B$22,0))/(1-Model!$B$9)/(1+Model!$B$18)^96))</f>
        <v/>
      </c>
      <c r="DG51" s="7">
        <f>IF(A51="","",IF((A51+97)&gt;Model!$B$4,0,MAX(0,Model!$B$6-IF((A51+97)&gt;=Model!$B$11,Model!$B$20,0)-IF(97&lt;Model!$B$15,Model!$B$22,0))/(1-Model!$B$9)/(1+Model!$B$18)^97))</f>
        <v/>
      </c>
      <c r="DH51" s="7">
        <f>IF(A51="","",IF((A51+98)&gt;Model!$B$4,0,MAX(0,Model!$B$6-IF((A51+98)&gt;=Model!$B$11,Model!$B$20,0)-IF(98&lt;Model!$B$15,Model!$B$22,0))/(1-Model!$B$9)/(1+Model!$B$18)^98))</f>
        <v/>
      </c>
      <c r="DI51" s="7">
        <f>IF(A51="","",IF((A51+99)&gt;Model!$B$4,0,MAX(0,Model!$B$6-IF((A51+99)&gt;=Model!$B$11,Model!$B$20,0)-IF(99&lt;Model!$B$15,Model!$B$22,0))/(1-Model!$B$9)/(1+Model!$B$18)^99))</f>
        <v/>
      </c>
      <c r="DJ51" s="7">
        <f>IF(A51="","",IF((A51+100)&gt;Model!$B$4,0,MAX(0,Model!$B$6-IF((A51+100)&gt;=Model!$B$11,Model!$B$20,0)-IF(100&lt;Model!$B$15,Model!$B$22,0))/(1-Model!$B$9)/(1+Model!$B$18)^100))</f>
        <v/>
      </c>
      <c r="DK51" s="7">
        <f>IF(A51="","",IF((A51+101)&gt;Model!$B$4,0,MAX(0,Model!$B$6-IF((A51+101)&gt;=Model!$B$11,Model!$B$20,0)-IF(101&lt;Model!$B$15,Model!$B$22,0))/(1-Model!$B$9)/(1+Model!$B$18)^101))</f>
        <v/>
      </c>
      <c r="DL51" s="7">
        <f>IF(A51="","",IF((A51+102)&gt;Model!$B$4,0,MAX(0,Model!$B$6-IF((A51+102)&gt;=Model!$B$11,Model!$B$20,0)-IF(102&lt;Model!$B$15,Model!$B$22,0))/(1-Model!$B$9)/(1+Model!$B$18)^102))</f>
        <v/>
      </c>
      <c r="DM51" s="7">
        <f>IF(A51="","",IF((A51+103)&gt;Model!$B$4,0,MAX(0,Model!$B$6-IF((A51+103)&gt;=Model!$B$11,Model!$B$20,0)-IF(103&lt;Model!$B$15,Model!$B$22,0))/(1-Model!$B$9)/(1+Model!$B$18)^103))</f>
        <v/>
      </c>
      <c r="DN51" s="7">
        <f>IF(A51="","",IF((A51+104)&gt;Model!$B$4,0,MAX(0,Model!$B$6-IF((A51+104)&gt;=Model!$B$11,Model!$B$20,0)-IF(104&lt;Model!$B$15,Model!$B$22,0))/(1-Model!$B$9)/(1+Model!$B$18)^104))</f>
        <v/>
      </c>
      <c r="DO51" s="7">
        <f>IF(A51="","",IF((A51+105)&gt;Model!$B$4,0,MAX(0,Model!$B$6-IF((A51+105)&gt;=Model!$B$11,Model!$B$20,0)-IF(105&lt;Model!$B$15,Model!$B$22,0))/(1-Model!$B$9)/(1+Model!$B$18)^105))</f>
        <v/>
      </c>
      <c r="DP51" s="7">
        <f>IF(A51="","",IF((A51+106)&gt;Model!$B$4,0,MAX(0,Model!$B$6-IF((A51+106)&gt;=Model!$B$11,Model!$B$20,0)-IF(106&lt;Model!$B$15,Model!$B$22,0))/(1-Model!$B$9)/(1+Model!$B$18)^106))</f>
        <v/>
      </c>
      <c r="DQ51" s="7">
        <f>IF(A51="","",IF((A51+107)&gt;Model!$B$4,0,MAX(0,Model!$B$6-IF((A51+107)&gt;=Model!$B$11,Model!$B$20,0)-IF(107&lt;Model!$B$15,Model!$B$22,0))/(1-Model!$B$9)/(1+Model!$B$18)^107))</f>
        <v/>
      </c>
      <c r="DR51" s="7">
        <f>IF(A51="","",IF((A51+108)&gt;Model!$B$4,0,MAX(0,Model!$B$6-IF((A51+108)&gt;=Model!$B$11,Model!$B$20,0)-IF(108&lt;Model!$B$15,Model!$B$22,0))/(1-Model!$B$9)/(1+Model!$B$18)^108))</f>
        <v/>
      </c>
      <c r="DS51" s="7">
        <f>IF(A51="","",IF((A51+109)&gt;Model!$B$4,0,MAX(0,Model!$B$6-IF((A51+109)&gt;=Model!$B$11,Model!$B$20,0)-IF(109&lt;Model!$B$15,Model!$B$22,0))/(1-Model!$B$9)/(1+Model!$B$18)^109))</f>
        <v/>
      </c>
      <c r="DT51" s="7">
        <f>IF(A51="","",IF((A51+110)&gt;Model!$B$4,0,MAX(0,Model!$B$6-IF((A51+110)&gt;=Model!$B$11,Model!$B$20,0)-IF(110&lt;Model!$B$15,Model!$B$22,0))/(1-Model!$B$9)/(1+Model!$B$18)^110))</f>
        <v/>
      </c>
      <c r="DU51" s="7">
        <f>IF(A51="","",IF((A51+111)&gt;Model!$B$4,0,MAX(0,Model!$B$6-IF((A51+111)&gt;=Model!$B$11,Model!$B$20,0)-IF(111&lt;Model!$B$15,Model!$B$22,0))/(1-Model!$B$9)/(1+Model!$B$18)^111))</f>
        <v/>
      </c>
      <c r="DV51" s="7">
        <f>IF(A51="","",IF((A51+112)&gt;Model!$B$4,0,MAX(0,Model!$B$6-IF((A51+112)&gt;=Model!$B$11,Model!$B$20,0)-IF(112&lt;Model!$B$15,Model!$B$22,0))/(1-Model!$B$9)/(1+Model!$B$18)^112))</f>
        <v/>
      </c>
      <c r="DW51" s="7">
        <f>IF(A51="","",IF((A51+113)&gt;Model!$B$4,0,MAX(0,Model!$B$6-IF((A51+113)&gt;=Model!$B$11,Model!$B$20,0)-IF(113&lt;Model!$B$15,Model!$B$22,0))/(1-Model!$B$9)/(1+Model!$B$18)^113))</f>
        <v/>
      </c>
      <c r="DX51" s="7">
        <f>IF(A51="","",IF((A51+114)&gt;Model!$B$4,0,MAX(0,Model!$B$6-IF((A51+114)&gt;=Model!$B$11,Model!$B$20,0)-IF(114&lt;Model!$B$15,Model!$B$22,0))/(1-Model!$B$9)/(1+Model!$B$18)^114))</f>
        <v/>
      </c>
      <c r="DY51" s="7">
        <f>IF(A51="","",IF((A51+115)&gt;Model!$B$4,0,MAX(0,Model!$B$6-IF((A51+115)&gt;=Model!$B$11,Model!$B$20,0)-IF(115&lt;Model!$B$15,Model!$B$22,0))/(1-Model!$B$9)/(1+Model!$B$18)^115))</f>
        <v/>
      </c>
      <c r="DZ51" s="7">
        <f>IF(A51="","",IF((A51+116)&gt;Model!$B$4,0,MAX(0,Model!$B$6-IF((A51+116)&gt;=Model!$B$11,Model!$B$20,0)-IF(116&lt;Model!$B$15,Model!$B$22,0))/(1-Model!$B$9)/(1+Model!$B$18)^116))</f>
        <v/>
      </c>
      <c r="EA51" s="7">
        <f>IF(A51="","",IF((A51+117)&gt;Model!$B$4,0,MAX(0,Model!$B$6-IF((A51+117)&gt;=Model!$B$11,Model!$B$20,0)-IF(117&lt;Model!$B$15,Model!$B$22,0))/(1-Model!$B$9)/(1+Model!$B$18)^117))</f>
        <v/>
      </c>
      <c r="EB51" s="7">
        <f>IF(A51="","",IF((A51+118)&gt;Model!$B$4,0,MAX(0,Model!$B$6-IF((A51+118)&gt;=Model!$B$11,Model!$B$20,0)-IF(118&lt;Model!$B$15,Model!$B$22,0))/(1-Model!$B$9)/(1+Model!$B$18)^118))</f>
        <v/>
      </c>
      <c r="EC51" s="7">
        <f>IF(A51="","",IF((A51+119)&gt;Model!$B$4,0,MAX(0,Model!$B$6-IF((A51+119)&gt;=Model!$B$11,Model!$B$20,0)-IF(119&lt;Model!$B$15,Model!$B$22,0))/(1-Model!$B$9)/(1+Model!$B$18)^119))</f>
        <v/>
      </c>
      <c r="ED51" s="7">
        <f>IF(A51="","",IF((A51+120)&gt;Model!$B$4,0,MAX(0,Model!$B$6-IF((A51+120)&gt;=Model!$B$11,Model!$B$20,0)-IF(120&lt;Model!$B$15,Model!$B$22,0))/(1-Model!$B$9)/(1+Model!$B$18)^120))</f>
        <v/>
      </c>
    </row>
    <row r="52">
      <c r="A52">
        <f>IF(Model!$B$10+ROW()-2&lt;=Model!$B$4,Model!$B$10+ROW()-2,"")</f>
        <v/>
      </c>
      <c r="B52">
        <f>IF(A52="","",A52-Model!$B$10)</f>
        <v/>
      </c>
      <c r="C52" s="7">
        <f>IF(A52="","",Model!$B$5*(1+Model!$B$18)^B52)</f>
        <v/>
      </c>
      <c r="D52" s="7">
        <f>IF(A52="","",SUM(N52:ED52))</f>
        <v/>
      </c>
      <c r="E52" s="7">
        <f>IF(A52="","",IF(A52&gt;=Model!$B$11,Model!$B$20,0))</f>
        <v/>
      </c>
      <c r="F52" s="7">
        <f>IF(A52="","",IF(Model!$B$15&gt;0,Model!$B$22,0))</f>
        <v/>
      </c>
      <c r="G52" s="7">
        <f>IF(A52="","",E52+F52)</f>
        <v/>
      </c>
      <c r="H52" s="7">
        <f>IF(A52="","",MAX(0,Model!$B$6-G52))</f>
        <v/>
      </c>
      <c r="I52" s="7">
        <f>IF(A52="","",H52/(1-Model!$B$9))</f>
        <v/>
      </c>
      <c r="J52" s="7">
        <f>IF(A52="","",C52-D52)</f>
        <v/>
      </c>
      <c r="K52">
        <f>IF(A52="","",C52&gt;=D52)</f>
        <v/>
      </c>
      <c r="L52" s="7">
        <f>IF(A52="","",IF(A52&gt;=Model!$B$11,Model!$B$19*(1+Model!$B$13)^B52,0))</f>
        <v/>
      </c>
      <c r="M52" s="7">
        <f>IF(A52="","",IF(Model!$B$15&gt;0,Model!$B$21*(1+Model!$B$13)^B52,0))</f>
        <v/>
      </c>
      <c r="N52" s="7">
        <f>IF(A52="","",IF((A52+0)&gt;Model!$B$4,0,MAX(0,Model!$B$6-IF((A52+0)&gt;=Model!$B$11,Model!$B$20,0)-IF(0&lt;Model!$B$15,Model!$B$22,0))/(1-Model!$B$9)/(1+Model!$B$18)^0))</f>
        <v/>
      </c>
      <c r="O52" s="7">
        <f>IF(A52="","",IF((A52+1)&gt;Model!$B$4,0,MAX(0,Model!$B$6-IF((A52+1)&gt;=Model!$B$11,Model!$B$20,0)-IF(1&lt;Model!$B$15,Model!$B$22,0))/(1-Model!$B$9)/(1+Model!$B$18)^1))</f>
        <v/>
      </c>
      <c r="P52" s="7">
        <f>IF(A52="","",IF((A52+2)&gt;Model!$B$4,0,MAX(0,Model!$B$6-IF((A52+2)&gt;=Model!$B$11,Model!$B$20,0)-IF(2&lt;Model!$B$15,Model!$B$22,0))/(1-Model!$B$9)/(1+Model!$B$18)^2))</f>
        <v/>
      </c>
      <c r="Q52" s="7">
        <f>IF(A52="","",IF((A52+3)&gt;Model!$B$4,0,MAX(0,Model!$B$6-IF((A52+3)&gt;=Model!$B$11,Model!$B$20,0)-IF(3&lt;Model!$B$15,Model!$B$22,0))/(1-Model!$B$9)/(1+Model!$B$18)^3))</f>
        <v/>
      </c>
      <c r="R52" s="7">
        <f>IF(A52="","",IF((A52+4)&gt;Model!$B$4,0,MAX(0,Model!$B$6-IF((A52+4)&gt;=Model!$B$11,Model!$B$20,0)-IF(4&lt;Model!$B$15,Model!$B$22,0))/(1-Model!$B$9)/(1+Model!$B$18)^4))</f>
        <v/>
      </c>
      <c r="S52" s="7">
        <f>IF(A52="","",IF((A52+5)&gt;Model!$B$4,0,MAX(0,Model!$B$6-IF((A52+5)&gt;=Model!$B$11,Model!$B$20,0)-IF(5&lt;Model!$B$15,Model!$B$22,0))/(1-Model!$B$9)/(1+Model!$B$18)^5))</f>
        <v/>
      </c>
      <c r="T52" s="7">
        <f>IF(A52="","",IF((A52+6)&gt;Model!$B$4,0,MAX(0,Model!$B$6-IF((A52+6)&gt;=Model!$B$11,Model!$B$20,0)-IF(6&lt;Model!$B$15,Model!$B$22,0))/(1-Model!$B$9)/(1+Model!$B$18)^6))</f>
        <v/>
      </c>
      <c r="U52" s="7">
        <f>IF(A52="","",IF((A52+7)&gt;Model!$B$4,0,MAX(0,Model!$B$6-IF((A52+7)&gt;=Model!$B$11,Model!$B$20,0)-IF(7&lt;Model!$B$15,Model!$B$22,0))/(1-Model!$B$9)/(1+Model!$B$18)^7))</f>
        <v/>
      </c>
      <c r="V52" s="7">
        <f>IF(A52="","",IF((A52+8)&gt;Model!$B$4,0,MAX(0,Model!$B$6-IF((A52+8)&gt;=Model!$B$11,Model!$B$20,0)-IF(8&lt;Model!$B$15,Model!$B$22,0))/(1-Model!$B$9)/(1+Model!$B$18)^8))</f>
        <v/>
      </c>
      <c r="W52" s="7">
        <f>IF(A52="","",IF((A52+9)&gt;Model!$B$4,0,MAX(0,Model!$B$6-IF((A52+9)&gt;=Model!$B$11,Model!$B$20,0)-IF(9&lt;Model!$B$15,Model!$B$22,0))/(1-Model!$B$9)/(1+Model!$B$18)^9))</f>
        <v/>
      </c>
      <c r="X52" s="7">
        <f>IF(A52="","",IF((A52+10)&gt;Model!$B$4,0,MAX(0,Model!$B$6-IF((A52+10)&gt;=Model!$B$11,Model!$B$20,0)-IF(10&lt;Model!$B$15,Model!$B$22,0))/(1-Model!$B$9)/(1+Model!$B$18)^10))</f>
        <v/>
      </c>
      <c r="Y52" s="7">
        <f>IF(A52="","",IF((A52+11)&gt;Model!$B$4,0,MAX(0,Model!$B$6-IF((A52+11)&gt;=Model!$B$11,Model!$B$20,0)-IF(11&lt;Model!$B$15,Model!$B$22,0))/(1-Model!$B$9)/(1+Model!$B$18)^11))</f>
        <v/>
      </c>
      <c r="Z52" s="7">
        <f>IF(A52="","",IF((A52+12)&gt;Model!$B$4,0,MAX(0,Model!$B$6-IF((A52+12)&gt;=Model!$B$11,Model!$B$20,0)-IF(12&lt;Model!$B$15,Model!$B$22,0))/(1-Model!$B$9)/(1+Model!$B$18)^12))</f>
        <v/>
      </c>
      <c r="AA52" s="7">
        <f>IF(A52="","",IF((A52+13)&gt;Model!$B$4,0,MAX(0,Model!$B$6-IF((A52+13)&gt;=Model!$B$11,Model!$B$20,0)-IF(13&lt;Model!$B$15,Model!$B$22,0))/(1-Model!$B$9)/(1+Model!$B$18)^13))</f>
        <v/>
      </c>
      <c r="AB52" s="7">
        <f>IF(A52="","",IF((A52+14)&gt;Model!$B$4,0,MAX(0,Model!$B$6-IF((A52+14)&gt;=Model!$B$11,Model!$B$20,0)-IF(14&lt;Model!$B$15,Model!$B$22,0))/(1-Model!$B$9)/(1+Model!$B$18)^14))</f>
        <v/>
      </c>
      <c r="AC52" s="7">
        <f>IF(A52="","",IF((A52+15)&gt;Model!$B$4,0,MAX(0,Model!$B$6-IF((A52+15)&gt;=Model!$B$11,Model!$B$20,0)-IF(15&lt;Model!$B$15,Model!$B$22,0))/(1-Model!$B$9)/(1+Model!$B$18)^15))</f>
        <v/>
      </c>
      <c r="AD52" s="7">
        <f>IF(A52="","",IF((A52+16)&gt;Model!$B$4,0,MAX(0,Model!$B$6-IF((A52+16)&gt;=Model!$B$11,Model!$B$20,0)-IF(16&lt;Model!$B$15,Model!$B$22,0))/(1-Model!$B$9)/(1+Model!$B$18)^16))</f>
        <v/>
      </c>
      <c r="AE52" s="7">
        <f>IF(A52="","",IF((A52+17)&gt;Model!$B$4,0,MAX(0,Model!$B$6-IF((A52+17)&gt;=Model!$B$11,Model!$B$20,0)-IF(17&lt;Model!$B$15,Model!$B$22,0))/(1-Model!$B$9)/(1+Model!$B$18)^17))</f>
        <v/>
      </c>
      <c r="AF52" s="7">
        <f>IF(A52="","",IF((A52+18)&gt;Model!$B$4,0,MAX(0,Model!$B$6-IF((A52+18)&gt;=Model!$B$11,Model!$B$20,0)-IF(18&lt;Model!$B$15,Model!$B$22,0))/(1-Model!$B$9)/(1+Model!$B$18)^18))</f>
        <v/>
      </c>
      <c r="AG52" s="7">
        <f>IF(A52="","",IF((A52+19)&gt;Model!$B$4,0,MAX(0,Model!$B$6-IF((A52+19)&gt;=Model!$B$11,Model!$B$20,0)-IF(19&lt;Model!$B$15,Model!$B$22,0))/(1-Model!$B$9)/(1+Model!$B$18)^19))</f>
        <v/>
      </c>
      <c r="AH52" s="7">
        <f>IF(A52="","",IF((A52+20)&gt;Model!$B$4,0,MAX(0,Model!$B$6-IF((A52+20)&gt;=Model!$B$11,Model!$B$20,0)-IF(20&lt;Model!$B$15,Model!$B$22,0))/(1-Model!$B$9)/(1+Model!$B$18)^20))</f>
        <v/>
      </c>
      <c r="AI52" s="7">
        <f>IF(A52="","",IF((A52+21)&gt;Model!$B$4,0,MAX(0,Model!$B$6-IF((A52+21)&gt;=Model!$B$11,Model!$B$20,0)-IF(21&lt;Model!$B$15,Model!$B$22,0))/(1-Model!$B$9)/(1+Model!$B$18)^21))</f>
        <v/>
      </c>
      <c r="AJ52" s="7">
        <f>IF(A52="","",IF((A52+22)&gt;Model!$B$4,0,MAX(0,Model!$B$6-IF((A52+22)&gt;=Model!$B$11,Model!$B$20,0)-IF(22&lt;Model!$B$15,Model!$B$22,0))/(1-Model!$B$9)/(1+Model!$B$18)^22))</f>
        <v/>
      </c>
      <c r="AK52" s="7">
        <f>IF(A52="","",IF((A52+23)&gt;Model!$B$4,0,MAX(0,Model!$B$6-IF((A52+23)&gt;=Model!$B$11,Model!$B$20,0)-IF(23&lt;Model!$B$15,Model!$B$22,0))/(1-Model!$B$9)/(1+Model!$B$18)^23))</f>
        <v/>
      </c>
      <c r="AL52" s="7">
        <f>IF(A52="","",IF((A52+24)&gt;Model!$B$4,0,MAX(0,Model!$B$6-IF((A52+24)&gt;=Model!$B$11,Model!$B$20,0)-IF(24&lt;Model!$B$15,Model!$B$22,0))/(1-Model!$B$9)/(1+Model!$B$18)^24))</f>
        <v/>
      </c>
      <c r="AM52" s="7">
        <f>IF(A52="","",IF((A52+25)&gt;Model!$B$4,0,MAX(0,Model!$B$6-IF((A52+25)&gt;=Model!$B$11,Model!$B$20,0)-IF(25&lt;Model!$B$15,Model!$B$22,0))/(1-Model!$B$9)/(1+Model!$B$18)^25))</f>
        <v/>
      </c>
      <c r="AN52" s="7">
        <f>IF(A52="","",IF((A52+26)&gt;Model!$B$4,0,MAX(0,Model!$B$6-IF((A52+26)&gt;=Model!$B$11,Model!$B$20,0)-IF(26&lt;Model!$B$15,Model!$B$22,0))/(1-Model!$B$9)/(1+Model!$B$18)^26))</f>
        <v/>
      </c>
      <c r="AO52" s="7">
        <f>IF(A52="","",IF((A52+27)&gt;Model!$B$4,0,MAX(0,Model!$B$6-IF((A52+27)&gt;=Model!$B$11,Model!$B$20,0)-IF(27&lt;Model!$B$15,Model!$B$22,0))/(1-Model!$B$9)/(1+Model!$B$18)^27))</f>
        <v/>
      </c>
      <c r="AP52" s="7">
        <f>IF(A52="","",IF((A52+28)&gt;Model!$B$4,0,MAX(0,Model!$B$6-IF((A52+28)&gt;=Model!$B$11,Model!$B$20,0)-IF(28&lt;Model!$B$15,Model!$B$22,0))/(1-Model!$B$9)/(1+Model!$B$18)^28))</f>
        <v/>
      </c>
      <c r="AQ52" s="7">
        <f>IF(A52="","",IF((A52+29)&gt;Model!$B$4,0,MAX(0,Model!$B$6-IF((A52+29)&gt;=Model!$B$11,Model!$B$20,0)-IF(29&lt;Model!$B$15,Model!$B$22,0))/(1-Model!$B$9)/(1+Model!$B$18)^29))</f>
        <v/>
      </c>
      <c r="AR52" s="7">
        <f>IF(A52="","",IF((A52+30)&gt;Model!$B$4,0,MAX(0,Model!$B$6-IF((A52+30)&gt;=Model!$B$11,Model!$B$20,0)-IF(30&lt;Model!$B$15,Model!$B$22,0))/(1-Model!$B$9)/(1+Model!$B$18)^30))</f>
        <v/>
      </c>
      <c r="AS52" s="7">
        <f>IF(A52="","",IF((A52+31)&gt;Model!$B$4,0,MAX(0,Model!$B$6-IF((A52+31)&gt;=Model!$B$11,Model!$B$20,0)-IF(31&lt;Model!$B$15,Model!$B$22,0))/(1-Model!$B$9)/(1+Model!$B$18)^31))</f>
        <v/>
      </c>
      <c r="AT52" s="7">
        <f>IF(A52="","",IF((A52+32)&gt;Model!$B$4,0,MAX(0,Model!$B$6-IF((A52+32)&gt;=Model!$B$11,Model!$B$20,0)-IF(32&lt;Model!$B$15,Model!$B$22,0))/(1-Model!$B$9)/(1+Model!$B$18)^32))</f>
        <v/>
      </c>
      <c r="AU52" s="7">
        <f>IF(A52="","",IF((A52+33)&gt;Model!$B$4,0,MAX(0,Model!$B$6-IF((A52+33)&gt;=Model!$B$11,Model!$B$20,0)-IF(33&lt;Model!$B$15,Model!$B$22,0))/(1-Model!$B$9)/(1+Model!$B$18)^33))</f>
        <v/>
      </c>
      <c r="AV52" s="7">
        <f>IF(A52="","",IF((A52+34)&gt;Model!$B$4,0,MAX(0,Model!$B$6-IF((A52+34)&gt;=Model!$B$11,Model!$B$20,0)-IF(34&lt;Model!$B$15,Model!$B$22,0))/(1-Model!$B$9)/(1+Model!$B$18)^34))</f>
        <v/>
      </c>
      <c r="AW52" s="7">
        <f>IF(A52="","",IF((A52+35)&gt;Model!$B$4,0,MAX(0,Model!$B$6-IF((A52+35)&gt;=Model!$B$11,Model!$B$20,0)-IF(35&lt;Model!$B$15,Model!$B$22,0))/(1-Model!$B$9)/(1+Model!$B$18)^35))</f>
        <v/>
      </c>
      <c r="AX52" s="7">
        <f>IF(A52="","",IF((A52+36)&gt;Model!$B$4,0,MAX(0,Model!$B$6-IF((A52+36)&gt;=Model!$B$11,Model!$B$20,0)-IF(36&lt;Model!$B$15,Model!$B$22,0))/(1-Model!$B$9)/(1+Model!$B$18)^36))</f>
        <v/>
      </c>
      <c r="AY52" s="7">
        <f>IF(A52="","",IF((A52+37)&gt;Model!$B$4,0,MAX(0,Model!$B$6-IF((A52+37)&gt;=Model!$B$11,Model!$B$20,0)-IF(37&lt;Model!$B$15,Model!$B$22,0))/(1-Model!$B$9)/(1+Model!$B$18)^37))</f>
        <v/>
      </c>
      <c r="AZ52" s="7">
        <f>IF(A52="","",IF((A52+38)&gt;Model!$B$4,0,MAX(0,Model!$B$6-IF((A52+38)&gt;=Model!$B$11,Model!$B$20,0)-IF(38&lt;Model!$B$15,Model!$B$22,0))/(1-Model!$B$9)/(1+Model!$B$18)^38))</f>
        <v/>
      </c>
      <c r="BA52" s="7">
        <f>IF(A52="","",IF((A52+39)&gt;Model!$B$4,0,MAX(0,Model!$B$6-IF((A52+39)&gt;=Model!$B$11,Model!$B$20,0)-IF(39&lt;Model!$B$15,Model!$B$22,0))/(1-Model!$B$9)/(1+Model!$B$18)^39))</f>
        <v/>
      </c>
      <c r="BB52" s="7">
        <f>IF(A52="","",IF((A52+40)&gt;Model!$B$4,0,MAX(0,Model!$B$6-IF((A52+40)&gt;=Model!$B$11,Model!$B$20,0)-IF(40&lt;Model!$B$15,Model!$B$22,0))/(1-Model!$B$9)/(1+Model!$B$18)^40))</f>
        <v/>
      </c>
      <c r="BC52" s="7">
        <f>IF(A52="","",IF((A52+41)&gt;Model!$B$4,0,MAX(0,Model!$B$6-IF((A52+41)&gt;=Model!$B$11,Model!$B$20,0)-IF(41&lt;Model!$B$15,Model!$B$22,0))/(1-Model!$B$9)/(1+Model!$B$18)^41))</f>
        <v/>
      </c>
      <c r="BD52" s="7">
        <f>IF(A52="","",IF((A52+42)&gt;Model!$B$4,0,MAX(0,Model!$B$6-IF((A52+42)&gt;=Model!$B$11,Model!$B$20,0)-IF(42&lt;Model!$B$15,Model!$B$22,0))/(1-Model!$B$9)/(1+Model!$B$18)^42))</f>
        <v/>
      </c>
      <c r="BE52" s="7">
        <f>IF(A52="","",IF((A52+43)&gt;Model!$B$4,0,MAX(0,Model!$B$6-IF((A52+43)&gt;=Model!$B$11,Model!$B$20,0)-IF(43&lt;Model!$B$15,Model!$B$22,0))/(1-Model!$B$9)/(1+Model!$B$18)^43))</f>
        <v/>
      </c>
      <c r="BF52" s="7">
        <f>IF(A52="","",IF((A52+44)&gt;Model!$B$4,0,MAX(0,Model!$B$6-IF((A52+44)&gt;=Model!$B$11,Model!$B$20,0)-IF(44&lt;Model!$B$15,Model!$B$22,0))/(1-Model!$B$9)/(1+Model!$B$18)^44))</f>
        <v/>
      </c>
      <c r="BG52" s="7">
        <f>IF(A52="","",IF((A52+45)&gt;Model!$B$4,0,MAX(0,Model!$B$6-IF((A52+45)&gt;=Model!$B$11,Model!$B$20,0)-IF(45&lt;Model!$B$15,Model!$B$22,0))/(1-Model!$B$9)/(1+Model!$B$18)^45))</f>
        <v/>
      </c>
      <c r="BH52" s="7">
        <f>IF(A52="","",IF((A52+46)&gt;Model!$B$4,0,MAX(0,Model!$B$6-IF((A52+46)&gt;=Model!$B$11,Model!$B$20,0)-IF(46&lt;Model!$B$15,Model!$B$22,0))/(1-Model!$B$9)/(1+Model!$B$18)^46))</f>
        <v/>
      </c>
      <c r="BI52" s="7">
        <f>IF(A52="","",IF((A52+47)&gt;Model!$B$4,0,MAX(0,Model!$B$6-IF((A52+47)&gt;=Model!$B$11,Model!$B$20,0)-IF(47&lt;Model!$B$15,Model!$B$22,0))/(1-Model!$B$9)/(1+Model!$B$18)^47))</f>
        <v/>
      </c>
      <c r="BJ52" s="7">
        <f>IF(A52="","",IF((A52+48)&gt;Model!$B$4,0,MAX(0,Model!$B$6-IF((A52+48)&gt;=Model!$B$11,Model!$B$20,0)-IF(48&lt;Model!$B$15,Model!$B$22,0))/(1-Model!$B$9)/(1+Model!$B$18)^48))</f>
        <v/>
      </c>
      <c r="BK52" s="7">
        <f>IF(A52="","",IF((A52+49)&gt;Model!$B$4,0,MAX(0,Model!$B$6-IF((A52+49)&gt;=Model!$B$11,Model!$B$20,0)-IF(49&lt;Model!$B$15,Model!$B$22,0))/(1-Model!$B$9)/(1+Model!$B$18)^49))</f>
        <v/>
      </c>
      <c r="BL52" s="7">
        <f>IF(A52="","",IF((A52+50)&gt;Model!$B$4,0,MAX(0,Model!$B$6-IF((A52+50)&gt;=Model!$B$11,Model!$B$20,0)-IF(50&lt;Model!$B$15,Model!$B$22,0))/(1-Model!$B$9)/(1+Model!$B$18)^50))</f>
        <v/>
      </c>
      <c r="BM52" s="7">
        <f>IF(A52="","",IF((A52+51)&gt;Model!$B$4,0,MAX(0,Model!$B$6-IF((A52+51)&gt;=Model!$B$11,Model!$B$20,0)-IF(51&lt;Model!$B$15,Model!$B$22,0))/(1-Model!$B$9)/(1+Model!$B$18)^51))</f>
        <v/>
      </c>
      <c r="BN52" s="7">
        <f>IF(A52="","",IF((A52+52)&gt;Model!$B$4,0,MAX(0,Model!$B$6-IF((A52+52)&gt;=Model!$B$11,Model!$B$20,0)-IF(52&lt;Model!$B$15,Model!$B$22,0))/(1-Model!$B$9)/(1+Model!$B$18)^52))</f>
        <v/>
      </c>
      <c r="BO52" s="7">
        <f>IF(A52="","",IF((A52+53)&gt;Model!$B$4,0,MAX(0,Model!$B$6-IF((A52+53)&gt;=Model!$B$11,Model!$B$20,0)-IF(53&lt;Model!$B$15,Model!$B$22,0))/(1-Model!$B$9)/(1+Model!$B$18)^53))</f>
        <v/>
      </c>
      <c r="BP52" s="7">
        <f>IF(A52="","",IF((A52+54)&gt;Model!$B$4,0,MAX(0,Model!$B$6-IF((A52+54)&gt;=Model!$B$11,Model!$B$20,0)-IF(54&lt;Model!$B$15,Model!$B$22,0))/(1-Model!$B$9)/(1+Model!$B$18)^54))</f>
        <v/>
      </c>
      <c r="BQ52" s="7">
        <f>IF(A52="","",IF((A52+55)&gt;Model!$B$4,0,MAX(0,Model!$B$6-IF((A52+55)&gt;=Model!$B$11,Model!$B$20,0)-IF(55&lt;Model!$B$15,Model!$B$22,0))/(1-Model!$B$9)/(1+Model!$B$18)^55))</f>
        <v/>
      </c>
      <c r="BR52" s="7">
        <f>IF(A52="","",IF((A52+56)&gt;Model!$B$4,0,MAX(0,Model!$B$6-IF((A52+56)&gt;=Model!$B$11,Model!$B$20,0)-IF(56&lt;Model!$B$15,Model!$B$22,0))/(1-Model!$B$9)/(1+Model!$B$18)^56))</f>
        <v/>
      </c>
      <c r="BS52" s="7">
        <f>IF(A52="","",IF((A52+57)&gt;Model!$B$4,0,MAX(0,Model!$B$6-IF((A52+57)&gt;=Model!$B$11,Model!$B$20,0)-IF(57&lt;Model!$B$15,Model!$B$22,0))/(1-Model!$B$9)/(1+Model!$B$18)^57))</f>
        <v/>
      </c>
      <c r="BT52" s="7">
        <f>IF(A52="","",IF((A52+58)&gt;Model!$B$4,0,MAX(0,Model!$B$6-IF((A52+58)&gt;=Model!$B$11,Model!$B$20,0)-IF(58&lt;Model!$B$15,Model!$B$22,0))/(1-Model!$B$9)/(1+Model!$B$18)^58))</f>
        <v/>
      </c>
      <c r="BU52" s="7">
        <f>IF(A52="","",IF((A52+59)&gt;Model!$B$4,0,MAX(0,Model!$B$6-IF((A52+59)&gt;=Model!$B$11,Model!$B$20,0)-IF(59&lt;Model!$B$15,Model!$B$22,0))/(1-Model!$B$9)/(1+Model!$B$18)^59))</f>
        <v/>
      </c>
      <c r="BV52" s="7">
        <f>IF(A52="","",IF((A52+60)&gt;Model!$B$4,0,MAX(0,Model!$B$6-IF((A52+60)&gt;=Model!$B$11,Model!$B$20,0)-IF(60&lt;Model!$B$15,Model!$B$22,0))/(1-Model!$B$9)/(1+Model!$B$18)^60))</f>
        <v/>
      </c>
      <c r="BW52" s="7">
        <f>IF(A52="","",IF((A52+61)&gt;Model!$B$4,0,MAX(0,Model!$B$6-IF((A52+61)&gt;=Model!$B$11,Model!$B$20,0)-IF(61&lt;Model!$B$15,Model!$B$22,0))/(1-Model!$B$9)/(1+Model!$B$18)^61))</f>
        <v/>
      </c>
      <c r="BX52" s="7">
        <f>IF(A52="","",IF((A52+62)&gt;Model!$B$4,0,MAX(0,Model!$B$6-IF((A52+62)&gt;=Model!$B$11,Model!$B$20,0)-IF(62&lt;Model!$B$15,Model!$B$22,0))/(1-Model!$B$9)/(1+Model!$B$18)^62))</f>
        <v/>
      </c>
      <c r="BY52" s="7">
        <f>IF(A52="","",IF((A52+63)&gt;Model!$B$4,0,MAX(0,Model!$B$6-IF((A52+63)&gt;=Model!$B$11,Model!$B$20,0)-IF(63&lt;Model!$B$15,Model!$B$22,0))/(1-Model!$B$9)/(1+Model!$B$18)^63))</f>
        <v/>
      </c>
      <c r="BZ52" s="7">
        <f>IF(A52="","",IF((A52+64)&gt;Model!$B$4,0,MAX(0,Model!$B$6-IF((A52+64)&gt;=Model!$B$11,Model!$B$20,0)-IF(64&lt;Model!$B$15,Model!$B$22,0))/(1-Model!$B$9)/(1+Model!$B$18)^64))</f>
        <v/>
      </c>
      <c r="CA52" s="7">
        <f>IF(A52="","",IF((A52+65)&gt;Model!$B$4,0,MAX(0,Model!$B$6-IF((A52+65)&gt;=Model!$B$11,Model!$B$20,0)-IF(65&lt;Model!$B$15,Model!$B$22,0))/(1-Model!$B$9)/(1+Model!$B$18)^65))</f>
        <v/>
      </c>
      <c r="CB52" s="7">
        <f>IF(A52="","",IF((A52+66)&gt;Model!$B$4,0,MAX(0,Model!$B$6-IF((A52+66)&gt;=Model!$B$11,Model!$B$20,0)-IF(66&lt;Model!$B$15,Model!$B$22,0))/(1-Model!$B$9)/(1+Model!$B$18)^66))</f>
        <v/>
      </c>
      <c r="CC52" s="7">
        <f>IF(A52="","",IF((A52+67)&gt;Model!$B$4,0,MAX(0,Model!$B$6-IF((A52+67)&gt;=Model!$B$11,Model!$B$20,0)-IF(67&lt;Model!$B$15,Model!$B$22,0))/(1-Model!$B$9)/(1+Model!$B$18)^67))</f>
        <v/>
      </c>
      <c r="CD52" s="7">
        <f>IF(A52="","",IF((A52+68)&gt;Model!$B$4,0,MAX(0,Model!$B$6-IF((A52+68)&gt;=Model!$B$11,Model!$B$20,0)-IF(68&lt;Model!$B$15,Model!$B$22,0))/(1-Model!$B$9)/(1+Model!$B$18)^68))</f>
        <v/>
      </c>
      <c r="CE52" s="7">
        <f>IF(A52="","",IF((A52+69)&gt;Model!$B$4,0,MAX(0,Model!$B$6-IF((A52+69)&gt;=Model!$B$11,Model!$B$20,0)-IF(69&lt;Model!$B$15,Model!$B$22,0))/(1-Model!$B$9)/(1+Model!$B$18)^69))</f>
        <v/>
      </c>
      <c r="CF52" s="7">
        <f>IF(A52="","",IF((A52+70)&gt;Model!$B$4,0,MAX(0,Model!$B$6-IF((A52+70)&gt;=Model!$B$11,Model!$B$20,0)-IF(70&lt;Model!$B$15,Model!$B$22,0))/(1-Model!$B$9)/(1+Model!$B$18)^70))</f>
        <v/>
      </c>
      <c r="CG52" s="7">
        <f>IF(A52="","",IF((A52+71)&gt;Model!$B$4,0,MAX(0,Model!$B$6-IF((A52+71)&gt;=Model!$B$11,Model!$B$20,0)-IF(71&lt;Model!$B$15,Model!$B$22,0))/(1-Model!$B$9)/(1+Model!$B$18)^71))</f>
        <v/>
      </c>
      <c r="CH52" s="7">
        <f>IF(A52="","",IF((A52+72)&gt;Model!$B$4,0,MAX(0,Model!$B$6-IF((A52+72)&gt;=Model!$B$11,Model!$B$20,0)-IF(72&lt;Model!$B$15,Model!$B$22,0))/(1-Model!$B$9)/(1+Model!$B$18)^72))</f>
        <v/>
      </c>
      <c r="CI52" s="7">
        <f>IF(A52="","",IF((A52+73)&gt;Model!$B$4,0,MAX(0,Model!$B$6-IF((A52+73)&gt;=Model!$B$11,Model!$B$20,0)-IF(73&lt;Model!$B$15,Model!$B$22,0))/(1-Model!$B$9)/(1+Model!$B$18)^73))</f>
        <v/>
      </c>
      <c r="CJ52" s="7">
        <f>IF(A52="","",IF((A52+74)&gt;Model!$B$4,0,MAX(0,Model!$B$6-IF((A52+74)&gt;=Model!$B$11,Model!$B$20,0)-IF(74&lt;Model!$B$15,Model!$B$22,0))/(1-Model!$B$9)/(1+Model!$B$18)^74))</f>
        <v/>
      </c>
      <c r="CK52" s="7">
        <f>IF(A52="","",IF((A52+75)&gt;Model!$B$4,0,MAX(0,Model!$B$6-IF((A52+75)&gt;=Model!$B$11,Model!$B$20,0)-IF(75&lt;Model!$B$15,Model!$B$22,0))/(1-Model!$B$9)/(1+Model!$B$18)^75))</f>
        <v/>
      </c>
      <c r="CL52" s="7">
        <f>IF(A52="","",IF((A52+76)&gt;Model!$B$4,0,MAX(0,Model!$B$6-IF((A52+76)&gt;=Model!$B$11,Model!$B$20,0)-IF(76&lt;Model!$B$15,Model!$B$22,0))/(1-Model!$B$9)/(1+Model!$B$18)^76))</f>
        <v/>
      </c>
      <c r="CM52" s="7">
        <f>IF(A52="","",IF((A52+77)&gt;Model!$B$4,0,MAX(0,Model!$B$6-IF((A52+77)&gt;=Model!$B$11,Model!$B$20,0)-IF(77&lt;Model!$B$15,Model!$B$22,0))/(1-Model!$B$9)/(1+Model!$B$18)^77))</f>
        <v/>
      </c>
      <c r="CN52" s="7">
        <f>IF(A52="","",IF((A52+78)&gt;Model!$B$4,0,MAX(0,Model!$B$6-IF((A52+78)&gt;=Model!$B$11,Model!$B$20,0)-IF(78&lt;Model!$B$15,Model!$B$22,0))/(1-Model!$B$9)/(1+Model!$B$18)^78))</f>
        <v/>
      </c>
      <c r="CO52" s="7">
        <f>IF(A52="","",IF((A52+79)&gt;Model!$B$4,0,MAX(0,Model!$B$6-IF((A52+79)&gt;=Model!$B$11,Model!$B$20,0)-IF(79&lt;Model!$B$15,Model!$B$22,0))/(1-Model!$B$9)/(1+Model!$B$18)^79))</f>
        <v/>
      </c>
      <c r="CP52" s="7">
        <f>IF(A52="","",IF((A52+80)&gt;Model!$B$4,0,MAX(0,Model!$B$6-IF((A52+80)&gt;=Model!$B$11,Model!$B$20,0)-IF(80&lt;Model!$B$15,Model!$B$22,0))/(1-Model!$B$9)/(1+Model!$B$18)^80))</f>
        <v/>
      </c>
      <c r="CQ52" s="7">
        <f>IF(A52="","",IF((A52+81)&gt;Model!$B$4,0,MAX(0,Model!$B$6-IF((A52+81)&gt;=Model!$B$11,Model!$B$20,0)-IF(81&lt;Model!$B$15,Model!$B$22,0))/(1-Model!$B$9)/(1+Model!$B$18)^81))</f>
        <v/>
      </c>
      <c r="CR52" s="7">
        <f>IF(A52="","",IF((A52+82)&gt;Model!$B$4,0,MAX(0,Model!$B$6-IF((A52+82)&gt;=Model!$B$11,Model!$B$20,0)-IF(82&lt;Model!$B$15,Model!$B$22,0))/(1-Model!$B$9)/(1+Model!$B$18)^82))</f>
        <v/>
      </c>
      <c r="CS52" s="7">
        <f>IF(A52="","",IF((A52+83)&gt;Model!$B$4,0,MAX(0,Model!$B$6-IF((A52+83)&gt;=Model!$B$11,Model!$B$20,0)-IF(83&lt;Model!$B$15,Model!$B$22,0))/(1-Model!$B$9)/(1+Model!$B$18)^83))</f>
        <v/>
      </c>
      <c r="CT52" s="7">
        <f>IF(A52="","",IF((A52+84)&gt;Model!$B$4,0,MAX(0,Model!$B$6-IF((A52+84)&gt;=Model!$B$11,Model!$B$20,0)-IF(84&lt;Model!$B$15,Model!$B$22,0))/(1-Model!$B$9)/(1+Model!$B$18)^84))</f>
        <v/>
      </c>
      <c r="CU52" s="7">
        <f>IF(A52="","",IF((A52+85)&gt;Model!$B$4,0,MAX(0,Model!$B$6-IF((A52+85)&gt;=Model!$B$11,Model!$B$20,0)-IF(85&lt;Model!$B$15,Model!$B$22,0))/(1-Model!$B$9)/(1+Model!$B$18)^85))</f>
        <v/>
      </c>
      <c r="CV52" s="7">
        <f>IF(A52="","",IF((A52+86)&gt;Model!$B$4,0,MAX(0,Model!$B$6-IF((A52+86)&gt;=Model!$B$11,Model!$B$20,0)-IF(86&lt;Model!$B$15,Model!$B$22,0))/(1-Model!$B$9)/(1+Model!$B$18)^86))</f>
        <v/>
      </c>
      <c r="CW52" s="7">
        <f>IF(A52="","",IF((A52+87)&gt;Model!$B$4,0,MAX(0,Model!$B$6-IF((A52+87)&gt;=Model!$B$11,Model!$B$20,0)-IF(87&lt;Model!$B$15,Model!$B$22,0))/(1-Model!$B$9)/(1+Model!$B$18)^87))</f>
        <v/>
      </c>
      <c r="CX52" s="7">
        <f>IF(A52="","",IF((A52+88)&gt;Model!$B$4,0,MAX(0,Model!$B$6-IF((A52+88)&gt;=Model!$B$11,Model!$B$20,0)-IF(88&lt;Model!$B$15,Model!$B$22,0))/(1-Model!$B$9)/(1+Model!$B$18)^88))</f>
        <v/>
      </c>
      <c r="CY52" s="7">
        <f>IF(A52="","",IF((A52+89)&gt;Model!$B$4,0,MAX(0,Model!$B$6-IF((A52+89)&gt;=Model!$B$11,Model!$B$20,0)-IF(89&lt;Model!$B$15,Model!$B$22,0))/(1-Model!$B$9)/(1+Model!$B$18)^89))</f>
        <v/>
      </c>
      <c r="CZ52" s="7">
        <f>IF(A52="","",IF((A52+90)&gt;Model!$B$4,0,MAX(0,Model!$B$6-IF((A52+90)&gt;=Model!$B$11,Model!$B$20,0)-IF(90&lt;Model!$B$15,Model!$B$22,0))/(1-Model!$B$9)/(1+Model!$B$18)^90))</f>
        <v/>
      </c>
      <c r="DA52" s="7">
        <f>IF(A52="","",IF((A52+91)&gt;Model!$B$4,0,MAX(0,Model!$B$6-IF((A52+91)&gt;=Model!$B$11,Model!$B$20,0)-IF(91&lt;Model!$B$15,Model!$B$22,0))/(1-Model!$B$9)/(1+Model!$B$18)^91))</f>
        <v/>
      </c>
      <c r="DB52" s="7">
        <f>IF(A52="","",IF((A52+92)&gt;Model!$B$4,0,MAX(0,Model!$B$6-IF((A52+92)&gt;=Model!$B$11,Model!$B$20,0)-IF(92&lt;Model!$B$15,Model!$B$22,0))/(1-Model!$B$9)/(1+Model!$B$18)^92))</f>
        <v/>
      </c>
      <c r="DC52" s="7">
        <f>IF(A52="","",IF((A52+93)&gt;Model!$B$4,0,MAX(0,Model!$B$6-IF((A52+93)&gt;=Model!$B$11,Model!$B$20,0)-IF(93&lt;Model!$B$15,Model!$B$22,0))/(1-Model!$B$9)/(1+Model!$B$18)^93))</f>
        <v/>
      </c>
      <c r="DD52" s="7">
        <f>IF(A52="","",IF((A52+94)&gt;Model!$B$4,0,MAX(0,Model!$B$6-IF((A52+94)&gt;=Model!$B$11,Model!$B$20,0)-IF(94&lt;Model!$B$15,Model!$B$22,0))/(1-Model!$B$9)/(1+Model!$B$18)^94))</f>
        <v/>
      </c>
      <c r="DE52" s="7">
        <f>IF(A52="","",IF((A52+95)&gt;Model!$B$4,0,MAX(0,Model!$B$6-IF((A52+95)&gt;=Model!$B$11,Model!$B$20,0)-IF(95&lt;Model!$B$15,Model!$B$22,0))/(1-Model!$B$9)/(1+Model!$B$18)^95))</f>
        <v/>
      </c>
      <c r="DF52" s="7">
        <f>IF(A52="","",IF((A52+96)&gt;Model!$B$4,0,MAX(0,Model!$B$6-IF((A52+96)&gt;=Model!$B$11,Model!$B$20,0)-IF(96&lt;Model!$B$15,Model!$B$22,0))/(1-Model!$B$9)/(1+Model!$B$18)^96))</f>
        <v/>
      </c>
      <c r="DG52" s="7">
        <f>IF(A52="","",IF((A52+97)&gt;Model!$B$4,0,MAX(0,Model!$B$6-IF((A52+97)&gt;=Model!$B$11,Model!$B$20,0)-IF(97&lt;Model!$B$15,Model!$B$22,0))/(1-Model!$B$9)/(1+Model!$B$18)^97))</f>
        <v/>
      </c>
      <c r="DH52" s="7">
        <f>IF(A52="","",IF((A52+98)&gt;Model!$B$4,0,MAX(0,Model!$B$6-IF((A52+98)&gt;=Model!$B$11,Model!$B$20,0)-IF(98&lt;Model!$B$15,Model!$B$22,0))/(1-Model!$B$9)/(1+Model!$B$18)^98))</f>
        <v/>
      </c>
      <c r="DI52" s="7">
        <f>IF(A52="","",IF((A52+99)&gt;Model!$B$4,0,MAX(0,Model!$B$6-IF((A52+99)&gt;=Model!$B$11,Model!$B$20,0)-IF(99&lt;Model!$B$15,Model!$B$22,0))/(1-Model!$B$9)/(1+Model!$B$18)^99))</f>
        <v/>
      </c>
      <c r="DJ52" s="7">
        <f>IF(A52="","",IF((A52+100)&gt;Model!$B$4,0,MAX(0,Model!$B$6-IF((A52+100)&gt;=Model!$B$11,Model!$B$20,0)-IF(100&lt;Model!$B$15,Model!$B$22,0))/(1-Model!$B$9)/(1+Model!$B$18)^100))</f>
        <v/>
      </c>
      <c r="DK52" s="7">
        <f>IF(A52="","",IF((A52+101)&gt;Model!$B$4,0,MAX(0,Model!$B$6-IF((A52+101)&gt;=Model!$B$11,Model!$B$20,0)-IF(101&lt;Model!$B$15,Model!$B$22,0))/(1-Model!$B$9)/(1+Model!$B$18)^101))</f>
        <v/>
      </c>
      <c r="DL52" s="7">
        <f>IF(A52="","",IF((A52+102)&gt;Model!$B$4,0,MAX(0,Model!$B$6-IF((A52+102)&gt;=Model!$B$11,Model!$B$20,0)-IF(102&lt;Model!$B$15,Model!$B$22,0))/(1-Model!$B$9)/(1+Model!$B$18)^102))</f>
        <v/>
      </c>
      <c r="DM52" s="7">
        <f>IF(A52="","",IF((A52+103)&gt;Model!$B$4,0,MAX(0,Model!$B$6-IF((A52+103)&gt;=Model!$B$11,Model!$B$20,0)-IF(103&lt;Model!$B$15,Model!$B$22,0))/(1-Model!$B$9)/(1+Model!$B$18)^103))</f>
        <v/>
      </c>
      <c r="DN52" s="7">
        <f>IF(A52="","",IF((A52+104)&gt;Model!$B$4,0,MAX(0,Model!$B$6-IF((A52+104)&gt;=Model!$B$11,Model!$B$20,0)-IF(104&lt;Model!$B$15,Model!$B$22,0))/(1-Model!$B$9)/(1+Model!$B$18)^104))</f>
        <v/>
      </c>
      <c r="DO52" s="7">
        <f>IF(A52="","",IF((A52+105)&gt;Model!$B$4,0,MAX(0,Model!$B$6-IF((A52+105)&gt;=Model!$B$11,Model!$B$20,0)-IF(105&lt;Model!$B$15,Model!$B$22,0))/(1-Model!$B$9)/(1+Model!$B$18)^105))</f>
        <v/>
      </c>
      <c r="DP52" s="7">
        <f>IF(A52="","",IF((A52+106)&gt;Model!$B$4,0,MAX(0,Model!$B$6-IF((A52+106)&gt;=Model!$B$11,Model!$B$20,0)-IF(106&lt;Model!$B$15,Model!$B$22,0))/(1-Model!$B$9)/(1+Model!$B$18)^106))</f>
        <v/>
      </c>
      <c r="DQ52" s="7">
        <f>IF(A52="","",IF((A52+107)&gt;Model!$B$4,0,MAX(0,Model!$B$6-IF((A52+107)&gt;=Model!$B$11,Model!$B$20,0)-IF(107&lt;Model!$B$15,Model!$B$22,0))/(1-Model!$B$9)/(1+Model!$B$18)^107))</f>
        <v/>
      </c>
      <c r="DR52" s="7">
        <f>IF(A52="","",IF((A52+108)&gt;Model!$B$4,0,MAX(0,Model!$B$6-IF((A52+108)&gt;=Model!$B$11,Model!$B$20,0)-IF(108&lt;Model!$B$15,Model!$B$22,0))/(1-Model!$B$9)/(1+Model!$B$18)^108))</f>
        <v/>
      </c>
      <c r="DS52" s="7">
        <f>IF(A52="","",IF((A52+109)&gt;Model!$B$4,0,MAX(0,Model!$B$6-IF((A52+109)&gt;=Model!$B$11,Model!$B$20,0)-IF(109&lt;Model!$B$15,Model!$B$22,0))/(1-Model!$B$9)/(1+Model!$B$18)^109))</f>
        <v/>
      </c>
      <c r="DT52" s="7">
        <f>IF(A52="","",IF((A52+110)&gt;Model!$B$4,0,MAX(0,Model!$B$6-IF((A52+110)&gt;=Model!$B$11,Model!$B$20,0)-IF(110&lt;Model!$B$15,Model!$B$22,0))/(1-Model!$B$9)/(1+Model!$B$18)^110))</f>
        <v/>
      </c>
      <c r="DU52" s="7">
        <f>IF(A52="","",IF((A52+111)&gt;Model!$B$4,0,MAX(0,Model!$B$6-IF((A52+111)&gt;=Model!$B$11,Model!$B$20,0)-IF(111&lt;Model!$B$15,Model!$B$22,0))/(1-Model!$B$9)/(1+Model!$B$18)^111))</f>
        <v/>
      </c>
      <c r="DV52" s="7">
        <f>IF(A52="","",IF((A52+112)&gt;Model!$B$4,0,MAX(0,Model!$B$6-IF((A52+112)&gt;=Model!$B$11,Model!$B$20,0)-IF(112&lt;Model!$B$15,Model!$B$22,0))/(1-Model!$B$9)/(1+Model!$B$18)^112))</f>
        <v/>
      </c>
      <c r="DW52" s="7">
        <f>IF(A52="","",IF((A52+113)&gt;Model!$B$4,0,MAX(0,Model!$B$6-IF((A52+113)&gt;=Model!$B$11,Model!$B$20,0)-IF(113&lt;Model!$B$15,Model!$B$22,0))/(1-Model!$B$9)/(1+Model!$B$18)^113))</f>
        <v/>
      </c>
      <c r="DX52" s="7">
        <f>IF(A52="","",IF((A52+114)&gt;Model!$B$4,0,MAX(0,Model!$B$6-IF((A52+114)&gt;=Model!$B$11,Model!$B$20,0)-IF(114&lt;Model!$B$15,Model!$B$22,0))/(1-Model!$B$9)/(1+Model!$B$18)^114))</f>
        <v/>
      </c>
      <c r="DY52" s="7">
        <f>IF(A52="","",IF((A52+115)&gt;Model!$B$4,0,MAX(0,Model!$B$6-IF((A52+115)&gt;=Model!$B$11,Model!$B$20,0)-IF(115&lt;Model!$B$15,Model!$B$22,0))/(1-Model!$B$9)/(1+Model!$B$18)^115))</f>
        <v/>
      </c>
      <c r="DZ52" s="7">
        <f>IF(A52="","",IF((A52+116)&gt;Model!$B$4,0,MAX(0,Model!$B$6-IF((A52+116)&gt;=Model!$B$11,Model!$B$20,0)-IF(116&lt;Model!$B$15,Model!$B$22,0))/(1-Model!$B$9)/(1+Model!$B$18)^116))</f>
        <v/>
      </c>
      <c r="EA52" s="7">
        <f>IF(A52="","",IF((A52+117)&gt;Model!$B$4,0,MAX(0,Model!$B$6-IF((A52+117)&gt;=Model!$B$11,Model!$B$20,0)-IF(117&lt;Model!$B$15,Model!$B$22,0))/(1-Model!$B$9)/(1+Model!$B$18)^117))</f>
        <v/>
      </c>
      <c r="EB52" s="7">
        <f>IF(A52="","",IF((A52+118)&gt;Model!$B$4,0,MAX(0,Model!$B$6-IF((A52+118)&gt;=Model!$B$11,Model!$B$20,0)-IF(118&lt;Model!$B$15,Model!$B$22,0))/(1-Model!$B$9)/(1+Model!$B$18)^118))</f>
        <v/>
      </c>
      <c r="EC52" s="7">
        <f>IF(A52="","",IF((A52+119)&gt;Model!$B$4,0,MAX(0,Model!$B$6-IF((A52+119)&gt;=Model!$B$11,Model!$B$20,0)-IF(119&lt;Model!$B$15,Model!$B$22,0))/(1-Model!$B$9)/(1+Model!$B$18)^119))</f>
        <v/>
      </c>
      <c r="ED52" s="7">
        <f>IF(A52="","",IF((A52+120)&gt;Model!$B$4,0,MAX(0,Model!$B$6-IF((A52+120)&gt;=Model!$B$11,Model!$B$20,0)-IF(120&lt;Model!$B$15,Model!$B$22,0))/(1-Model!$B$9)/(1+Model!$B$18)^120))</f>
        <v/>
      </c>
    </row>
    <row r="53">
      <c r="A53">
        <f>IF(Model!$B$10+ROW()-2&lt;=Model!$B$4,Model!$B$10+ROW()-2,"")</f>
        <v/>
      </c>
      <c r="B53">
        <f>IF(A53="","",A53-Model!$B$10)</f>
        <v/>
      </c>
      <c r="C53" s="7">
        <f>IF(A53="","",Model!$B$5*(1+Model!$B$18)^B53)</f>
        <v/>
      </c>
      <c r="D53" s="7">
        <f>IF(A53="","",SUM(N53:ED53))</f>
        <v/>
      </c>
      <c r="E53" s="7">
        <f>IF(A53="","",IF(A53&gt;=Model!$B$11,Model!$B$20,0))</f>
        <v/>
      </c>
      <c r="F53" s="7">
        <f>IF(A53="","",IF(Model!$B$15&gt;0,Model!$B$22,0))</f>
        <v/>
      </c>
      <c r="G53" s="7">
        <f>IF(A53="","",E53+F53)</f>
        <v/>
      </c>
      <c r="H53" s="7">
        <f>IF(A53="","",MAX(0,Model!$B$6-G53))</f>
        <v/>
      </c>
      <c r="I53" s="7">
        <f>IF(A53="","",H53/(1-Model!$B$9))</f>
        <v/>
      </c>
      <c r="J53" s="7">
        <f>IF(A53="","",C53-D53)</f>
        <v/>
      </c>
      <c r="K53">
        <f>IF(A53="","",C53&gt;=D53)</f>
        <v/>
      </c>
      <c r="L53" s="7">
        <f>IF(A53="","",IF(A53&gt;=Model!$B$11,Model!$B$19*(1+Model!$B$13)^B53,0))</f>
        <v/>
      </c>
      <c r="M53" s="7">
        <f>IF(A53="","",IF(Model!$B$15&gt;0,Model!$B$21*(1+Model!$B$13)^B53,0))</f>
        <v/>
      </c>
      <c r="N53" s="7">
        <f>IF(A53="","",IF((A53+0)&gt;Model!$B$4,0,MAX(0,Model!$B$6-IF((A53+0)&gt;=Model!$B$11,Model!$B$20,0)-IF(0&lt;Model!$B$15,Model!$B$22,0))/(1-Model!$B$9)/(1+Model!$B$18)^0))</f>
        <v/>
      </c>
      <c r="O53" s="7">
        <f>IF(A53="","",IF((A53+1)&gt;Model!$B$4,0,MAX(0,Model!$B$6-IF((A53+1)&gt;=Model!$B$11,Model!$B$20,0)-IF(1&lt;Model!$B$15,Model!$B$22,0))/(1-Model!$B$9)/(1+Model!$B$18)^1))</f>
        <v/>
      </c>
      <c r="P53" s="7">
        <f>IF(A53="","",IF((A53+2)&gt;Model!$B$4,0,MAX(0,Model!$B$6-IF((A53+2)&gt;=Model!$B$11,Model!$B$20,0)-IF(2&lt;Model!$B$15,Model!$B$22,0))/(1-Model!$B$9)/(1+Model!$B$18)^2))</f>
        <v/>
      </c>
      <c r="Q53" s="7">
        <f>IF(A53="","",IF((A53+3)&gt;Model!$B$4,0,MAX(0,Model!$B$6-IF((A53+3)&gt;=Model!$B$11,Model!$B$20,0)-IF(3&lt;Model!$B$15,Model!$B$22,0))/(1-Model!$B$9)/(1+Model!$B$18)^3))</f>
        <v/>
      </c>
      <c r="R53" s="7">
        <f>IF(A53="","",IF((A53+4)&gt;Model!$B$4,0,MAX(0,Model!$B$6-IF((A53+4)&gt;=Model!$B$11,Model!$B$20,0)-IF(4&lt;Model!$B$15,Model!$B$22,0))/(1-Model!$B$9)/(1+Model!$B$18)^4))</f>
        <v/>
      </c>
      <c r="S53" s="7">
        <f>IF(A53="","",IF((A53+5)&gt;Model!$B$4,0,MAX(0,Model!$B$6-IF((A53+5)&gt;=Model!$B$11,Model!$B$20,0)-IF(5&lt;Model!$B$15,Model!$B$22,0))/(1-Model!$B$9)/(1+Model!$B$18)^5))</f>
        <v/>
      </c>
      <c r="T53" s="7">
        <f>IF(A53="","",IF((A53+6)&gt;Model!$B$4,0,MAX(0,Model!$B$6-IF((A53+6)&gt;=Model!$B$11,Model!$B$20,0)-IF(6&lt;Model!$B$15,Model!$B$22,0))/(1-Model!$B$9)/(1+Model!$B$18)^6))</f>
        <v/>
      </c>
      <c r="U53" s="7">
        <f>IF(A53="","",IF((A53+7)&gt;Model!$B$4,0,MAX(0,Model!$B$6-IF((A53+7)&gt;=Model!$B$11,Model!$B$20,0)-IF(7&lt;Model!$B$15,Model!$B$22,0))/(1-Model!$B$9)/(1+Model!$B$18)^7))</f>
        <v/>
      </c>
      <c r="V53" s="7">
        <f>IF(A53="","",IF((A53+8)&gt;Model!$B$4,0,MAX(0,Model!$B$6-IF((A53+8)&gt;=Model!$B$11,Model!$B$20,0)-IF(8&lt;Model!$B$15,Model!$B$22,0))/(1-Model!$B$9)/(1+Model!$B$18)^8))</f>
        <v/>
      </c>
      <c r="W53" s="7">
        <f>IF(A53="","",IF((A53+9)&gt;Model!$B$4,0,MAX(0,Model!$B$6-IF((A53+9)&gt;=Model!$B$11,Model!$B$20,0)-IF(9&lt;Model!$B$15,Model!$B$22,0))/(1-Model!$B$9)/(1+Model!$B$18)^9))</f>
        <v/>
      </c>
      <c r="X53" s="7">
        <f>IF(A53="","",IF((A53+10)&gt;Model!$B$4,0,MAX(0,Model!$B$6-IF((A53+10)&gt;=Model!$B$11,Model!$B$20,0)-IF(10&lt;Model!$B$15,Model!$B$22,0))/(1-Model!$B$9)/(1+Model!$B$18)^10))</f>
        <v/>
      </c>
      <c r="Y53" s="7">
        <f>IF(A53="","",IF((A53+11)&gt;Model!$B$4,0,MAX(0,Model!$B$6-IF((A53+11)&gt;=Model!$B$11,Model!$B$20,0)-IF(11&lt;Model!$B$15,Model!$B$22,0))/(1-Model!$B$9)/(1+Model!$B$18)^11))</f>
        <v/>
      </c>
      <c r="Z53" s="7">
        <f>IF(A53="","",IF((A53+12)&gt;Model!$B$4,0,MAX(0,Model!$B$6-IF((A53+12)&gt;=Model!$B$11,Model!$B$20,0)-IF(12&lt;Model!$B$15,Model!$B$22,0))/(1-Model!$B$9)/(1+Model!$B$18)^12))</f>
        <v/>
      </c>
      <c r="AA53" s="7">
        <f>IF(A53="","",IF((A53+13)&gt;Model!$B$4,0,MAX(0,Model!$B$6-IF((A53+13)&gt;=Model!$B$11,Model!$B$20,0)-IF(13&lt;Model!$B$15,Model!$B$22,0))/(1-Model!$B$9)/(1+Model!$B$18)^13))</f>
        <v/>
      </c>
      <c r="AB53" s="7">
        <f>IF(A53="","",IF((A53+14)&gt;Model!$B$4,0,MAX(0,Model!$B$6-IF((A53+14)&gt;=Model!$B$11,Model!$B$20,0)-IF(14&lt;Model!$B$15,Model!$B$22,0))/(1-Model!$B$9)/(1+Model!$B$18)^14))</f>
        <v/>
      </c>
      <c r="AC53" s="7">
        <f>IF(A53="","",IF((A53+15)&gt;Model!$B$4,0,MAX(0,Model!$B$6-IF((A53+15)&gt;=Model!$B$11,Model!$B$20,0)-IF(15&lt;Model!$B$15,Model!$B$22,0))/(1-Model!$B$9)/(1+Model!$B$18)^15))</f>
        <v/>
      </c>
      <c r="AD53" s="7">
        <f>IF(A53="","",IF((A53+16)&gt;Model!$B$4,0,MAX(0,Model!$B$6-IF((A53+16)&gt;=Model!$B$11,Model!$B$20,0)-IF(16&lt;Model!$B$15,Model!$B$22,0))/(1-Model!$B$9)/(1+Model!$B$18)^16))</f>
        <v/>
      </c>
      <c r="AE53" s="7">
        <f>IF(A53="","",IF((A53+17)&gt;Model!$B$4,0,MAX(0,Model!$B$6-IF((A53+17)&gt;=Model!$B$11,Model!$B$20,0)-IF(17&lt;Model!$B$15,Model!$B$22,0))/(1-Model!$B$9)/(1+Model!$B$18)^17))</f>
        <v/>
      </c>
      <c r="AF53" s="7">
        <f>IF(A53="","",IF((A53+18)&gt;Model!$B$4,0,MAX(0,Model!$B$6-IF((A53+18)&gt;=Model!$B$11,Model!$B$20,0)-IF(18&lt;Model!$B$15,Model!$B$22,0))/(1-Model!$B$9)/(1+Model!$B$18)^18))</f>
        <v/>
      </c>
      <c r="AG53" s="7">
        <f>IF(A53="","",IF((A53+19)&gt;Model!$B$4,0,MAX(0,Model!$B$6-IF((A53+19)&gt;=Model!$B$11,Model!$B$20,0)-IF(19&lt;Model!$B$15,Model!$B$22,0))/(1-Model!$B$9)/(1+Model!$B$18)^19))</f>
        <v/>
      </c>
      <c r="AH53" s="7">
        <f>IF(A53="","",IF((A53+20)&gt;Model!$B$4,0,MAX(0,Model!$B$6-IF((A53+20)&gt;=Model!$B$11,Model!$B$20,0)-IF(20&lt;Model!$B$15,Model!$B$22,0))/(1-Model!$B$9)/(1+Model!$B$18)^20))</f>
        <v/>
      </c>
      <c r="AI53" s="7">
        <f>IF(A53="","",IF((A53+21)&gt;Model!$B$4,0,MAX(0,Model!$B$6-IF((A53+21)&gt;=Model!$B$11,Model!$B$20,0)-IF(21&lt;Model!$B$15,Model!$B$22,0))/(1-Model!$B$9)/(1+Model!$B$18)^21))</f>
        <v/>
      </c>
      <c r="AJ53" s="7">
        <f>IF(A53="","",IF((A53+22)&gt;Model!$B$4,0,MAX(0,Model!$B$6-IF((A53+22)&gt;=Model!$B$11,Model!$B$20,0)-IF(22&lt;Model!$B$15,Model!$B$22,0))/(1-Model!$B$9)/(1+Model!$B$18)^22))</f>
        <v/>
      </c>
      <c r="AK53" s="7">
        <f>IF(A53="","",IF((A53+23)&gt;Model!$B$4,0,MAX(0,Model!$B$6-IF((A53+23)&gt;=Model!$B$11,Model!$B$20,0)-IF(23&lt;Model!$B$15,Model!$B$22,0))/(1-Model!$B$9)/(1+Model!$B$18)^23))</f>
        <v/>
      </c>
      <c r="AL53" s="7">
        <f>IF(A53="","",IF((A53+24)&gt;Model!$B$4,0,MAX(0,Model!$B$6-IF((A53+24)&gt;=Model!$B$11,Model!$B$20,0)-IF(24&lt;Model!$B$15,Model!$B$22,0))/(1-Model!$B$9)/(1+Model!$B$18)^24))</f>
        <v/>
      </c>
      <c r="AM53" s="7">
        <f>IF(A53="","",IF((A53+25)&gt;Model!$B$4,0,MAX(0,Model!$B$6-IF((A53+25)&gt;=Model!$B$11,Model!$B$20,0)-IF(25&lt;Model!$B$15,Model!$B$22,0))/(1-Model!$B$9)/(1+Model!$B$18)^25))</f>
        <v/>
      </c>
      <c r="AN53" s="7">
        <f>IF(A53="","",IF((A53+26)&gt;Model!$B$4,0,MAX(0,Model!$B$6-IF((A53+26)&gt;=Model!$B$11,Model!$B$20,0)-IF(26&lt;Model!$B$15,Model!$B$22,0))/(1-Model!$B$9)/(1+Model!$B$18)^26))</f>
        <v/>
      </c>
      <c r="AO53" s="7">
        <f>IF(A53="","",IF((A53+27)&gt;Model!$B$4,0,MAX(0,Model!$B$6-IF((A53+27)&gt;=Model!$B$11,Model!$B$20,0)-IF(27&lt;Model!$B$15,Model!$B$22,0))/(1-Model!$B$9)/(1+Model!$B$18)^27))</f>
        <v/>
      </c>
      <c r="AP53" s="7">
        <f>IF(A53="","",IF((A53+28)&gt;Model!$B$4,0,MAX(0,Model!$B$6-IF((A53+28)&gt;=Model!$B$11,Model!$B$20,0)-IF(28&lt;Model!$B$15,Model!$B$22,0))/(1-Model!$B$9)/(1+Model!$B$18)^28))</f>
        <v/>
      </c>
      <c r="AQ53" s="7">
        <f>IF(A53="","",IF((A53+29)&gt;Model!$B$4,0,MAX(0,Model!$B$6-IF((A53+29)&gt;=Model!$B$11,Model!$B$20,0)-IF(29&lt;Model!$B$15,Model!$B$22,0))/(1-Model!$B$9)/(1+Model!$B$18)^29))</f>
        <v/>
      </c>
      <c r="AR53" s="7">
        <f>IF(A53="","",IF((A53+30)&gt;Model!$B$4,0,MAX(0,Model!$B$6-IF((A53+30)&gt;=Model!$B$11,Model!$B$20,0)-IF(30&lt;Model!$B$15,Model!$B$22,0))/(1-Model!$B$9)/(1+Model!$B$18)^30))</f>
        <v/>
      </c>
      <c r="AS53" s="7">
        <f>IF(A53="","",IF((A53+31)&gt;Model!$B$4,0,MAX(0,Model!$B$6-IF((A53+31)&gt;=Model!$B$11,Model!$B$20,0)-IF(31&lt;Model!$B$15,Model!$B$22,0))/(1-Model!$B$9)/(1+Model!$B$18)^31))</f>
        <v/>
      </c>
      <c r="AT53" s="7">
        <f>IF(A53="","",IF((A53+32)&gt;Model!$B$4,0,MAX(0,Model!$B$6-IF((A53+32)&gt;=Model!$B$11,Model!$B$20,0)-IF(32&lt;Model!$B$15,Model!$B$22,0))/(1-Model!$B$9)/(1+Model!$B$18)^32))</f>
        <v/>
      </c>
      <c r="AU53" s="7">
        <f>IF(A53="","",IF((A53+33)&gt;Model!$B$4,0,MAX(0,Model!$B$6-IF((A53+33)&gt;=Model!$B$11,Model!$B$20,0)-IF(33&lt;Model!$B$15,Model!$B$22,0))/(1-Model!$B$9)/(1+Model!$B$18)^33))</f>
        <v/>
      </c>
      <c r="AV53" s="7">
        <f>IF(A53="","",IF((A53+34)&gt;Model!$B$4,0,MAX(0,Model!$B$6-IF((A53+34)&gt;=Model!$B$11,Model!$B$20,0)-IF(34&lt;Model!$B$15,Model!$B$22,0))/(1-Model!$B$9)/(1+Model!$B$18)^34))</f>
        <v/>
      </c>
      <c r="AW53" s="7">
        <f>IF(A53="","",IF((A53+35)&gt;Model!$B$4,0,MAX(0,Model!$B$6-IF((A53+35)&gt;=Model!$B$11,Model!$B$20,0)-IF(35&lt;Model!$B$15,Model!$B$22,0))/(1-Model!$B$9)/(1+Model!$B$18)^35))</f>
        <v/>
      </c>
      <c r="AX53" s="7">
        <f>IF(A53="","",IF((A53+36)&gt;Model!$B$4,0,MAX(0,Model!$B$6-IF((A53+36)&gt;=Model!$B$11,Model!$B$20,0)-IF(36&lt;Model!$B$15,Model!$B$22,0))/(1-Model!$B$9)/(1+Model!$B$18)^36))</f>
        <v/>
      </c>
      <c r="AY53" s="7">
        <f>IF(A53="","",IF((A53+37)&gt;Model!$B$4,0,MAX(0,Model!$B$6-IF((A53+37)&gt;=Model!$B$11,Model!$B$20,0)-IF(37&lt;Model!$B$15,Model!$B$22,0))/(1-Model!$B$9)/(1+Model!$B$18)^37))</f>
        <v/>
      </c>
      <c r="AZ53" s="7">
        <f>IF(A53="","",IF((A53+38)&gt;Model!$B$4,0,MAX(0,Model!$B$6-IF((A53+38)&gt;=Model!$B$11,Model!$B$20,0)-IF(38&lt;Model!$B$15,Model!$B$22,0))/(1-Model!$B$9)/(1+Model!$B$18)^38))</f>
        <v/>
      </c>
      <c r="BA53" s="7">
        <f>IF(A53="","",IF((A53+39)&gt;Model!$B$4,0,MAX(0,Model!$B$6-IF((A53+39)&gt;=Model!$B$11,Model!$B$20,0)-IF(39&lt;Model!$B$15,Model!$B$22,0))/(1-Model!$B$9)/(1+Model!$B$18)^39))</f>
        <v/>
      </c>
      <c r="BB53" s="7">
        <f>IF(A53="","",IF((A53+40)&gt;Model!$B$4,0,MAX(0,Model!$B$6-IF((A53+40)&gt;=Model!$B$11,Model!$B$20,0)-IF(40&lt;Model!$B$15,Model!$B$22,0))/(1-Model!$B$9)/(1+Model!$B$18)^40))</f>
        <v/>
      </c>
      <c r="BC53" s="7">
        <f>IF(A53="","",IF((A53+41)&gt;Model!$B$4,0,MAX(0,Model!$B$6-IF((A53+41)&gt;=Model!$B$11,Model!$B$20,0)-IF(41&lt;Model!$B$15,Model!$B$22,0))/(1-Model!$B$9)/(1+Model!$B$18)^41))</f>
        <v/>
      </c>
      <c r="BD53" s="7">
        <f>IF(A53="","",IF((A53+42)&gt;Model!$B$4,0,MAX(0,Model!$B$6-IF((A53+42)&gt;=Model!$B$11,Model!$B$20,0)-IF(42&lt;Model!$B$15,Model!$B$22,0))/(1-Model!$B$9)/(1+Model!$B$18)^42))</f>
        <v/>
      </c>
      <c r="BE53" s="7">
        <f>IF(A53="","",IF((A53+43)&gt;Model!$B$4,0,MAX(0,Model!$B$6-IF((A53+43)&gt;=Model!$B$11,Model!$B$20,0)-IF(43&lt;Model!$B$15,Model!$B$22,0))/(1-Model!$B$9)/(1+Model!$B$18)^43))</f>
        <v/>
      </c>
      <c r="BF53" s="7">
        <f>IF(A53="","",IF((A53+44)&gt;Model!$B$4,0,MAX(0,Model!$B$6-IF((A53+44)&gt;=Model!$B$11,Model!$B$20,0)-IF(44&lt;Model!$B$15,Model!$B$22,0))/(1-Model!$B$9)/(1+Model!$B$18)^44))</f>
        <v/>
      </c>
      <c r="BG53" s="7">
        <f>IF(A53="","",IF((A53+45)&gt;Model!$B$4,0,MAX(0,Model!$B$6-IF((A53+45)&gt;=Model!$B$11,Model!$B$20,0)-IF(45&lt;Model!$B$15,Model!$B$22,0))/(1-Model!$B$9)/(1+Model!$B$18)^45))</f>
        <v/>
      </c>
      <c r="BH53" s="7">
        <f>IF(A53="","",IF((A53+46)&gt;Model!$B$4,0,MAX(0,Model!$B$6-IF((A53+46)&gt;=Model!$B$11,Model!$B$20,0)-IF(46&lt;Model!$B$15,Model!$B$22,0))/(1-Model!$B$9)/(1+Model!$B$18)^46))</f>
        <v/>
      </c>
      <c r="BI53" s="7">
        <f>IF(A53="","",IF((A53+47)&gt;Model!$B$4,0,MAX(0,Model!$B$6-IF((A53+47)&gt;=Model!$B$11,Model!$B$20,0)-IF(47&lt;Model!$B$15,Model!$B$22,0))/(1-Model!$B$9)/(1+Model!$B$18)^47))</f>
        <v/>
      </c>
      <c r="BJ53" s="7">
        <f>IF(A53="","",IF((A53+48)&gt;Model!$B$4,0,MAX(0,Model!$B$6-IF((A53+48)&gt;=Model!$B$11,Model!$B$20,0)-IF(48&lt;Model!$B$15,Model!$B$22,0))/(1-Model!$B$9)/(1+Model!$B$18)^48))</f>
        <v/>
      </c>
      <c r="BK53" s="7">
        <f>IF(A53="","",IF((A53+49)&gt;Model!$B$4,0,MAX(0,Model!$B$6-IF((A53+49)&gt;=Model!$B$11,Model!$B$20,0)-IF(49&lt;Model!$B$15,Model!$B$22,0))/(1-Model!$B$9)/(1+Model!$B$18)^49))</f>
        <v/>
      </c>
      <c r="BL53" s="7">
        <f>IF(A53="","",IF((A53+50)&gt;Model!$B$4,0,MAX(0,Model!$B$6-IF((A53+50)&gt;=Model!$B$11,Model!$B$20,0)-IF(50&lt;Model!$B$15,Model!$B$22,0))/(1-Model!$B$9)/(1+Model!$B$18)^50))</f>
        <v/>
      </c>
      <c r="BM53" s="7">
        <f>IF(A53="","",IF((A53+51)&gt;Model!$B$4,0,MAX(0,Model!$B$6-IF((A53+51)&gt;=Model!$B$11,Model!$B$20,0)-IF(51&lt;Model!$B$15,Model!$B$22,0))/(1-Model!$B$9)/(1+Model!$B$18)^51))</f>
        <v/>
      </c>
      <c r="BN53" s="7">
        <f>IF(A53="","",IF((A53+52)&gt;Model!$B$4,0,MAX(0,Model!$B$6-IF((A53+52)&gt;=Model!$B$11,Model!$B$20,0)-IF(52&lt;Model!$B$15,Model!$B$22,0))/(1-Model!$B$9)/(1+Model!$B$18)^52))</f>
        <v/>
      </c>
      <c r="BO53" s="7">
        <f>IF(A53="","",IF((A53+53)&gt;Model!$B$4,0,MAX(0,Model!$B$6-IF((A53+53)&gt;=Model!$B$11,Model!$B$20,0)-IF(53&lt;Model!$B$15,Model!$B$22,0))/(1-Model!$B$9)/(1+Model!$B$18)^53))</f>
        <v/>
      </c>
      <c r="BP53" s="7">
        <f>IF(A53="","",IF((A53+54)&gt;Model!$B$4,0,MAX(0,Model!$B$6-IF((A53+54)&gt;=Model!$B$11,Model!$B$20,0)-IF(54&lt;Model!$B$15,Model!$B$22,0))/(1-Model!$B$9)/(1+Model!$B$18)^54))</f>
        <v/>
      </c>
      <c r="BQ53" s="7">
        <f>IF(A53="","",IF((A53+55)&gt;Model!$B$4,0,MAX(0,Model!$B$6-IF((A53+55)&gt;=Model!$B$11,Model!$B$20,0)-IF(55&lt;Model!$B$15,Model!$B$22,0))/(1-Model!$B$9)/(1+Model!$B$18)^55))</f>
        <v/>
      </c>
      <c r="BR53" s="7">
        <f>IF(A53="","",IF((A53+56)&gt;Model!$B$4,0,MAX(0,Model!$B$6-IF((A53+56)&gt;=Model!$B$11,Model!$B$20,0)-IF(56&lt;Model!$B$15,Model!$B$22,0))/(1-Model!$B$9)/(1+Model!$B$18)^56))</f>
        <v/>
      </c>
      <c r="BS53" s="7">
        <f>IF(A53="","",IF((A53+57)&gt;Model!$B$4,0,MAX(0,Model!$B$6-IF((A53+57)&gt;=Model!$B$11,Model!$B$20,0)-IF(57&lt;Model!$B$15,Model!$B$22,0))/(1-Model!$B$9)/(1+Model!$B$18)^57))</f>
        <v/>
      </c>
      <c r="BT53" s="7">
        <f>IF(A53="","",IF((A53+58)&gt;Model!$B$4,0,MAX(0,Model!$B$6-IF((A53+58)&gt;=Model!$B$11,Model!$B$20,0)-IF(58&lt;Model!$B$15,Model!$B$22,0))/(1-Model!$B$9)/(1+Model!$B$18)^58))</f>
        <v/>
      </c>
      <c r="BU53" s="7">
        <f>IF(A53="","",IF((A53+59)&gt;Model!$B$4,0,MAX(0,Model!$B$6-IF((A53+59)&gt;=Model!$B$11,Model!$B$20,0)-IF(59&lt;Model!$B$15,Model!$B$22,0))/(1-Model!$B$9)/(1+Model!$B$18)^59))</f>
        <v/>
      </c>
      <c r="BV53" s="7">
        <f>IF(A53="","",IF((A53+60)&gt;Model!$B$4,0,MAX(0,Model!$B$6-IF((A53+60)&gt;=Model!$B$11,Model!$B$20,0)-IF(60&lt;Model!$B$15,Model!$B$22,0))/(1-Model!$B$9)/(1+Model!$B$18)^60))</f>
        <v/>
      </c>
      <c r="BW53" s="7">
        <f>IF(A53="","",IF((A53+61)&gt;Model!$B$4,0,MAX(0,Model!$B$6-IF((A53+61)&gt;=Model!$B$11,Model!$B$20,0)-IF(61&lt;Model!$B$15,Model!$B$22,0))/(1-Model!$B$9)/(1+Model!$B$18)^61))</f>
        <v/>
      </c>
      <c r="BX53" s="7">
        <f>IF(A53="","",IF((A53+62)&gt;Model!$B$4,0,MAX(0,Model!$B$6-IF((A53+62)&gt;=Model!$B$11,Model!$B$20,0)-IF(62&lt;Model!$B$15,Model!$B$22,0))/(1-Model!$B$9)/(1+Model!$B$18)^62))</f>
        <v/>
      </c>
      <c r="BY53" s="7">
        <f>IF(A53="","",IF((A53+63)&gt;Model!$B$4,0,MAX(0,Model!$B$6-IF((A53+63)&gt;=Model!$B$11,Model!$B$20,0)-IF(63&lt;Model!$B$15,Model!$B$22,0))/(1-Model!$B$9)/(1+Model!$B$18)^63))</f>
        <v/>
      </c>
      <c r="BZ53" s="7">
        <f>IF(A53="","",IF((A53+64)&gt;Model!$B$4,0,MAX(0,Model!$B$6-IF((A53+64)&gt;=Model!$B$11,Model!$B$20,0)-IF(64&lt;Model!$B$15,Model!$B$22,0))/(1-Model!$B$9)/(1+Model!$B$18)^64))</f>
        <v/>
      </c>
      <c r="CA53" s="7">
        <f>IF(A53="","",IF((A53+65)&gt;Model!$B$4,0,MAX(0,Model!$B$6-IF((A53+65)&gt;=Model!$B$11,Model!$B$20,0)-IF(65&lt;Model!$B$15,Model!$B$22,0))/(1-Model!$B$9)/(1+Model!$B$18)^65))</f>
        <v/>
      </c>
      <c r="CB53" s="7">
        <f>IF(A53="","",IF((A53+66)&gt;Model!$B$4,0,MAX(0,Model!$B$6-IF((A53+66)&gt;=Model!$B$11,Model!$B$20,0)-IF(66&lt;Model!$B$15,Model!$B$22,0))/(1-Model!$B$9)/(1+Model!$B$18)^66))</f>
        <v/>
      </c>
      <c r="CC53" s="7">
        <f>IF(A53="","",IF((A53+67)&gt;Model!$B$4,0,MAX(0,Model!$B$6-IF((A53+67)&gt;=Model!$B$11,Model!$B$20,0)-IF(67&lt;Model!$B$15,Model!$B$22,0))/(1-Model!$B$9)/(1+Model!$B$18)^67))</f>
        <v/>
      </c>
      <c r="CD53" s="7">
        <f>IF(A53="","",IF((A53+68)&gt;Model!$B$4,0,MAX(0,Model!$B$6-IF((A53+68)&gt;=Model!$B$11,Model!$B$20,0)-IF(68&lt;Model!$B$15,Model!$B$22,0))/(1-Model!$B$9)/(1+Model!$B$18)^68))</f>
        <v/>
      </c>
      <c r="CE53" s="7">
        <f>IF(A53="","",IF((A53+69)&gt;Model!$B$4,0,MAX(0,Model!$B$6-IF((A53+69)&gt;=Model!$B$11,Model!$B$20,0)-IF(69&lt;Model!$B$15,Model!$B$22,0))/(1-Model!$B$9)/(1+Model!$B$18)^69))</f>
        <v/>
      </c>
      <c r="CF53" s="7">
        <f>IF(A53="","",IF((A53+70)&gt;Model!$B$4,0,MAX(0,Model!$B$6-IF((A53+70)&gt;=Model!$B$11,Model!$B$20,0)-IF(70&lt;Model!$B$15,Model!$B$22,0))/(1-Model!$B$9)/(1+Model!$B$18)^70))</f>
        <v/>
      </c>
      <c r="CG53" s="7">
        <f>IF(A53="","",IF((A53+71)&gt;Model!$B$4,0,MAX(0,Model!$B$6-IF((A53+71)&gt;=Model!$B$11,Model!$B$20,0)-IF(71&lt;Model!$B$15,Model!$B$22,0))/(1-Model!$B$9)/(1+Model!$B$18)^71))</f>
        <v/>
      </c>
      <c r="CH53" s="7">
        <f>IF(A53="","",IF((A53+72)&gt;Model!$B$4,0,MAX(0,Model!$B$6-IF((A53+72)&gt;=Model!$B$11,Model!$B$20,0)-IF(72&lt;Model!$B$15,Model!$B$22,0))/(1-Model!$B$9)/(1+Model!$B$18)^72))</f>
        <v/>
      </c>
      <c r="CI53" s="7">
        <f>IF(A53="","",IF((A53+73)&gt;Model!$B$4,0,MAX(0,Model!$B$6-IF((A53+73)&gt;=Model!$B$11,Model!$B$20,0)-IF(73&lt;Model!$B$15,Model!$B$22,0))/(1-Model!$B$9)/(1+Model!$B$18)^73))</f>
        <v/>
      </c>
      <c r="CJ53" s="7">
        <f>IF(A53="","",IF((A53+74)&gt;Model!$B$4,0,MAX(0,Model!$B$6-IF((A53+74)&gt;=Model!$B$11,Model!$B$20,0)-IF(74&lt;Model!$B$15,Model!$B$22,0))/(1-Model!$B$9)/(1+Model!$B$18)^74))</f>
        <v/>
      </c>
      <c r="CK53" s="7">
        <f>IF(A53="","",IF((A53+75)&gt;Model!$B$4,0,MAX(0,Model!$B$6-IF((A53+75)&gt;=Model!$B$11,Model!$B$20,0)-IF(75&lt;Model!$B$15,Model!$B$22,0))/(1-Model!$B$9)/(1+Model!$B$18)^75))</f>
        <v/>
      </c>
      <c r="CL53" s="7">
        <f>IF(A53="","",IF((A53+76)&gt;Model!$B$4,0,MAX(0,Model!$B$6-IF((A53+76)&gt;=Model!$B$11,Model!$B$20,0)-IF(76&lt;Model!$B$15,Model!$B$22,0))/(1-Model!$B$9)/(1+Model!$B$18)^76))</f>
        <v/>
      </c>
      <c r="CM53" s="7">
        <f>IF(A53="","",IF((A53+77)&gt;Model!$B$4,0,MAX(0,Model!$B$6-IF((A53+77)&gt;=Model!$B$11,Model!$B$20,0)-IF(77&lt;Model!$B$15,Model!$B$22,0))/(1-Model!$B$9)/(1+Model!$B$18)^77))</f>
        <v/>
      </c>
      <c r="CN53" s="7">
        <f>IF(A53="","",IF((A53+78)&gt;Model!$B$4,0,MAX(0,Model!$B$6-IF((A53+78)&gt;=Model!$B$11,Model!$B$20,0)-IF(78&lt;Model!$B$15,Model!$B$22,0))/(1-Model!$B$9)/(1+Model!$B$18)^78))</f>
        <v/>
      </c>
      <c r="CO53" s="7">
        <f>IF(A53="","",IF((A53+79)&gt;Model!$B$4,0,MAX(0,Model!$B$6-IF((A53+79)&gt;=Model!$B$11,Model!$B$20,0)-IF(79&lt;Model!$B$15,Model!$B$22,0))/(1-Model!$B$9)/(1+Model!$B$18)^79))</f>
        <v/>
      </c>
      <c r="CP53" s="7">
        <f>IF(A53="","",IF((A53+80)&gt;Model!$B$4,0,MAX(0,Model!$B$6-IF((A53+80)&gt;=Model!$B$11,Model!$B$20,0)-IF(80&lt;Model!$B$15,Model!$B$22,0))/(1-Model!$B$9)/(1+Model!$B$18)^80))</f>
        <v/>
      </c>
      <c r="CQ53" s="7">
        <f>IF(A53="","",IF((A53+81)&gt;Model!$B$4,0,MAX(0,Model!$B$6-IF((A53+81)&gt;=Model!$B$11,Model!$B$20,0)-IF(81&lt;Model!$B$15,Model!$B$22,0))/(1-Model!$B$9)/(1+Model!$B$18)^81))</f>
        <v/>
      </c>
      <c r="CR53" s="7">
        <f>IF(A53="","",IF((A53+82)&gt;Model!$B$4,0,MAX(0,Model!$B$6-IF((A53+82)&gt;=Model!$B$11,Model!$B$20,0)-IF(82&lt;Model!$B$15,Model!$B$22,0))/(1-Model!$B$9)/(1+Model!$B$18)^82))</f>
        <v/>
      </c>
      <c r="CS53" s="7">
        <f>IF(A53="","",IF((A53+83)&gt;Model!$B$4,0,MAX(0,Model!$B$6-IF((A53+83)&gt;=Model!$B$11,Model!$B$20,0)-IF(83&lt;Model!$B$15,Model!$B$22,0))/(1-Model!$B$9)/(1+Model!$B$18)^83))</f>
        <v/>
      </c>
      <c r="CT53" s="7">
        <f>IF(A53="","",IF((A53+84)&gt;Model!$B$4,0,MAX(0,Model!$B$6-IF((A53+84)&gt;=Model!$B$11,Model!$B$20,0)-IF(84&lt;Model!$B$15,Model!$B$22,0))/(1-Model!$B$9)/(1+Model!$B$18)^84))</f>
        <v/>
      </c>
      <c r="CU53" s="7">
        <f>IF(A53="","",IF((A53+85)&gt;Model!$B$4,0,MAX(0,Model!$B$6-IF((A53+85)&gt;=Model!$B$11,Model!$B$20,0)-IF(85&lt;Model!$B$15,Model!$B$22,0))/(1-Model!$B$9)/(1+Model!$B$18)^85))</f>
        <v/>
      </c>
      <c r="CV53" s="7">
        <f>IF(A53="","",IF((A53+86)&gt;Model!$B$4,0,MAX(0,Model!$B$6-IF((A53+86)&gt;=Model!$B$11,Model!$B$20,0)-IF(86&lt;Model!$B$15,Model!$B$22,0))/(1-Model!$B$9)/(1+Model!$B$18)^86))</f>
        <v/>
      </c>
      <c r="CW53" s="7">
        <f>IF(A53="","",IF((A53+87)&gt;Model!$B$4,0,MAX(0,Model!$B$6-IF((A53+87)&gt;=Model!$B$11,Model!$B$20,0)-IF(87&lt;Model!$B$15,Model!$B$22,0))/(1-Model!$B$9)/(1+Model!$B$18)^87))</f>
        <v/>
      </c>
      <c r="CX53" s="7">
        <f>IF(A53="","",IF((A53+88)&gt;Model!$B$4,0,MAX(0,Model!$B$6-IF((A53+88)&gt;=Model!$B$11,Model!$B$20,0)-IF(88&lt;Model!$B$15,Model!$B$22,0))/(1-Model!$B$9)/(1+Model!$B$18)^88))</f>
        <v/>
      </c>
      <c r="CY53" s="7">
        <f>IF(A53="","",IF((A53+89)&gt;Model!$B$4,0,MAX(0,Model!$B$6-IF((A53+89)&gt;=Model!$B$11,Model!$B$20,0)-IF(89&lt;Model!$B$15,Model!$B$22,0))/(1-Model!$B$9)/(1+Model!$B$18)^89))</f>
        <v/>
      </c>
      <c r="CZ53" s="7">
        <f>IF(A53="","",IF((A53+90)&gt;Model!$B$4,0,MAX(0,Model!$B$6-IF((A53+90)&gt;=Model!$B$11,Model!$B$20,0)-IF(90&lt;Model!$B$15,Model!$B$22,0))/(1-Model!$B$9)/(1+Model!$B$18)^90))</f>
        <v/>
      </c>
      <c r="DA53" s="7">
        <f>IF(A53="","",IF((A53+91)&gt;Model!$B$4,0,MAX(0,Model!$B$6-IF((A53+91)&gt;=Model!$B$11,Model!$B$20,0)-IF(91&lt;Model!$B$15,Model!$B$22,0))/(1-Model!$B$9)/(1+Model!$B$18)^91))</f>
        <v/>
      </c>
      <c r="DB53" s="7">
        <f>IF(A53="","",IF((A53+92)&gt;Model!$B$4,0,MAX(0,Model!$B$6-IF((A53+92)&gt;=Model!$B$11,Model!$B$20,0)-IF(92&lt;Model!$B$15,Model!$B$22,0))/(1-Model!$B$9)/(1+Model!$B$18)^92))</f>
        <v/>
      </c>
      <c r="DC53" s="7">
        <f>IF(A53="","",IF((A53+93)&gt;Model!$B$4,0,MAX(0,Model!$B$6-IF((A53+93)&gt;=Model!$B$11,Model!$B$20,0)-IF(93&lt;Model!$B$15,Model!$B$22,0))/(1-Model!$B$9)/(1+Model!$B$18)^93))</f>
        <v/>
      </c>
      <c r="DD53" s="7">
        <f>IF(A53="","",IF((A53+94)&gt;Model!$B$4,0,MAX(0,Model!$B$6-IF((A53+94)&gt;=Model!$B$11,Model!$B$20,0)-IF(94&lt;Model!$B$15,Model!$B$22,0))/(1-Model!$B$9)/(1+Model!$B$18)^94))</f>
        <v/>
      </c>
      <c r="DE53" s="7">
        <f>IF(A53="","",IF((A53+95)&gt;Model!$B$4,0,MAX(0,Model!$B$6-IF((A53+95)&gt;=Model!$B$11,Model!$B$20,0)-IF(95&lt;Model!$B$15,Model!$B$22,0))/(1-Model!$B$9)/(1+Model!$B$18)^95))</f>
        <v/>
      </c>
      <c r="DF53" s="7">
        <f>IF(A53="","",IF((A53+96)&gt;Model!$B$4,0,MAX(0,Model!$B$6-IF((A53+96)&gt;=Model!$B$11,Model!$B$20,0)-IF(96&lt;Model!$B$15,Model!$B$22,0))/(1-Model!$B$9)/(1+Model!$B$18)^96))</f>
        <v/>
      </c>
      <c r="DG53" s="7">
        <f>IF(A53="","",IF((A53+97)&gt;Model!$B$4,0,MAX(0,Model!$B$6-IF((A53+97)&gt;=Model!$B$11,Model!$B$20,0)-IF(97&lt;Model!$B$15,Model!$B$22,0))/(1-Model!$B$9)/(1+Model!$B$18)^97))</f>
        <v/>
      </c>
      <c r="DH53" s="7">
        <f>IF(A53="","",IF((A53+98)&gt;Model!$B$4,0,MAX(0,Model!$B$6-IF((A53+98)&gt;=Model!$B$11,Model!$B$20,0)-IF(98&lt;Model!$B$15,Model!$B$22,0))/(1-Model!$B$9)/(1+Model!$B$18)^98))</f>
        <v/>
      </c>
      <c r="DI53" s="7">
        <f>IF(A53="","",IF((A53+99)&gt;Model!$B$4,0,MAX(0,Model!$B$6-IF((A53+99)&gt;=Model!$B$11,Model!$B$20,0)-IF(99&lt;Model!$B$15,Model!$B$22,0))/(1-Model!$B$9)/(1+Model!$B$18)^99))</f>
        <v/>
      </c>
      <c r="DJ53" s="7">
        <f>IF(A53="","",IF((A53+100)&gt;Model!$B$4,0,MAX(0,Model!$B$6-IF((A53+100)&gt;=Model!$B$11,Model!$B$20,0)-IF(100&lt;Model!$B$15,Model!$B$22,0))/(1-Model!$B$9)/(1+Model!$B$18)^100))</f>
        <v/>
      </c>
      <c r="DK53" s="7">
        <f>IF(A53="","",IF((A53+101)&gt;Model!$B$4,0,MAX(0,Model!$B$6-IF((A53+101)&gt;=Model!$B$11,Model!$B$20,0)-IF(101&lt;Model!$B$15,Model!$B$22,0))/(1-Model!$B$9)/(1+Model!$B$18)^101))</f>
        <v/>
      </c>
      <c r="DL53" s="7">
        <f>IF(A53="","",IF((A53+102)&gt;Model!$B$4,0,MAX(0,Model!$B$6-IF((A53+102)&gt;=Model!$B$11,Model!$B$20,0)-IF(102&lt;Model!$B$15,Model!$B$22,0))/(1-Model!$B$9)/(1+Model!$B$18)^102))</f>
        <v/>
      </c>
      <c r="DM53" s="7">
        <f>IF(A53="","",IF((A53+103)&gt;Model!$B$4,0,MAX(0,Model!$B$6-IF((A53+103)&gt;=Model!$B$11,Model!$B$20,0)-IF(103&lt;Model!$B$15,Model!$B$22,0))/(1-Model!$B$9)/(1+Model!$B$18)^103))</f>
        <v/>
      </c>
      <c r="DN53" s="7">
        <f>IF(A53="","",IF((A53+104)&gt;Model!$B$4,0,MAX(0,Model!$B$6-IF((A53+104)&gt;=Model!$B$11,Model!$B$20,0)-IF(104&lt;Model!$B$15,Model!$B$22,0))/(1-Model!$B$9)/(1+Model!$B$18)^104))</f>
        <v/>
      </c>
      <c r="DO53" s="7">
        <f>IF(A53="","",IF((A53+105)&gt;Model!$B$4,0,MAX(0,Model!$B$6-IF((A53+105)&gt;=Model!$B$11,Model!$B$20,0)-IF(105&lt;Model!$B$15,Model!$B$22,0))/(1-Model!$B$9)/(1+Model!$B$18)^105))</f>
        <v/>
      </c>
      <c r="DP53" s="7">
        <f>IF(A53="","",IF((A53+106)&gt;Model!$B$4,0,MAX(0,Model!$B$6-IF((A53+106)&gt;=Model!$B$11,Model!$B$20,0)-IF(106&lt;Model!$B$15,Model!$B$22,0))/(1-Model!$B$9)/(1+Model!$B$18)^106))</f>
        <v/>
      </c>
      <c r="DQ53" s="7">
        <f>IF(A53="","",IF((A53+107)&gt;Model!$B$4,0,MAX(0,Model!$B$6-IF((A53+107)&gt;=Model!$B$11,Model!$B$20,0)-IF(107&lt;Model!$B$15,Model!$B$22,0))/(1-Model!$B$9)/(1+Model!$B$18)^107))</f>
        <v/>
      </c>
      <c r="DR53" s="7">
        <f>IF(A53="","",IF((A53+108)&gt;Model!$B$4,0,MAX(0,Model!$B$6-IF((A53+108)&gt;=Model!$B$11,Model!$B$20,0)-IF(108&lt;Model!$B$15,Model!$B$22,0))/(1-Model!$B$9)/(1+Model!$B$18)^108))</f>
        <v/>
      </c>
      <c r="DS53" s="7">
        <f>IF(A53="","",IF((A53+109)&gt;Model!$B$4,0,MAX(0,Model!$B$6-IF((A53+109)&gt;=Model!$B$11,Model!$B$20,0)-IF(109&lt;Model!$B$15,Model!$B$22,0))/(1-Model!$B$9)/(1+Model!$B$18)^109))</f>
        <v/>
      </c>
      <c r="DT53" s="7">
        <f>IF(A53="","",IF((A53+110)&gt;Model!$B$4,0,MAX(0,Model!$B$6-IF((A53+110)&gt;=Model!$B$11,Model!$B$20,0)-IF(110&lt;Model!$B$15,Model!$B$22,0))/(1-Model!$B$9)/(1+Model!$B$18)^110))</f>
        <v/>
      </c>
      <c r="DU53" s="7">
        <f>IF(A53="","",IF((A53+111)&gt;Model!$B$4,0,MAX(0,Model!$B$6-IF((A53+111)&gt;=Model!$B$11,Model!$B$20,0)-IF(111&lt;Model!$B$15,Model!$B$22,0))/(1-Model!$B$9)/(1+Model!$B$18)^111))</f>
        <v/>
      </c>
      <c r="DV53" s="7">
        <f>IF(A53="","",IF((A53+112)&gt;Model!$B$4,0,MAX(0,Model!$B$6-IF((A53+112)&gt;=Model!$B$11,Model!$B$20,0)-IF(112&lt;Model!$B$15,Model!$B$22,0))/(1-Model!$B$9)/(1+Model!$B$18)^112))</f>
        <v/>
      </c>
      <c r="DW53" s="7">
        <f>IF(A53="","",IF((A53+113)&gt;Model!$B$4,0,MAX(0,Model!$B$6-IF((A53+113)&gt;=Model!$B$11,Model!$B$20,0)-IF(113&lt;Model!$B$15,Model!$B$22,0))/(1-Model!$B$9)/(1+Model!$B$18)^113))</f>
        <v/>
      </c>
      <c r="DX53" s="7">
        <f>IF(A53="","",IF((A53+114)&gt;Model!$B$4,0,MAX(0,Model!$B$6-IF((A53+114)&gt;=Model!$B$11,Model!$B$20,0)-IF(114&lt;Model!$B$15,Model!$B$22,0))/(1-Model!$B$9)/(1+Model!$B$18)^114))</f>
        <v/>
      </c>
      <c r="DY53" s="7">
        <f>IF(A53="","",IF((A53+115)&gt;Model!$B$4,0,MAX(0,Model!$B$6-IF((A53+115)&gt;=Model!$B$11,Model!$B$20,0)-IF(115&lt;Model!$B$15,Model!$B$22,0))/(1-Model!$B$9)/(1+Model!$B$18)^115))</f>
        <v/>
      </c>
      <c r="DZ53" s="7">
        <f>IF(A53="","",IF((A53+116)&gt;Model!$B$4,0,MAX(0,Model!$B$6-IF((A53+116)&gt;=Model!$B$11,Model!$B$20,0)-IF(116&lt;Model!$B$15,Model!$B$22,0))/(1-Model!$B$9)/(1+Model!$B$18)^116))</f>
        <v/>
      </c>
      <c r="EA53" s="7">
        <f>IF(A53="","",IF((A53+117)&gt;Model!$B$4,0,MAX(0,Model!$B$6-IF((A53+117)&gt;=Model!$B$11,Model!$B$20,0)-IF(117&lt;Model!$B$15,Model!$B$22,0))/(1-Model!$B$9)/(1+Model!$B$18)^117))</f>
        <v/>
      </c>
      <c r="EB53" s="7">
        <f>IF(A53="","",IF((A53+118)&gt;Model!$B$4,0,MAX(0,Model!$B$6-IF((A53+118)&gt;=Model!$B$11,Model!$B$20,0)-IF(118&lt;Model!$B$15,Model!$B$22,0))/(1-Model!$B$9)/(1+Model!$B$18)^118))</f>
        <v/>
      </c>
      <c r="EC53" s="7">
        <f>IF(A53="","",IF((A53+119)&gt;Model!$B$4,0,MAX(0,Model!$B$6-IF((A53+119)&gt;=Model!$B$11,Model!$B$20,0)-IF(119&lt;Model!$B$15,Model!$B$22,0))/(1-Model!$B$9)/(1+Model!$B$18)^119))</f>
        <v/>
      </c>
      <c r="ED53" s="7">
        <f>IF(A53="","",IF((A53+120)&gt;Model!$B$4,0,MAX(0,Model!$B$6-IF((A53+120)&gt;=Model!$B$11,Model!$B$20,0)-IF(120&lt;Model!$B$15,Model!$B$22,0))/(1-Model!$B$9)/(1+Model!$B$18)^120))</f>
        <v/>
      </c>
    </row>
    <row r="54">
      <c r="A54">
        <f>IF(Model!$B$10+ROW()-2&lt;=Model!$B$4,Model!$B$10+ROW()-2,"")</f>
        <v/>
      </c>
      <c r="B54">
        <f>IF(A54="","",A54-Model!$B$10)</f>
        <v/>
      </c>
      <c r="C54" s="7">
        <f>IF(A54="","",Model!$B$5*(1+Model!$B$18)^B54)</f>
        <v/>
      </c>
      <c r="D54" s="7">
        <f>IF(A54="","",SUM(N54:ED54))</f>
        <v/>
      </c>
      <c r="E54" s="7">
        <f>IF(A54="","",IF(A54&gt;=Model!$B$11,Model!$B$20,0))</f>
        <v/>
      </c>
      <c r="F54" s="7">
        <f>IF(A54="","",IF(Model!$B$15&gt;0,Model!$B$22,0))</f>
        <v/>
      </c>
      <c r="G54" s="7">
        <f>IF(A54="","",E54+F54)</f>
        <v/>
      </c>
      <c r="H54" s="7">
        <f>IF(A54="","",MAX(0,Model!$B$6-G54))</f>
        <v/>
      </c>
      <c r="I54" s="7">
        <f>IF(A54="","",H54/(1-Model!$B$9))</f>
        <v/>
      </c>
      <c r="J54" s="7">
        <f>IF(A54="","",C54-D54)</f>
        <v/>
      </c>
      <c r="K54">
        <f>IF(A54="","",C54&gt;=D54)</f>
        <v/>
      </c>
      <c r="L54" s="7">
        <f>IF(A54="","",IF(A54&gt;=Model!$B$11,Model!$B$19*(1+Model!$B$13)^B54,0))</f>
        <v/>
      </c>
      <c r="M54" s="7">
        <f>IF(A54="","",IF(Model!$B$15&gt;0,Model!$B$21*(1+Model!$B$13)^B54,0))</f>
        <v/>
      </c>
      <c r="N54" s="7">
        <f>IF(A54="","",IF((A54+0)&gt;Model!$B$4,0,MAX(0,Model!$B$6-IF((A54+0)&gt;=Model!$B$11,Model!$B$20,0)-IF(0&lt;Model!$B$15,Model!$B$22,0))/(1-Model!$B$9)/(1+Model!$B$18)^0))</f>
        <v/>
      </c>
      <c r="O54" s="7">
        <f>IF(A54="","",IF((A54+1)&gt;Model!$B$4,0,MAX(0,Model!$B$6-IF((A54+1)&gt;=Model!$B$11,Model!$B$20,0)-IF(1&lt;Model!$B$15,Model!$B$22,0))/(1-Model!$B$9)/(1+Model!$B$18)^1))</f>
        <v/>
      </c>
      <c r="P54" s="7">
        <f>IF(A54="","",IF((A54+2)&gt;Model!$B$4,0,MAX(0,Model!$B$6-IF((A54+2)&gt;=Model!$B$11,Model!$B$20,0)-IF(2&lt;Model!$B$15,Model!$B$22,0))/(1-Model!$B$9)/(1+Model!$B$18)^2))</f>
        <v/>
      </c>
      <c r="Q54" s="7">
        <f>IF(A54="","",IF((A54+3)&gt;Model!$B$4,0,MAX(0,Model!$B$6-IF((A54+3)&gt;=Model!$B$11,Model!$B$20,0)-IF(3&lt;Model!$B$15,Model!$B$22,0))/(1-Model!$B$9)/(1+Model!$B$18)^3))</f>
        <v/>
      </c>
      <c r="R54" s="7">
        <f>IF(A54="","",IF((A54+4)&gt;Model!$B$4,0,MAX(0,Model!$B$6-IF((A54+4)&gt;=Model!$B$11,Model!$B$20,0)-IF(4&lt;Model!$B$15,Model!$B$22,0))/(1-Model!$B$9)/(1+Model!$B$18)^4))</f>
        <v/>
      </c>
      <c r="S54" s="7">
        <f>IF(A54="","",IF((A54+5)&gt;Model!$B$4,0,MAX(0,Model!$B$6-IF((A54+5)&gt;=Model!$B$11,Model!$B$20,0)-IF(5&lt;Model!$B$15,Model!$B$22,0))/(1-Model!$B$9)/(1+Model!$B$18)^5))</f>
        <v/>
      </c>
      <c r="T54" s="7">
        <f>IF(A54="","",IF((A54+6)&gt;Model!$B$4,0,MAX(0,Model!$B$6-IF((A54+6)&gt;=Model!$B$11,Model!$B$20,0)-IF(6&lt;Model!$B$15,Model!$B$22,0))/(1-Model!$B$9)/(1+Model!$B$18)^6))</f>
        <v/>
      </c>
      <c r="U54" s="7">
        <f>IF(A54="","",IF((A54+7)&gt;Model!$B$4,0,MAX(0,Model!$B$6-IF((A54+7)&gt;=Model!$B$11,Model!$B$20,0)-IF(7&lt;Model!$B$15,Model!$B$22,0))/(1-Model!$B$9)/(1+Model!$B$18)^7))</f>
        <v/>
      </c>
      <c r="V54" s="7">
        <f>IF(A54="","",IF((A54+8)&gt;Model!$B$4,0,MAX(0,Model!$B$6-IF((A54+8)&gt;=Model!$B$11,Model!$B$20,0)-IF(8&lt;Model!$B$15,Model!$B$22,0))/(1-Model!$B$9)/(1+Model!$B$18)^8))</f>
        <v/>
      </c>
      <c r="W54" s="7">
        <f>IF(A54="","",IF((A54+9)&gt;Model!$B$4,0,MAX(0,Model!$B$6-IF((A54+9)&gt;=Model!$B$11,Model!$B$20,0)-IF(9&lt;Model!$B$15,Model!$B$22,0))/(1-Model!$B$9)/(1+Model!$B$18)^9))</f>
        <v/>
      </c>
      <c r="X54" s="7">
        <f>IF(A54="","",IF((A54+10)&gt;Model!$B$4,0,MAX(0,Model!$B$6-IF((A54+10)&gt;=Model!$B$11,Model!$B$20,0)-IF(10&lt;Model!$B$15,Model!$B$22,0))/(1-Model!$B$9)/(1+Model!$B$18)^10))</f>
        <v/>
      </c>
      <c r="Y54" s="7">
        <f>IF(A54="","",IF((A54+11)&gt;Model!$B$4,0,MAX(0,Model!$B$6-IF((A54+11)&gt;=Model!$B$11,Model!$B$20,0)-IF(11&lt;Model!$B$15,Model!$B$22,0))/(1-Model!$B$9)/(1+Model!$B$18)^11))</f>
        <v/>
      </c>
      <c r="Z54" s="7">
        <f>IF(A54="","",IF((A54+12)&gt;Model!$B$4,0,MAX(0,Model!$B$6-IF((A54+12)&gt;=Model!$B$11,Model!$B$20,0)-IF(12&lt;Model!$B$15,Model!$B$22,0))/(1-Model!$B$9)/(1+Model!$B$18)^12))</f>
        <v/>
      </c>
      <c r="AA54" s="7">
        <f>IF(A54="","",IF((A54+13)&gt;Model!$B$4,0,MAX(0,Model!$B$6-IF((A54+13)&gt;=Model!$B$11,Model!$B$20,0)-IF(13&lt;Model!$B$15,Model!$B$22,0))/(1-Model!$B$9)/(1+Model!$B$18)^13))</f>
        <v/>
      </c>
      <c r="AB54" s="7">
        <f>IF(A54="","",IF((A54+14)&gt;Model!$B$4,0,MAX(0,Model!$B$6-IF((A54+14)&gt;=Model!$B$11,Model!$B$20,0)-IF(14&lt;Model!$B$15,Model!$B$22,0))/(1-Model!$B$9)/(1+Model!$B$18)^14))</f>
        <v/>
      </c>
      <c r="AC54" s="7">
        <f>IF(A54="","",IF((A54+15)&gt;Model!$B$4,0,MAX(0,Model!$B$6-IF((A54+15)&gt;=Model!$B$11,Model!$B$20,0)-IF(15&lt;Model!$B$15,Model!$B$22,0))/(1-Model!$B$9)/(1+Model!$B$18)^15))</f>
        <v/>
      </c>
      <c r="AD54" s="7">
        <f>IF(A54="","",IF((A54+16)&gt;Model!$B$4,0,MAX(0,Model!$B$6-IF((A54+16)&gt;=Model!$B$11,Model!$B$20,0)-IF(16&lt;Model!$B$15,Model!$B$22,0))/(1-Model!$B$9)/(1+Model!$B$18)^16))</f>
        <v/>
      </c>
      <c r="AE54" s="7">
        <f>IF(A54="","",IF((A54+17)&gt;Model!$B$4,0,MAX(0,Model!$B$6-IF((A54+17)&gt;=Model!$B$11,Model!$B$20,0)-IF(17&lt;Model!$B$15,Model!$B$22,0))/(1-Model!$B$9)/(1+Model!$B$18)^17))</f>
        <v/>
      </c>
      <c r="AF54" s="7">
        <f>IF(A54="","",IF((A54+18)&gt;Model!$B$4,0,MAX(0,Model!$B$6-IF((A54+18)&gt;=Model!$B$11,Model!$B$20,0)-IF(18&lt;Model!$B$15,Model!$B$22,0))/(1-Model!$B$9)/(1+Model!$B$18)^18))</f>
        <v/>
      </c>
      <c r="AG54" s="7">
        <f>IF(A54="","",IF((A54+19)&gt;Model!$B$4,0,MAX(0,Model!$B$6-IF((A54+19)&gt;=Model!$B$11,Model!$B$20,0)-IF(19&lt;Model!$B$15,Model!$B$22,0))/(1-Model!$B$9)/(1+Model!$B$18)^19))</f>
        <v/>
      </c>
      <c r="AH54" s="7">
        <f>IF(A54="","",IF((A54+20)&gt;Model!$B$4,0,MAX(0,Model!$B$6-IF((A54+20)&gt;=Model!$B$11,Model!$B$20,0)-IF(20&lt;Model!$B$15,Model!$B$22,0))/(1-Model!$B$9)/(1+Model!$B$18)^20))</f>
        <v/>
      </c>
      <c r="AI54" s="7">
        <f>IF(A54="","",IF((A54+21)&gt;Model!$B$4,0,MAX(0,Model!$B$6-IF((A54+21)&gt;=Model!$B$11,Model!$B$20,0)-IF(21&lt;Model!$B$15,Model!$B$22,0))/(1-Model!$B$9)/(1+Model!$B$18)^21))</f>
        <v/>
      </c>
      <c r="AJ54" s="7">
        <f>IF(A54="","",IF((A54+22)&gt;Model!$B$4,0,MAX(0,Model!$B$6-IF((A54+22)&gt;=Model!$B$11,Model!$B$20,0)-IF(22&lt;Model!$B$15,Model!$B$22,0))/(1-Model!$B$9)/(1+Model!$B$18)^22))</f>
        <v/>
      </c>
      <c r="AK54" s="7">
        <f>IF(A54="","",IF((A54+23)&gt;Model!$B$4,0,MAX(0,Model!$B$6-IF((A54+23)&gt;=Model!$B$11,Model!$B$20,0)-IF(23&lt;Model!$B$15,Model!$B$22,0))/(1-Model!$B$9)/(1+Model!$B$18)^23))</f>
        <v/>
      </c>
      <c r="AL54" s="7">
        <f>IF(A54="","",IF((A54+24)&gt;Model!$B$4,0,MAX(0,Model!$B$6-IF((A54+24)&gt;=Model!$B$11,Model!$B$20,0)-IF(24&lt;Model!$B$15,Model!$B$22,0))/(1-Model!$B$9)/(1+Model!$B$18)^24))</f>
        <v/>
      </c>
      <c r="AM54" s="7">
        <f>IF(A54="","",IF((A54+25)&gt;Model!$B$4,0,MAX(0,Model!$B$6-IF((A54+25)&gt;=Model!$B$11,Model!$B$20,0)-IF(25&lt;Model!$B$15,Model!$B$22,0))/(1-Model!$B$9)/(1+Model!$B$18)^25))</f>
        <v/>
      </c>
      <c r="AN54" s="7">
        <f>IF(A54="","",IF((A54+26)&gt;Model!$B$4,0,MAX(0,Model!$B$6-IF((A54+26)&gt;=Model!$B$11,Model!$B$20,0)-IF(26&lt;Model!$B$15,Model!$B$22,0))/(1-Model!$B$9)/(1+Model!$B$18)^26))</f>
        <v/>
      </c>
      <c r="AO54" s="7">
        <f>IF(A54="","",IF((A54+27)&gt;Model!$B$4,0,MAX(0,Model!$B$6-IF((A54+27)&gt;=Model!$B$11,Model!$B$20,0)-IF(27&lt;Model!$B$15,Model!$B$22,0))/(1-Model!$B$9)/(1+Model!$B$18)^27))</f>
        <v/>
      </c>
      <c r="AP54" s="7">
        <f>IF(A54="","",IF((A54+28)&gt;Model!$B$4,0,MAX(0,Model!$B$6-IF((A54+28)&gt;=Model!$B$11,Model!$B$20,0)-IF(28&lt;Model!$B$15,Model!$B$22,0))/(1-Model!$B$9)/(1+Model!$B$18)^28))</f>
        <v/>
      </c>
      <c r="AQ54" s="7">
        <f>IF(A54="","",IF((A54+29)&gt;Model!$B$4,0,MAX(0,Model!$B$6-IF((A54+29)&gt;=Model!$B$11,Model!$B$20,0)-IF(29&lt;Model!$B$15,Model!$B$22,0))/(1-Model!$B$9)/(1+Model!$B$18)^29))</f>
        <v/>
      </c>
      <c r="AR54" s="7">
        <f>IF(A54="","",IF((A54+30)&gt;Model!$B$4,0,MAX(0,Model!$B$6-IF((A54+30)&gt;=Model!$B$11,Model!$B$20,0)-IF(30&lt;Model!$B$15,Model!$B$22,0))/(1-Model!$B$9)/(1+Model!$B$18)^30))</f>
        <v/>
      </c>
      <c r="AS54" s="7">
        <f>IF(A54="","",IF((A54+31)&gt;Model!$B$4,0,MAX(0,Model!$B$6-IF((A54+31)&gt;=Model!$B$11,Model!$B$20,0)-IF(31&lt;Model!$B$15,Model!$B$22,0))/(1-Model!$B$9)/(1+Model!$B$18)^31))</f>
        <v/>
      </c>
      <c r="AT54" s="7">
        <f>IF(A54="","",IF((A54+32)&gt;Model!$B$4,0,MAX(0,Model!$B$6-IF((A54+32)&gt;=Model!$B$11,Model!$B$20,0)-IF(32&lt;Model!$B$15,Model!$B$22,0))/(1-Model!$B$9)/(1+Model!$B$18)^32))</f>
        <v/>
      </c>
      <c r="AU54" s="7">
        <f>IF(A54="","",IF((A54+33)&gt;Model!$B$4,0,MAX(0,Model!$B$6-IF((A54+33)&gt;=Model!$B$11,Model!$B$20,0)-IF(33&lt;Model!$B$15,Model!$B$22,0))/(1-Model!$B$9)/(1+Model!$B$18)^33))</f>
        <v/>
      </c>
      <c r="AV54" s="7">
        <f>IF(A54="","",IF((A54+34)&gt;Model!$B$4,0,MAX(0,Model!$B$6-IF((A54+34)&gt;=Model!$B$11,Model!$B$20,0)-IF(34&lt;Model!$B$15,Model!$B$22,0))/(1-Model!$B$9)/(1+Model!$B$18)^34))</f>
        <v/>
      </c>
      <c r="AW54" s="7">
        <f>IF(A54="","",IF((A54+35)&gt;Model!$B$4,0,MAX(0,Model!$B$6-IF((A54+35)&gt;=Model!$B$11,Model!$B$20,0)-IF(35&lt;Model!$B$15,Model!$B$22,0))/(1-Model!$B$9)/(1+Model!$B$18)^35))</f>
        <v/>
      </c>
      <c r="AX54" s="7">
        <f>IF(A54="","",IF((A54+36)&gt;Model!$B$4,0,MAX(0,Model!$B$6-IF((A54+36)&gt;=Model!$B$11,Model!$B$20,0)-IF(36&lt;Model!$B$15,Model!$B$22,0))/(1-Model!$B$9)/(1+Model!$B$18)^36))</f>
        <v/>
      </c>
      <c r="AY54" s="7">
        <f>IF(A54="","",IF((A54+37)&gt;Model!$B$4,0,MAX(0,Model!$B$6-IF((A54+37)&gt;=Model!$B$11,Model!$B$20,0)-IF(37&lt;Model!$B$15,Model!$B$22,0))/(1-Model!$B$9)/(1+Model!$B$18)^37))</f>
        <v/>
      </c>
      <c r="AZ54" s="7">
        <f>IF(A54="","",IF((A54+38)&gt;Model!$B$4,0,MAX(0,Model!$B$6-IF((A54+38)&gt;=Model!$B$11,Model!$B$20,0)-IF(38&lt;Model!$B$15,Model!$B$22,0))/(1-Model!$B$9)/(1+Model!$B$18)^38))</f>
        <v/>
      </c>
      <c r="BA54" s="7">
        <f>IF(A54="","",IF((A54+39)&gt;Model!$B$4,0,MAX(0,Model!$B$6-IF((A54+39)&gt;=Model!$B$11,Model!$B$20,0)-IF(39&lt;Model!$B$15,Model!$B$22,0))/(1-Model!$B$9)/(1+Model!$B$18)^39))</f>
        <v/>
      </c>
      <c r="BB54" s="7">
        <f>IF(A54="","",IF((A54+40)&gt;Model!$B$4,0,MAX(0,Model!$B$6-IF((A54+40)&gt;=Model!$B$11,Model!$B$20,0)-IF(40&lt;Model!$B$15,Model!$B$22,0))/(1-Model!$B$9)/(1+Model!$B$18)^40))</f>
        <v/>
      </c>
      <c r="BC54" s="7">
        <f>IF(A54="","",IF((A54+41)&gt;Model!$B$4,0,MAX(0,Model!$B$6-IF((A54+41)&gt;=Model!$B$11,Model!$B$20,0)-IF(41&lt;Model!$B$15,Model!$B$22,0))/(1-Model!$B$9)/(1+Model!$B$18)^41))</f>
        <v/>
      </c>
      <c r="BD54" s="7">
        <f>IF(A54="","",IF((A54+42)&gt;Model!$B$4,0,MAX(0,Model!$B$6-IF((A54+42)&gt;=Model!$B$11,Model!$B$20,0)-IF(42&lt;Model!$B$15,Model!$B$22,0))/(1-Model!$B$9)/(1+Model!$B$18)^42))</f>
        <v/>
      </c>
      <c r="BE54" s="7">
        <f>IF(A54="","",IF((A54+43)&gt;Model!$B$4,0,MAX(0,Model!$B$6-IF((A54+43)&gt;=Model!$B$11,Model!$B$20,0)-IF(43&lt;Model!$B$15,Model!$B$22,0))/(1-Model!$B$9)/(1+Model!$B$18)^43))</f>
        <v/>
      </c>
      <c r="BF54" s="7">
        <f>IF(A54="","",IF((A54+44)&gt;Model!$B$4,0,MAX(0,Model!$B$6-IF((A54+44)&gt;=Model!$B$11,Model!$B$20,0)-IF(44&lt;Model!$B$15,Model!$B$22,0))/(1-Model!$B$9)/(1+Model!$B$18)^44))</f>
        <v/>
      </c>
      <c r="BG54" s="7">
        <f>IF(A54="","",IF((A54+45)&gt;Model!$B$4,0,MAX(0,Model!$B$6-IF((A54+45)&gt;=Model!$B$11,Model!$B$20,0)-IF(45&lt;Model!$B$15,Model!$B$22,0))/(1-Model!$B$9)/(1+Model!$B$18)^45))</f>
        <v/>
      </c>
      <c r="BH54" s="7">
        <f>IF(A54="","",IF((A54+46)&gt;Model!$B$4,0,MAX(0,Model!$B$6-IF((A54+46)&gt;=Model!$B$11,Model!$B$20,0)-IF(46&lt;Model!$B$15,Model!$B$22,0))/(1-Model!$B$9)/(1+Model!$B$18)^46))</f>
        <v/>
      </c>
      <c r="BI54" s="7">
        <f>IF(A54="","",IF((A54+47)&gt;Model!$B$4,0,MAX(0,Model!$B$6-IF((A54+47)&gt;=Model!$B$11,Model!$B$20,0)-IF(47&lt;Model!$B$15,Model!$B$22,0))/(1-Model!$B$9)/(1+Model!$B$18)^47))</f>
        <v/>
      </c>
      <c r="BJ54" s="7">
        <f>IF(A54="","",IF((A54+48)&gt;Model!$B$4,0,MAX(0,Model!$B$6-IF((A54+48)&gt;=Model!$B$11,Model!$B$20,0)-IF(48&lt;Model!$B$15,Model!$B$22,0))/(1-Model!$B$9)/(1+Model!$B$18)^48))</f>
        <v/>
      </c>
      <c r="BK54" s="7">
        <f>IF(A54="","",IF((A54+49)&gt;Model!$B$4,0,MAX(0,Model!$B$6-IF((A54+49)&gt;=Model!$B$11,Model!$B$20,0)-IF(49&lt;Model!$B$15,Model!$B$22,0))/(1-Model!$B$9)/(1+Model!$B$18)^49))</f>
        <v/>
      </c>
      <c r="BL54" s="7">
        <f>IF(A54="","",IF((A54+50)&gt;Model!$B$4,0,MAX(0,Model!$B$6-IF((A54+50)&gt;=Model!$B$11,Model!$B$20,0)-IF(50&lt;Model!$B$15,Model!$B$22,0))/(1-Model!$B$9)/(1+Model!$B$18)^50))</f>
        <v/>
      </c>
      <c r="BM54" s="7">
        <f>IF(A54="","",IF((A54+51)&gt;Model!$B$4,0,MAX(0,Model!$B$6-IF((A54+51)&gt;=Model!$B$11,Model!$B$20,0)-IF(51&lt;Model!$B$15,Model!$B$22,0))/(1-Model!$B$9)/(1+Model!$B$18)^51))</f>
        <v/>
      </c>
      <c r="BN54" s="7">
        <f>IF(A54="","",IF((A54+52)&gt;Model!$B$4,0,MAX(0,Model!$B$6-IF((A54+52)&gt;=Model!$B$11,Model!$B$20,0)-IF(52&lt;Model!$B$15,Model!$B$22,0))/(1-Model!$B$9)/(1+Model!$B$18)^52))</f>
        <v/>
      </c>
      <c r="BO54" s="7">
        <f>IF(A54="","",IF((A54+53)&gt;Model!$B$4,0,MAX(0,Model!$B$6-IF((A54+53)&gt;=Model!$B$11,Model!$B$20,0)-IF(53&lt;Model!$B$15,Model!$B$22,0))/(1-Model!$B$9)/(1+Model!$B$18)^53))</f>
        <v/>
      </c>
      <c r="BP54" s="7">
        <f>IF(A54="","",IF((A54+54)&gt;Model!$B$4,0,MAX(0,Model!$B$6-IF((A54+54)&gt;=Model!$B$11,Model!$B$20,0)-IF(54&lt;Model!$B$15,Model!$B$22,0))/(1-Model!$B$9)/(1+Model!$B$18)^54))</f>
        <v/>
      </c>
      <c r="BQ54" s="7">
        <f>IF(A54="","",IF((A54+55)&gt;Model!$B$4,0,MAX(0,Model!$B$6-IF((A54+55)&gt;=Model!$B$11,Model!$B$20,0)-IF(55&lt;Model!$B$15,Model!$B$22,0))/(1-Model!$B$9)/(1+Model!$B$18)^55))</f>
        <v/>
      </c>
      <c r="BR54" s="7">
        <f>IF(A54="","",IF((A54+56)&gt;Model!$B$4,0,MAX(0,Model!$B$6-IF((A54+56)&gt;=Model!$B$11,Model!$B$20,0)-IF(56&lt;Model!$B$15,Model!$B$22,0))/(1-Model!$B$9)/(1+Model!$B$18)^56))</f>
        <v/>
      </c>
      <c r="BS54" s="7">
        <f>IF(A54="","",IF((A54+57)&gt;Model!$B$4,0,MAX(0,Model!$B$6-IF((A54+57)&gt;=Model!$B$11,Model!$B$20,0)-IF(57&lt;Model!$B$15,Model!$B$22,0))/(1-Model!$B$9)/(1+Model!$B$18)^57))</f>
        <v/>
      </c>
      <c r="BT54" s="7">
        <f>IF(A54="","",IF((A54+58)&gt;Model!$B$4,0,MAX(0,Model!$B$6-IF((A54+58)&gt;=Model!$B$11,Model!$B$20,0)-IF(58&lt;Model!$B$15,Model!$B$22,0))/(1-Model!$B$9)/(1+Model!$B$18)^58))</f>
        <v/>
      </c>
      <c r="BU54" s="7">
        <f>IF(A54="","",IF((A54+59)&gt;Model!$B$4,0,MAX(0,Model!$B$6-IF((A54+59)&gt;=Model!$B$11,Model!$B$20,0)-IF(59&lt;Model!$B$15,Model!$B$22,0))/(1-Model!$B$9)/(1+Model!$B$18)^59))</f>
        <v/>
      </c>
      <c r="BV54" s="7">
        <f>IF(A54="","",IF((A54+60)&gt;Model!$B$4,0,MAX(0,Model!$B$6-IF((A54+60)&gt;=Model!$B$11,Model!$B$20,0)-IF(60&lt;Model!$B$15,Model!$B$22,0))/(1-Model!$B$9)/(1+Model!$B$18)^60))</f>
        <v/>
      </c>
      <c r="BW54" s="7">
        <f>IF(A54="","",IF((A54+61)&gt;Model!$B$4,0,MAX(0,Model!$B$6-IF((A54+61)&gt;=Model!$B$11,Model!$B$20,0)-IF(61&lt;Model!$B$15,Model!$B$22,0))/(1-Model!$B$9)/(1+Model!$B$18)^61))</f>
        <v/>
      </c>
      <c r="BX54" s="7">
        <f>IF(A54="","",IF((A54+62)&gt;Model!$B$4,0,MAX(0,Model!$B$6-IF((A54+62)&gt;=Model!$B$11,Model!$B$20,0)-IF(62&lt;Model!$B$15,Model!$B$22,0))/(1-Model!$B$9)/(1+Model!$B$18)^62))</f>
        <v/>
      </c>
      <c r="BY54" s="7">
        <f>IF(A54="","",IF((A54+63)&gt;Model!$B$4,0,MAX(0,Model!$B$6-IF((A54+63)&gt;=Model!$B$11,Model!$B$20,0)-IF(63&lt;Model!$B$15,Model!$B$22,0))/(1-Model!$B$9)/(1+Model!$B$18)^63))</f>
        <v/>
      </c>
      <c r="BZ54" s="7">
        <f>IF(A54="","",IF((A54+64)&gt;Model!$B$4,0,MAX(0,Model!$B$6-IF((A54+64)&gt;=Model!$B$11,Model!$B$20,0)-IF(64&lt;Model!$B$15,Model!$B$22,0))/(1-Model!$B$9)/(1+Model!$B$18)^64))</f>
        <v/>
      </c>
      <c r="CA54" s="7">
        <f>IF(A54="","",IF((A54+65)&gt;Model!$B$4,0,MAX(0,Model!$B$6-IF((A54+65)&gt;=Model!$B$11,Model!$B$20,0)-IF(65&lt;Model!$B$15,Model!$B$22,0))/(1-Model!$B$9)/(1+Model!$B$18)^65))</f>
        <v/>
      </c>
      <c r="CB54" s="7">
        <f>IF(A54="","",IF((A54+66)&gt;Model!$B$4,0,MAX(0,Model!$B$6-IF((A54+66)&gt;=Model!$B$11,Model!$B$20,0)-IF(66&lt;Model!$B$15,Model!$B$22,0))/(1-Model!$B$9)/(1+Model!$B$18)^66))</f>
        <v/>
      </c>
      <c r="CC54" s="7">
        <f>IF(A54="","",IF((A54+67)&gt;Model!$B$4,0,MAX(0,Model!$B$6-IF((A54+67)&gt;=Model!$B$11,Model!$B$20,0)-IF(67&lt;Model!$B$15,Model!$B$22,0))/(1-Model!$B$9)/(1+Model!$B$18)^67))</f>
        <v/>
      </c>
      <c r="CD54" s="7">
        <f>IF(A54="","",IF((A54+68)&gt;Model!$B$4,0,MAX(0,Model!$B$6-IF((A54+68)&gt;=Model!$B$11,Model!$B$20,0)-IF(68&lt;Model!$B$15,Model!$B$22,0))/(1-Model!$B$9)/(1+Model!$B$18)^68))</f>
        <v/>
      </c>
      <c r="CE54" s="7">
        <f>IF(A54="","",IF((A54+69)&gt;Model!$B$4,0,MAX(0,Model!$B$6-IF((A54+69)&gt;=Model!$B$11,Model!$B$20,0)-IF(69&lt;Model!$B$15,Model!$B$22,0))/(1-Model!$B$9)/(1+Model!$B$18)^69))</f>
        <v/>
      </c>
      <c r="CF54" s="7">
        <f>IF(A54="","",IF((A54+70)&gt;Model!$B$4,0,MAX(0,Model!$B$6-IF((A54+70)&gt;=Model!$B$11,Model!$B$20,0)-IF(70&lt;Model!$B$15,Model!$B$22,0))/(1-Model!$B$9)/(1+Model!$B$18)^70))</f>
        <v/>
      </c>
      <c r="CG54" s="7">
        <f>IF(A54="","",IF((A54+71)&gt;Model!$B$4,0,MAX(0,Model!$B$6-IF((A54+71)&gt;=Model!$B$11,Model!$B$20,0)-IF(71&lt;Model!$B$15,Model!$B$22,0))/(1-Model!$B$9)/(1+Model!$B$18)^71))</f>
        <v/>
      </c>
      <c r="CH54" s="7">
        <f>IF(A54="","",IF((A54+72)&gt;Model!$B$4,0,MAX(0,Model!$B$6-IF((A54+72)&gt;=Model!$B$11,Model!$B$20,0)-IF(72&lt;Model!$B$15,Model!$B$22,0))/(1-Model!$B$9)/(1+Model!$B$18)^72))</f>
        <v/>
      </c>
      <c r="CI54" s="7">
        <f>IF(A54="","",IF((A54+73)&gt;Model!$B$4,0,MAX(0,Model!$B$6-IF((A54+73)&gt;=Model!$B$11,Model!$B$20,0)-IF(73&lt;Model!$B$15,Model!$B$22,0))/(1-Model!$B$9)/(1+Model!$B$18)^73))</f>
        <v/>
      </c>
      <c r="CJ54" s="7">
        <f>IF(A54="","",IF((A54+74)&gt;Model!$B$4,0,MAX(0,Model!$B$6-IF((A54+74)&gt;=Model!$B$11,Model!$B$20,0)-IF(74&lt;Model!$B$15,Model!$B$22,0))/(1-Model!$B$9)/(1+Model!$B$18)^74))</f>
        <v/>
      </c>
      <c r="CK54" s="7">
        <f>IF(A54="","",IF((A54+75)&gt;Model!$B$4,0,MAX(0,Model!$B$6-IF((A54+75)&gt;=Model!$B$11,Model!$B$20,0)-IF(75&lt;Model!$B$15,Model!$B$22,0))/(1-Model!$B$9)/(1+Model!$B$18)^75))</f>
        <v/>
      </c>
      <c r="CL54" s="7">
        <f>IF(A54="","",IF((A54+76)&gt;Model!$B$4,0,MAX(0,Model!$B$6-IF((A54+76)&gt;=Model!$B$11,Model!$B$20,0)-IF(76&lt;Model!$B$15,Model!$B$22,0))/(1-Model!$B$9)/(1+Model!$B$18)^76))</f>
        <v/>
      </c>
      <c r="CM54" s="7">
        <f>IF(A54="","",IF((A54+77)&gt;Model!$B$4,0,MAX(0,Model!$B$6-IF((A54+77)&gt;=Model!$B$11,Model!$B$20,0)-IF(77&lt;Model!$B$15,Model!$B$22,0))/(1-Model!$B$9)/(1+Model!$B$18)^77))</f>
        <v/>
      </c>
      <c r="CN54" s="7">
        <f>IF(A54="","",IF((A54+78)&gt;Model!$B$4,0,MAX(0,Model!$B$6-IF((A54+78)&gt;=Model!$B$11,Model!$B$20,0)-IF(78&lt;Model!$B$15,Model!$B$22,0))/(1-Model!$B$9)/(1+Model!$B$18)^78))</f>
        <v/>
      </c>
      <c r="CO54" s="7">
        <f>IF(A54="","",IF((A54+79)&gt;Model!$B$4,0,MAX(0,Model!$B$6-IF((A54+79)&gt;=Model!$B$11,Model!$B$20,0)-IF(79&lt;Model!$B$15,Model!$B$22,0))/(1-Model!$B$9)/(1+Model!$B$18)^79))</f>
        <v/>
      </c>
      <c r="CP54" s="7">
        <f>IF(A54="","",IF((A54+80)&gt;Model!$B$4,0,MAX(0,Model!$B$6-IF((A54+80)&gt;=Model!$B$11,Model!$B$20,0)-IF(80&lt;Model!$B$15,Model!$B$22,0))/(1-Model!$B$9)/(1+Model!$B$18)^80))</f>
        <v/>
      </c>
      <c r="CQ54" s="7">
        <f>IF(A54="","",IF((A54+81)&gt;Model!$B$4,0,MAX(0,Model!$B$6-IF((A54+81)&gt;=Model!$B$11,Model!$B$20,0)-IF(81&lt;Model!$B$15,Model!$B$22,0))/(1-Model!$B$9)/(1+Model!$B$18)^81))</f>
        <v/>
      </c>
      <c r="CR54" s="7">
        <f>IF(A54="","",IF((A54+82)&gt;Model!$B$4,0,MAX(0,Model!$B$6-IF((A54+82)&gt;=Model!$B$11,Model!$B$20,0)-IF(82&lt;Model!$B$15,Model!$B$22,0))/(1-Model!$B$9)/(1+Model!$B$18)^82))</f>
        <v/>
      </c>
      <c r="CS54" s="7">
        <f>IF(A54="","",IF((A54+83)&gt;Model!$B$4,0,MAX(0,Model!$B$6-IF((A54+83)&gt;=Model!$B$11,Model!$B$20,0)-IF(83&lt;Model!$B$15,Model!$B$22,0))/(1-Model!$B$9)/(1+Model!$B$18)^83))</f>
        <v/>
      </c>
      <c r="CT54" s="7">
        <f>IF(A54="","",IF((A54+84)&gt;Model!$B$4,0,MAX(0,Model!$B$6-IF((A54+84)&gt;=Model!$B$11,Model!$B$20,0)-IF(84&lt;Model!$B$15,Model!$B$22,0))/(1-Model!$B$9)/(1+Model!$B$18)^84))</f>
        <v/>
      </c>
      <c r="CU54" s="7">
        <f>IF(A54="","",IF((A54+85)&gt;Model!$B$4,0,MAX(0,Model!$B$6-IF((A54+85)&gt;=Model!$B$11,Model!$B$20,0)-IF(85&lt;Model!$B$15,Model!$B$22,0))/(1-Model!$B$9)/(1+Model!$B$18)^85))</f>
        <v/>
      </c>
      <c r="CV54" s="7">
        <f>IF(A54="","",IF((A54+86)&gt;Model!$B$4,0,MAX(0,Model!$B$6-IF((A54+86)&gt;=Model!$B$11,Model!$B$20,0)-IF(86&lt;Model!$B$15,Model!$B$22,0))/(1-Model!$B$9)/(1+Model!$B$18)^86))</f>
        <v/>
      </c>
      <c r="CW54" s="7">
        <f>IF(A54="","",IF((A54+87)&gt;Model!$B$4,0,MAX(0,Model!$B$6-IF((A54+87)&gt;=Model!$B$11,Model!$B$20,0)-IF(87&lt;Model!$B$15,Model!$B$22,0))/(1-Model!$B$9)/(1+Model!$B$18)^87))</f>
        <v/>
      </c>
      <c r="CX54" s="7">
        <f>IF(A54="","",IF((A54+88)&gt;Model!$B$4,0,MAX(0,Model!$B$6-IF((A54+88)&gt;=Model!$B$11,Model!$B$20,0)-IF(88&lt;Model!$B$15,Model!$B$22,0))/(1-Model!$B$9)/(1+Model!$B$18)^88))</f>
        <v/>
      </c>
      <c r="CY54" s="7">
        <f>IF(A54="","",IF((A54+89)&gt;Model!$B$4,0,MAX(0,Model!$B$6-IF((A54+89)&gt;=Model!$B$11,Model!$B$20,0)-IF(89&lt;Model!$B$15,Model!$B$22,0))/(1-Model!$B$9)/(1+Model!$B$18)^89))</f>
        <v/>
      </c>
      <c r="CZ54" s="7">
        <f>IF(A54="","",IF((A54+90)&gt;Model!$B$4,0,MAX(0,Model!$B$6-IF((A54+90)&gt;=Model!$B$11,Model!$B$20,0)-IF(90&lt;Model!$B$15,Model!$B$22,0))/(1-Model!$B$9)/(1+Model!$B$18)^90))</f>
        <v/>
      </c>
      <c r="DA54" s="7">
        <f>IF(A54="","",IF((A54+91)&gt;Model!$B$4,0,MAX(0,Model!$B$6-IF((A54+91)&gt;=Model!$B$11,Model!$B$20,0)-IF(91&lt;Model!$B$15,Model!$B$22,0))/(1-Model!$B$9)/(1+Model!$B$18)^91))</f>
        <v/>
      </c>
      <c r="DB54" s="7">
        <f>IF(A54="","",IF((A54+92)&gt;Model!$B$4,0,MAX(0,Model!$B$6-IF((A54+92)&gt;=Model!$B$11,Model!$B$20,0)-IF(92&lt;Model!$B$15,Model!$B$22,0))/(1-Model!$B$9)/(1+Model!$B$18)^92))</f>
        <v/>
      </c>
      <c r="DC54" s="7">
        <f>IF(A54="","",IF((A54+93)&gt;Model!$B$4,0,MAX(0,Model!$B$6-IF((A54+93)&gt;=Model!$B$11,Model!$B$20,0)-IF(93&lt;Model!$B$15,Model!$B$22,0))/(1-Model!$B$9)/(1+Model!$B$18)^93))</f>
        <v/>
      </c>
      <c r="DD54" s="7">
        <f>IF(A54="","",IF((A54+94)&gt;Model!$B$4,0,MAX(0,Model!$B$6-IF((A54+94)&gt;=Model!$B$11,Model!$B$20,0)-IF(94&lt;Model!$B$15,Model!$B$22,0))/(1-Model!$B$9)/(1+Model!$B$18)^94))</f>
        <v/>
      </c>
      <c r="DE54" s="7">
        <f>IF(A54="","",IF((A54+95)&gt;Model!$B$4,0,MAX(0,Model!$B$6-IF((A54+95)&gt;=Model!$B$11,Model!$B$20,0)-IF(95&lt;Model!$B$15,Model!$B$22,0))/(1-Model!$B$9)/(1+Model!$B$18)^95))</f>
        <v/>
      </c>
      <c r="DF54" s="7">
        <f>IF(A54="","",IF((A54+96)&gt;Model!$B$4,0,MAX(0,Model!$B$6-IF((A54+96)&gt;=Model!$B$11,Model!$B$20,0)-IF(96&lt;Model!$B$15,Model!$B$22,0))/(1-Model!$B$9)/(1+Model!$B$18)^96))</f>
        <v/>
      </c>
      <c r="DG54" s="7">
        <f>IF(A54="","",IF((A54+97)&gt;Model!$B$4,0,MAX(0,Model!$B$6-IF((A54+97)&gt;=Model!$B$11,Model!$B$20,0)-IF(97&lt;Model!$B$15,Model!$B$22,0))/(1-Model!$B$9)/(1+Model!$B$18)^97))</f>
        <v/>
      </c>
      <c r="DH54" s="7">
        <f>IF(A54="","",IF((A54+98)&gt;Model!$B$4,0,MAX(0,Model!$B$6-IF((A54+98)&gt;=Model!$B$11,Model!$B$20,0)-IF(98&lt;Model!$B$15,Model!$B$22,0))/(1-Model!$B$9)/(1+Model!$B$18)^98))</f>
        <v/>
      </c>
      <c r="DI54" s="7">
        <f>IF(A54="","",IF((A54+99)&gt;Model!$B$4,0,MAX(0,Model!$B$6-IF((A54+99)&gt;=Model!$B$11,Model!$B$20,0)-IF(99&lt;Model!$B$15,Model!$B$22,0))/(1-Model!$B$9)/(1+Model!$B$18)^99))</f>
        <v/>
      </c>
      <c r="DJ54" s="7">
        <f>IF(A54="","",IF((A54+100)&gt;Model!$B$4,0,MAX(0,Model!$B$6-IF((A54+100)&gt;=Model!$B$11,Model!$B$20,0)-IF(100&lt;Model!$B$15,Model!$B$22,0))/(1-Model!$B$9)/(1+Model!$B$18)^100))</f>
        <v/>
      </c>
      <c r="DK54" s="7">
        <f>IF(A54="","",IF((A54+101)&gt;Model!$B$4,0,MAX(0,Model!$B$6-IF((A54+101)&gt;=Model!$B$11,Model!$B$20,0)-IF(101&lt;Model!$B$15,Model!$B$22,0))/(1-Model!$B$9)/(1+Model!$B$18)^101))</f>
        <v/>
      </c>
      <c r="DL54" s="7">
        <f>IF(A54="","",IF((A54+102)&gt;Model!$B$4,0,MAX(0,Model!$B$6-IF((A54+102)&gt;=Model!$B$11,Model!$B$20,0)-IF(102&lt;Model!$B$15,Model!$B$22,0))/(1-Model!$B$9)/(1+Model!$B$18)^102))</f>
        <v/>
      </c>
      <c r="DM54" s="7">
        <f>IF(A54="","",IF((A54+103)&gt;Model!$B$4,0,MAX(0,Model!$B$6-IF((A54+103)&gt;=Model!$B$11,Model!$B$20,0)-IF(103&lt;Model!$B$15,Model!$B$22,0))/(1-Model!$B$9)/(1+Model!$B$18)^103))</f>
        <v/>
      </c>
      <c r="DN54" s="7">
        <f>IF(A54="","",IF((A54+104)&gt;Model!$B$4,0,MAX(0,Model!$B$6-IF((A54+104)&gt;=Model!$B$11,Model!$B$20,0)-IF(104&lt;Model!$B$15,Model!$B$22,0))/(1-Model!$B$9)/(1+Model!$B$18)^104))</f>
        <v/>
      </c>
      <c r="DO54" s="7">
        <f>IF(A54="","",IF((A54+105)&gt;Model!$B$4,0,MAX(0,Model!$B$6-IF((A54+105)&gt;=Model!$B$11,Model!$B$20,0)-IF(105&lt;Model!$B$15,Model!$B$22,0))/(1-Model!$B$9)/(1+Model!$B$18)^105))</f>
        <v/>
      </c>
      <c r="DP54" s="7">
        <f>IF(A54="","",IF((A54+106)&gt;Model!$B$4,0,MAX(0,Model!$B$6-IF((A54+106)&gt;=Model!$B$11,Model!$B$20,0)-IF(106&lt;Model!$B$15,Model!$B$22,0))/(1-Model!$B$9)/(1+Model!$B$18)^106))</f>
        <v/>
      </c>
      <c r="DQ54" s="7">
        <f>IF(A54="","",IF((A54+107)&gt;Model!$B$4,0,MAX(0,Model!$B$6-IF((A54+107)&gt;=Model!$B$11,Model!$B$20,0)-IF(107&lt;Model!$B$15,Model!$B$22,0))/(1-Model!$B$9)/(1+Model!$B$18)^107))</f>
        <v/>
      </c>
      <c r="DR54" s="7">
        <f>IF(A54="","",IF((A54+108)&gt;Model!$B$4,0,MAX(0,Model!$B$6-IF((A54+108)&gt;=Model!$B$11,Model!$B$20,0)-IF(108&lt;Model!$B$15,Model!$B$22,0))/(1-Model!$B$9)/(1+Model!$B$18)^108))</f>
        <v/>
      </c>
      <c r="DS54" s="7">
        <f>IF(A54="","",IF((A54+109)&gt;Model!$B$4,0,MAX(0,Model!$B$6-IF((A54+109)&gt;=Model!$B$11,Model!$B$20,0)-IF(109&lt;Model!$B$15,Model!$B$22,0))/(1-Model!$B$9)/(1+Model!$B$18)^109))</f>
        <v/>
      </c>
      <c r="DT54" s="7">
        <f>IF(A54="","",IF((A54+110)&gt;Model!$B$4,0,MAX(0,Model!$B$6-IF((A54+110)&gt;=Model!$B$11,Model!$B$20,0)-IF(110&lt;Model!$B$15,Model!$B$22,0))/(1-Model!$B$9)/(1+Model!$B$18)^110))</f>
        <v/>
      </c>
      <c r="DU54" s="7">
        <f>IF(A54="","",IF((A54+111)&gt;Model!$B$4,0,MAX(0,Model!$B$6-IF((A54+111)&gt;=Model!$B$11,Model!$B$20,0)-IF(111&lt;Model!$B$15,Model!$B$22,0))/(1-Model!$B$9)/(1+Model!$B$18)^111))</f>
        <v/>
      </c>
      <c r="DV54" s="7">
        <f>IF(A54="","",IF((A54+112)&gt;Model!$B$4,0,MAX(0,Model!$B$6-IF((A54+112)&gt;=Model!$B$11,Model!$B$20,0)-IF(112&lt;Model!$B$15,Model!$B$22,0))/(1-Model!$B$9)/(1+Model!$B$18)^112))</f>
        <v/>
      </c>
      <c r="DW54" s="7">
        <f>IF(A54="","",IF((A54+113)&gt;Model!$B$4,0,MAX(0,Model!$B$6-IF((A54+113)&gt;=Model!$B$11,Model!$B$20,0)-IF(113&lt;Model!$B$15,Model!$B$22,0))/(1-Model!$B$9)/(1+Model!$B$18)^113))</f>
        <v/>
      </c>
      <c r="DX54" s="7">
        <f>IF(A54="","",IF((A54+114)&gt;Model!$B$4,0,MAX(0,Model!$B$6-IF((A54+114)&gt;=Model!$B$11,Model!$B$20,0)-IF(114&lt;Model!$B$15,Model!$B$22,0))/(1-Model!$B$9)/(1+Model!$B$18)^114))</f>
        <v/>
      </c>
      <c r="DY54" s="7">
        <f>IF(A54="","",IF((A54+115)&gt;Model!$B$4,0,MAX(0,Model!$B$6-IF((A54+115)&gt;=Model!$B$11,Model!$B$20,0)-IF(115&lt;Model!$B$15,Model!$B$22,0))/(1-Model!$B$9)/(1+Model!$B$18)^115))</f>
        <v/>
      </c>
      <c r="DZ54" s="7">
        <f>IF(A54="","",IF((A54+116)&gt;Model!$B$4,0,MAX(0,Model!$B$6-IF((A54+116)&gt;=Model!$B$11,Model!$B$20,0)-IF(116&lt;Model!$B$15,Model!$B$22,0))/(1-Model!$B$9)/(1+Model!$B$18)^116))</f>
        <v/>
      </c>
      <c r="EA54" s="7">
        <f>IF(A54="","",IF((A54+117)&gt;Model!$B$4,0,MAX(0,Model!$B$6-IF((A54+117)&gt;=Model!$B$11,Model!$B$20,0)-IF(117&lt;Model!$B$15,Model!$B$22,0))/(1-Model!$B$9)/(1+Model!$B$18)^117))</f>
        <v/>
      </c>
      <c r="EB54" s="7">
        <f>IF(A54="","",IF((A54+118)&gt;Model!$B$4,0,MAX(0,Model!$B$6-IF((A54+118)&gt;=Model!$B$11,Model!$B$20,0)-IF(118&lt;Model!$B$15,Model!$B$22,0))/(1-Model!$B$9)/(1+Model!$B$18)^118))</f>
        <v/>
      </c>
      <c r="EC54" s="7">
        <f>IF(A54="","",IF((A54+119)&gt;Model!$B$4,0,MAX(0,Model!$B$6-IF((A54+119)&gt;=Model!$B$11,Model!$B$20,0)-IF(119&lt;Model!$B$15,Model!$B$22,0))/(1-Model!$B$9)/(1+Model!$B$18)^119))</f>
        <v/>
      </c>
      <c r="ED54" s="7">
        <f>IF(A54="","",IF((A54+120)&gt;Model!$B$4,0,MAX(0,Model!$B$6-IF((A54+120)&gt;=Model!$B$11,Model!$B$20,0)-IF(120&lt;Model!$B$15,Model!$B$22,0))/(1-Model!$B$9)/(1+Model!$B$18)^120))</f>
        <v/>
      </c>
    </row>
    <row r="55">
      <c r="A55">
        <f>IF(Model!$B$10+ROW()-2&lt;=Model!$B$4,Model!$B$10+ROW()-2,"")</f>
        <v/>
      </c>
      <c r="B55">
        <f>IF(A55="","",A55-Model!$B$10)</f>
        <v/>
      </c>
      <c r="C55" s="7">
        <f>IF(A55="","",Model!$B$5*(1+Model!$B$18)^B55)</f>
        <v/>
      </c>
      <c r="D55" s="7">
        <f>IF(A55="","",SUM(N55:ED55))</f>
        <v/>
      </c>
      <c r="E55" s="7">
        <f>IF(A55="","",IF(A55&gt;=Model!$B$11,Model!$B$20,0))</f>
        <v/>
      </c>
      <c r="F55" s="7">
        <f>IF(A55="","",IF(Model!$B$15&gt;0,Model!$B$22,0))</f>
        <v/>
      </c>
      <c r="G55" s="7">
        <f>IF(A55="","",E55+F55)</f>
        <v/>
      </c>
      <c r="H55" s="7">
        <f>IF(A55="","",MAX(0,Model!$B$6-G55))</f>
        <v/>
      </c>
      <c r="I55" s="7">
        <f>IF(A55="","",H55/(1-Model!$B$9))</f>
        <v/>
      </c>
      <c r="J55" s="7">
        <f>IF(A55="","",C55-D55)</f>
        <v/>
      </c>
      <c r="K55">
        <f>IF(A55="","",C55&gt;=D55)</f>
        <v/>
      </c>
      <c r="L55" s="7">
        <f>IF(A55="","",IF(A55&gt;=Model!$B$11,Model!$B$19*(1+Model!$B$13)^B55,0))</f>
        <v/>
      </c>
      <c r="M55" s="7">
        <f>IF(A55="","",IF(Model!$B$15&gt;0,Model!$B$21*(1+Model!$B$13)^B55,0))</f>
        <v/>
      </c>
      <c r="N55" s="7">
        <f>IF(A55="","",IF((A55+0)&gt;Model!$B$4,0,MAX(0,Model!$B$6-IF((A55+0)&gt;=Model!$B$11,Model!$B$20,0)-IF(0&lt;Model!$B$15,Model!$B$22,0))/(1-Model!$B$9)/(1+Model!$B$18)^0))</f>
        <v/>
      </c>
      <c r="O55" s="7">
        <f>IF(A55="","",IF((A55+1)&gt;Model!$B$4,0,MAX(0,Model!$B$6-IF((A55+1)&gt;=Model!$B$11,Model!$B$20,0)-IF(1&lt;Model!$B$15,Model!$B$22,0))/(1-Model!$B$9)/(1+Model!$B$18)^1))</f>
        <v/>
      </c>
      <c r="P55" s="7">
        <f>IF(A55="","",IF((A55+2)&gt;Model!$B$4,0,MAX(0,Model!$B$6-IF((A55+2)&gt;=Model!$B$11,Model!$B$20,0)-IF(2&lt;Model!$B$15,Model!$B$22,0))/(1-Model!$B$9)/(1+Model!$B$18)^2))</f>
        <v/>
      </c>
      <c r="Q55" s="7">
        <f>IF(A55="","",IF((A55+3)&gt;Model!$B$4,0,MAX(0,Model!$B$6-IF((A55+3)&gt;=Model!$B$11,Model!$B$20,0)-IF(3&lt;Model!$B$15,Model!$B$22,0))/(1-Model!$B$9)/(1+Model!$B$18)^3))</f>
        <v/>
      </c>
      <c r="R55" s="7">
        <f>IF(A55="","",IF((A55+4)&gt;Model!$B$4,0,MAX(0,Model!$B$6-IF((A55+4)&gt;=Model!$B$11,Model!$B$20,0)-IF(4&lt;Model!$B$15,Model!$B$22,0))/(1-Model!$B$9)/(1+Model!$B$18)^4))</f>
        <v/>
      </c>
      <c r="S55" s="7">
        <f>IF(A55="","",IF((A55+5)&gt;Model!$B$4,0,MAX(0,Model!$B$6-IF((A55+5)&gt;=Model!$B$11,Model!$B$20,0)-IF(5&lt;Model!$B$15,Model!$B$22,0))/(1-Model!$B$9)/(1+Model!$B$18)^5))</f>
        <v/>
      </c>
      <c r="T55" s="7">
        <f>IF(A55="","",IF((A55+6)&gt;Model!$B$4,0,MAX(0,Model!$B$6-IF((A55+6)&gt;=Model!$B$11,Model!$B$20,0)-IF(6&lt;Model!$B$15,Model!$B$22,0))/(1-Model!$B$9)/(1+Model!$B$18)^6))</f>
        <v/>
      </c>
      <c r="U55" s="7">
        <f>IF(A55="","",IF((A55+7)&gt;Model!$B$4,0,MAX(0,Model!$B$6-IF((A55+7)&gt;=Model!$B$11,Model!$B$20,0)-IF(7&lt;Model!$B$15,Model!$B$22,0))/(1-Model!$B$9)/(1+Model!$B$18)^7))</f>
        <v/>
      </c>
      <c r="V55" s="7">
        <f>IF(A55="","",IF((A55+8)&gt;Model!$B$4,0,MAX(0,Model!$B$6-IF((A55+8)&gt;=Model!$B$11,Model!$B$20,0)-IF(8&lt;Model!$B$15,Model!$B$22,0))/(1-Model!$B$9)/(1+Model!$B$18)^8))</f>
        <v/>
      </c>
      <c r="W55" s="7">
        <f>IF(A55="","",IF((A55+9)&gt;Model!$B$4,0,MAX(0,Model!$B$6-IF((A55+9)&gt;=Model!$B$11,Model!$B$20,0)-IF(9&lt;Model!$B$15,Model!$B$22,0))/(1-Model!$B$9)/(1+Model!$B$18)^9))</f>
        <v/>
      </c>
      <c r="X55" s="7">
        <f>IF(A55="","",IF((A55+10)&gt;Model!$B$4,0,MAX(0,Model!$B$6-IF((A55+10)&gt;=Model!$B$11,Model!$B$20,0)-IF(10&lt;Model!$B$15,Model!$B$22,0))/(1-Model!$B$9)/(1+Model!$B$18)^10))</f>
        <v/>
      </c>
      <c r="Y55" s="7">
        <f>IF(A55="","",IF((A55+11)&gt;Model!$B$4,0,MAX(0,Model!$B$6-IF((A55+11)&gt;=Model!$B$11,Model!$B$20,0)-IF(11&lt;Model!$B$15,Model!$B$22,0))/(1-Model!$B$9)/(1+Model!$B$18)^11))</f>
        <v/>
      </c>
      <c r="Z55" s="7">
        <f>IF(A55="","",IF((A55+12)&gt;Model!$B$4,0,MAX(0,Model!$B$6-IF((A55+12)&gt;=Model!$B$11,Model!$B$20,0)-IF(12&lt;Model!$B$15,Model!$B$22,0))/(1-Model!$B$9)/(1+Model!$B$18)^12))</f>
        <v/>
      </c>
      <c r="AA55" s="7">
        <f>IF(A55="","",IF((A55+13)&gt;Model!$B$4,0,MAX(0,Model!$B$6-IF((A55+13)&gt;=Model!$B$11,Model!$B$20,0)-IF(13&lt;Model!$B$15,Model!$B$22,0))/(1-Model!$B$9)/(1+Model!$B$18)^13))</f>
        <v/>
      </c>
      <c r="AB55" s="7">
        <f>IF(A55="","",IF((A55+14)&gt;Model!$B$4,0,MAX(0,Model!$B$6-IF((A55+14)&gt;=Model!$B$11,Model!$B$20,0)-IF(14&lt;Model!$B$15,Model!$B$22,0))/(1-Model!$B$9)/(1+Model!$B$18)^14))</f>
        <v/>
      </c>
      <c r="AC55" s="7">
        <f>IF(A55="","",IF((A55+15)&gt;Model!$B$4,0,MAX(0,Model!$B$6-IF((A55+15)&gt;=Model!$B$11,Model!$B$20,0)-IF(15&lt;Model!$B$15,Model!$B$22,0))/(1-Model!$B$9)/(1+Model!$B$18)^15))</f>
        <v/>
      </c>
      <c r="AD55" s="7">
        <f>IF(A55="","",IF((A55+16)&gt;Model!$B$4,0,MAX(0,Model!$B$6-IF((A55+16)&gt;=Model!$B$11,Model!$B$20,0)-IF(16&lt;Model!$B$15,Model!$B$22,0))/(1-Model!$B$9)/(1+Model!$B$18)^16))</f>
        <v/>
      </c>
      <c r="AE55" s="7">
        <f>IF(A55="","",IF((A55+17)&gt;Model!$B$4,0,MAX(0,Model!$B$6-IF((A55+17)&gt;=Model!$B$11,Model!$B$20,0)-IF(17&lt;Model!$B$15,Model!$B$22,0))/(1-Model!$B$9)/(1+Model!$B$18)^17))</f>
        <v/>
      </c>
      <c r="AF55" s="7">
        <f>IF(A55="","",IF((A55+18)&gt;Model!$B$4,0,MAX(0,Model!$B$6-IF((A55+18)&gt;=Model!$B$11,Model!$B$20,0)-IF(18&lt;Model!$B$15,Model!$B$22,0))/(1-Model!$B$9)/(1+Model!$B$18)^18))</f>
        <v/>
      </c>
      <c r="AG55" s="7">
        <f>IF(A55="","",IF((A55+19)&gt;Model!$B$4,0,MAX(0,Model!$B$6-IF((A55+19)&gt;=Model!$B$11,Model!$B$20,0)-IF(19&lt;Model!$B$15,Model!$B$22,0))/(1-Model!$B$9)/(1+Model!$B$18)^19))</f>
        <v/>
      </c>
      <c r="AH55" s="7">
        <f>IF(A55="","",IF((A55+20)&gt;Model!$B$4,0,MAX(0,Model!$B$6-IF((A55+20)&gt;=Model!$B$11,Model!$B$20,0)-IF(20&lt;Model!$B$15,Model!$B$22,0))/(1-Model!$B$9)/(1+Model!$B$18)^20))</f>
        <v/>
      </c>
      <c r="AI55" s="7">
        <f>IF(A55="","",IF((A55+21)&gt;Model!$B$4,0,MAX(0,Model!$B$6-IF((A55+21)&gt;=Model!$B$11,Model!$B$20,0)-IF(21&lt;Model!$B$15,Model!$B$22,0))/(1-Model!$B$9)/(1+Model!$B$18)^21))</f>
        <v/>
      </c>
      <c r="AJ55" s="7">
        <f>IF(A55="","",IF((A55+22)&gt;Model!$B$4,0,MAX(0,Model!$B$6-IF((A55+22)&gt;=Model!$B$11,Model!$B$20,0)-IF(22&lt;Model!$B$15,Model!$B$22,0))/(1-Model!$B$9)/(1+Model!$B$18)^22))</f>
        <v/>
      </c>
      <c r="AK55" s="7">
        <f>IF(A55="","",IF((A55+23)&gt;Model!$B$4,0,MAX(0,Model!$B$6-IF((A55+23)&gt;=Model!$B$11,Model!$B$20,0)-IF(23&lt;Model!$B$15,Model!$B$22,0))/(1-Model!$B$9)/(1+Model!$B$18)^23))</f>
        <v/>
      </c>
      <c r="AL55" s="7">
        <f>IF(A55="","",IF((A55+24)&gt;Model!$B$4,0,MAX(0,Model!$B$6-IF((A55+24)&gt;=Model!$B$11,Model!$B$20,0)-IF(24&lt;Model!$B$15,Model!$B$22,0))/(1-Model!$B$9)/(1+Model!$B$18)^24))</f>
        <v/>
      </c>
      <c r="AM55" s="7">
        <f>IF(A55="","",IF((A55+25)&gt;Model!$B$4,0,MAX(0,Model!$B$6-IF((A55+25)&gt;=Model!$B$11,Model!$B$20,0)-IF(25&lt;Model!$B$15,Model!$B$22,0))/(1-Model!$B$9)/(1+Model!$B$18)^25))</f>
        <v/>
      </c>
      <c r="AN55" s="7">
        <f>IF(A55="","",IF((A55+26)&gt;Model!$B$4,0,MAX(0,Model!$B$6-IF((A55+26)&gt;=Model!$B$11,Model!$B$20,0)-IF(26&lt;Model!$B$15,Model!$B$22,0))/(1-Model!$B$9)/(1+Model!$B$18)^26))</f>
        <v/>
      </c>
      <c r="AO55" s="7">
        <f>IF(A55="","",IF((A55+27)&gt;Model!$B$4,0,MAX(0,Model!$B$6-IF((A55+27)&gt;=Model!$B$11,Model!$B$20,0)-IF(27&lt;Model!$B$15,Model!$B$22,0))/(1-Model!$B$9)/(1+Model!$B$18)^27))</f>
        <v/>
      </c>
      <c r="AP55" s="7">
        <f>IF(A55="","",IF((A55+28)&gt;Model!$B$4,0,MAX(0,Model!$B$6-IF((A55+28)&gt;=Model!$B$11,Model!$B$20,0)-IF(28&lt;Model!$B$15,Model!$B$22,0))/(1-Model!$B$9)/(1+Model!$B$18)^28))</f>
        <v/>
      </c>
      <c r="AQ55" s="7">
        <f>IF(A55="","",IF((A55+29)&gt;Model!$B$4,0,MAX(0,Model!$B$6-IF((A55+29)&gt;=Model!$B$11,Model!$B$20,0)-IF(29&lt;Model!$B$15,Model!$B$22,0))/(1-Model!$B$9)/(1+Model!$B$18)^29))</f>
        <v/>
      </c>
      <c r="AR55" s="7">
        <f>IF(A55="","",IF((A55+30)&gt;Model!$B$4,0,MAX(0,Model!$B$6-IF((A55+30)&gt;=Model!$B$11,Model!$B$20,0)-IF(30&lt;Model!$B$15,Model!$B$22,0))/(1-Model!$B$9)/(1+Model!$B$18)^30))</f>
        <v/>
      </c>
      <c r="AS55" s="7">
        <f>IF(A55="","",IF((A55+31)&gt;Model!$B$4,0,MAX(0,Model!$B$6-IF((A55+31)&gt;=Model!$B$11,Model!$B$20,0)-IF(31&lt;Model!$B$15,Model!$B$22,0))/(1-Model!$B$9)/(1+Model!$B$18)^31))</f>
        <v/>
      </c>
      <c r="AT55" s="7">
        <f>IF(A55="","",IF((A55+32)&gt;Model!$B$4,0,MAX(0,Model!$B$6-IF((A55+32)&gt;=Model!$B$11,Model!$B$20,0)-IF(32&lt;Model!$B$15,Model!$B$22,0))/(1-Model!$B$9)/(1+Model!$B$18)^32))</f>
        <v/>
      </c>
      <c r="AU55" s="7">
        <f>IF(A55="","",IF((A55+33)&gt;Model!$B$4,0,MAX(0,Model!$B$6-IF((A55+33)&gt;=Model!$B$11,Model!$B$20,0)-IF(33&lt;Model!$B$15,Model!$B$22,0))/(1-Model!$B$9)/(1+Model!$B$18)^33))</f>
        <v/>
      </c>
      <c r="AV55" s="7">
        <f>IF(A55="","",IF((A55+34)&gt;Model!$B$4,0,MAX(0,Model!$B$6-IF((A55+34)&gt;=Model!$B$11,Model!$B$20,0)-IF(34&lt;Model!$B$15,Model!$B$22,0))/(1-Model!$B$9)/(1+Model!$B$18)^34))</f>
        <v/>
      </c>
      <c r="AW55" s="7">
        <f>IF(A55="","",IF((A55+35)&gt;Model!$B$4,0,MAX(0,Model!$B$6-IF((A55+35)&gt;=Model!$B$11,Model!$B$20,0)-IF(35&lt;Model!$B$15,Model!$B$22,0))/(1-Model!$B$9)/(1+Model!$B$18)^35))</f>
        <v/>
      </c>
      <c r="AX55" s="7">
        <f>IF(A55="","",IF((A55+36)&gt;Model!$B$4,0,MAX(0,Model!$B$6-IF((A55+36)&gt;=Model!$B$11,Model!$B$20,0)-IF(36&lt;Model!$B$15,Model!$B$22,0))/(1-Model!$B$9)/(1+Model!$B$18)^36))</f>
        <v/>
      </c>
      <c r="AY55" s="7">
        <f>IF(A55="","",IF((A55+37)&gt;Model!$B$4,0,MAX(0,Model!$B$6-IF((A55+37)&gt;=Model!$B$11,Model!$B$20,0)-IF(37&lt;Model!$B$15,Model!$B$22,0))/(1-Model!$B$9)/(1+Model!$B$18)^37))</f>
        <v/>
      </c>
      <c r="AZ55" s="7">
        <f>IF(A55="","",IF((A55+38)&gt;Model!$B$4,0,MAX(0,Model!$B$6-IF((A55+38)&gt;=Model!$B$11,Model!$B$20,0)-IF(38&lt;Model!$B$15,Model!$B$22,0))/(1-Model!$B$9)/(1+Model!$B$18)^38))</f>
        <v/>
      </c>
      <c r="BA55" s="7">
        <f>IF(A55="","",IF((A55+39)&gt;Model!$B$4,0,MAX(0,Model!$B$6-IF((A55+39)&gt;=Model!$B$11,Model!$B$20,0)-IF(39&lt;Model!$B$15,Model!$B$22,0))/(1-Model!$B$9)/(1+Model!$B$18)^39))</f>
        <v/>
      </c>
      <c r="BB55" s="7">
        <f>IF(A55="","",IF((A55+40)&gt;Model!$B$4,0,MAX(0,Model!$B$6-IF((A55+40)&gt;=Model!$B$11,Model!$B$20,0)-IF(40&lt;Model!$B$15,Model!$B$22,0))/(1-Model!$B$9)/(1+Model!$B$18)^40))</f>
        <v/>
      </c>
      <c r="BC55" s="7">
        <f>IF(A55="","",IF((A55+41)&gt;Model!$B$4,0,MAX(0,Model!$B$6-IF((A55+41)&gt;=Model!$B$11,Model!$B$20,0)-IF(41&lt;Model!$B$15,Model!$B$22,0))/(1-Model!$B$9)/(1+Model!$B$18)^41))</f>
        <v/>
      </c>
      <c r="BD55" s="7">
        <f>IF(A55="","",IF((A55+42)&gt;Model!$B$4,0,MAX(0,Model!$B$6-IF((A55+42)&gt;=Model!$B$11,Model!$B$20,0)-IF(42&lt;Model!$B$15,Model!$B$22,0))/(1-Model!$B$9)/(1+Model!$B$18)^42))</f>
        <v/>
      </c>
      <c r="BE55" s="7">
        <f>IF(A55="","",IF((A55+43)&gt;Model!$B$4,0,MAX(0,Model!$B$6-IF((A55+43)&gt;=Model!$B$11,Model!$B$20,0)-IF(43&lt;Model!$B$15,Model!$B$22,0))/(1-Model!$B$9)/(1+Model!$B$18)^43))</f>
        <v/>
      </c>
      <c r="BF55" s="7">
        <f>IF(A55="","",IF((A55+44)&gt;Model!$B$4,0,MAX(0,Model!$B$6-IF((A55+44)&gt;=Model!$B$11,Model!$B$20,0)-IF(44&lt;Model!$B$15,Model!$B$22,0))/(1-Model!$B$9)/(1+Model!$B$18)^44))</f>
        <v/>
      </c>
      <c r="BG55" s="7">
        <f>IF(A55="","",IF((A55+45)&gt;Model!$B$4,0,MAX(0,Model!$B$6-IF((A55+45)&gt;=Model!$B$11,Model!$B$20,0)-IF(45&lt;Model!$B$15,Model!$B$22,0))/(1-Model!$B$9)/(1+Model!$B$18)^45))</f>
        <v/>
      </c>
      <c r="BH55" s="7">
        <f>IF(A55="","",IF((A55+46)&gt;Model!$B$4,0,MAX(0,Model!$B$6-IF((A55+46)&gt;=Model!$B$11,Model!$B$20,0)-IF(46&lt;Model!$B$15,Model!$B$22,0))/(1-Model!$B$9)/(1+Model!$B$18)^46))</f>
        <v/>
      </c>
      <c r="BI55" s="7">
        <f>IF(A55="","",IF((A55+47)&gt;Model!$B$4,0,MAX(0,Model!$B$6-IF((A55+47)&gt;=Model!$B$11,Model!$B$20,0)-IF(47&lt;Model!$B$15,Model!$B$22,0))/(1-Model!$B$9)/(1+Model!$B$18)^47))</f>
        <v/>
      </c>
      <c r="BJ55" s="7">
        <f>IF(A55="","",IF((A55+48)&gt;Model!$B$4,0,MAX(0,Model!$B$6-IF((A55+48)&gt;=Model!$B$11,Model!$B$20,0)-IF(48&lt;Model!$B$15,Model!$B$22,0))/(1-Model!$B$9)/(1+Model!$B$18)^48))</f>
        <v/>
      </c>
      <c r="BK55" s="7">
        <f>IF(A55="","",IF((A55+49)&gt;Model!$B$4,0,MAX(0,Model!$B$6-IF((A55+49)&gt;=Model!$B$11,Model!$B$20,0)-IF(49&lt;Model!$B$15,Model!$B$22,0))/(1-Model!$B$9)/(1+Model!$B$18)^49))</f>
        <v/>
      </c>
      <c r="BL55" s="7">
        <f>IF(A55="","",IF((A55+50)&gt;Model!$B$4,0,MAX(0,Model!$B$6-IF((A55+50)&gt;=Model!$B$11,Model!$B$20,0)-IF(50&lt;Model!$B$15,Model!$B$22,0))/(1-Model!$B$9)/(1+Model!$B$18)^50))</f>
        <v/>
      </c>
      <c r="BM55" s="7">
        <f>IF(A55="","",IF((A55+51)&gt;Model!$B$4,0,MAX(0,Model!$B$6-IF((A55+51)&gt;=Model!$B$11,Model!$B$20,0)-IF(51&lt;Model!$B$15,Model!$B$22,0))/(1-Model!$B$9)/(1+Model!$B$18)^51))</f>
        <v/>
      </c>
      <c r="BN55" s="7">
        <f>IF(A55="","",IF((A55+52)&gt;Model!$B$4,0,MAX(0,Model!$B$6-IF((A55+52)&gt;=Model!$B$11,Model!$B$20,0)-IF(52&lt;Model!$B$15,Model!$B$22,0))/(1-Model!$B$9)/(1+Model!$B$18)^52))</f>
        <v/>
      </c>
      <c r="BO55" s="7">
        <f>IF(A55="","",IF((A55+53)&gt;Model!$B$4,0,MAX(0,Model!$B$6-IF((A55+53)&gt;=Model!$B$11,Model!$B$20,0)-IF(53&lt;Model!$B$15,Model!$B$22,0))/(1-Model!$B$9)/(1+Model!$B$18)^53))</f>
        <v/>
      </c>
      <c r="BP55" s="7">
        <f>IF(A55="","",IF((A55+54)&gt;Model!$B$4,0,MAX(0,Model!$B$6-IF((A55+54)&gt;=Model!$B$11,Model!$B$20,0)-IF(54&lt;Model!$B$15,Model!$B$22,0))/(1-Model!$B$9)/(1+Model!$B$18)^54))</f>
        <v/>
      </c>
      <c r="BQ55" s="7">
        <f>IF(A55="","",IF((A55+55)&gt;Model!$B$4,0,MAX(0,Model!$B$6-IF((A55+55)&gt;=Model!$B$11,Model!$B$20,0)-IF(55&lt;Model!$B$15,Model!$B$22,0))/(1-Model!$B$9)/(1+Model!$B$18)^55))</f>
        <v/>
      </c>
      <c r="BR55" s="7">
        <f>IF(A55="","",IF((A55+56)&gt;Model!$B$4,0,MAX(0,Model!$B$6-IF((A55+56)&gt;=Model!$B$11,Model!$B$20,0)-IF(56&lt;Model!$B$15,Model!$B$22,0))/(1-Model!$B$9)/(1+Model!$B$18)^56))</f>
        <v/>
      </c>
      <c r="BS55" s="7">
        <f>IF(A55="","",IF((A55+57)&gt;Model!$B$4,0,MAX(0,Model!$B$6-IF((A55+57)&gt;=Model!$B$11,Model!$B$20,0)-IF(57&lt;Model!$B$15,Model!$B$22,0))/(1-Model!$B$9)/(1+Model!$B$18)^57))</f>
        <v/>
      </c>
      <c r="BT55" s="7">
        <f>IF(A55="","",IF((A55+58)&gt;Model!$B$4,0,MAX(0,Model!$B$6-IF((A55+58)&gt;=Model!$B$11,Model!$B$20,0)-IF(58&lt;Model!$B$15,Model!$B$22,0))/(1-Model!$B$9)/(1+Model!$B$18)^58))</f>
        <v/>
      </c>
      <c r="BU55" s="7">
        <f>IF(A55="","",IF((A55+59)&gt;Model!$B$4,0,MAX(0,Model!$B$6-IF((A55+59)&gt;=Model!$B$11,Model!$B$20,0)-IF(59&lt;Model!$B$15,Model!$B$22,0))/(1-Model!$B$9)/(1+Model!$B$18)^59))</f>
        <v/>
      </c>
      <c r="BV55" s="7">
        <f>IF(A55="","",IF((A55+60)&gt;Model!$B$4,0,MAX(0,Model!$B$6-IF((A55+60)&gt;=Model!$B$11,Model!$B$20,0)-IF(60&lt;Model!$B$15,Model!$B$22,0))/(1-Model!$B$9)/(1+Model!$B$18)^60))</f>
        <v/>
      </c>
      <c r="BW55" s="7">
        <f>IF(A55="","",IF((A55+61)&gt;Model!$B$4,0,MAX(0,Model!$B$6-IF((A55+61)&gt;=Model!$B$11,Model!$B$20,0)-IF(61&lt;Model!$B$15,Model!$B$22,0))/(1-Model!$B$9)/(1+Model!$B$18)^61))</f>
        <v/>
      </c>
      <c r="BX55" s="7">
        <f>IF(A55="","",IF((A55+62)&gt;Model!$B$4,0,MAX(0,Model!$B$6-IF((A55+62)&gt;=Model!$B$11,Model!$B$20,0)-IF(62&lt;Model!$B$15,Model!$B$22,0))/(1-Model!$B$9)/(1+Model!$B$18)^62))</f>
        <v/>
      </c>
      <c r="BY55" s="7">
        <f>IF(A55="","",IF((A55+63)&gt;Model!$B$4,0,MAX(0,Model!$B$6-IF((A55+63)&gt;=Model!$B$11,Model!$B$20,0)-IF(63&lt;Model!$B$15,Model!$B$22,0))/(1-Model!$B$9)/(1+Model!$B$18)^63))</f>
        <v/>
      </c>
      <c r="BZ55" s="7">
        <f>IF(A55="","",IF((A55+64)&gt;Model!$B$4,0,MAX(0,Model!$B$6-IF((A55+64)&gt;=Model!$B$11,Model!$B$20,0)-IF(64&lt;Model!$B$15,Model!$B$22,0))/(1-Model!$B$9)/(1+Model!$B$18)^64))</f>
        <v/>
      </c>
      <c r="CA55" s="7">
        <f>IF(A55="","",IF((A55+65)&gt;Model!$B$4,0,MAX(0,Model!$B$6-IF((A55+65)&gt;=Model!$B$11,Model!$B$20,0)-IF(65&lt;Model!$B$15,Model!$B$22,0))/(1-Model!$B$9)/(1+Model!$B$18)^65))</f>
        <v/>
      </c>
      <c r="CB55" s="7">
        <f>IF(A55="","",IF((A55+66)&gt;Model!$B$4,0,MAX(0,Model!$B$6-IF((A55+66)&gt;=Model!$B$11,Model!$B$20,0)-IF(66&lt;Model!$B$15,Model!$B$22,0))/(1-Model!$B$9)/(1+Model!$B$18)^66))</f>
        <v/>
      </c>
      <c r="CC55" s="7">
        <f>IF(A55="","",IF((A55+67)&gt;Model!$B$4,0,MAX(0,Model!$B$6-IF((A55+67)&gt;=Model!$B$11,Model!$B$20,0)-IF(67&lt;Model!$B$15,Model!$B$22,0))/(1-Model!$B$9)/(1+Model!$B$18)^67))</f>
        <v/>
      </c>
      <c r="CD55" s="7">
        <f>IF(A55="","",IF((A55+68)&gt;Model!$B$4,0,MAX(0,Model!$B$6-IF((A55+68)&gt;=Model!$B$11,Model!$B$20,0)-IF(68&lt;Model!$B$15,Model!$B$22,0))/(1-Model!$B$9)/(1+Model!$B$18)^68))</f>
        <v/>
      </c>
      <c r="CE55" s="7">
        <f>IF(A55="","",IF((A55+69)&gt;Model!$B$4,0,MAX(0,Model!$B$6-IF((A55+69)&gt;=Model!$B$11,Model!$B$20,0)-IF(69&lt;Model!$B$15,Model!$B$22,0))/(1-Model!$B$9)/(1+Model!$B$18)^69))</f>
        <v/>
      </c>
      <c r="CF55" s="7">
        <f>IF(A55="","",IF((A55+70)&gt;Model!$B$4,0,MAX(0,Model!$B$6-IF((A55+70)&gt;=Model!$B$11,Model!$B$20,0)-IF(70&lt;Model!$B$15,Model!$B$22,0))/(1-Model!$B$9)/(1+Model!$B$18)^70))</f>
        <v/>
      </c>
      <c r="CG55" s="7">
        <f>IF(A55="","",IF((A55+71)&gt;Model!$B$4,0,MAX(0,Model!$B$6-IF((A55+71)&gt;=Model!$B$11,Model!$B$20,0)-IF(71&lt;Model!$B$15,Model!$B$22,0))/(1-Model!$B$9)/(1+Model!$B$18)^71))</f>
        <v/>
      </c>
      <c r="CH55" s="7">
        <f>IF(A55="","",IF((A55+72)&gt;Model!$B$4,0,MAX(0,Model!$B$6-IF((A55+72)&gt;=Model!$B$11,Model!$B$20,0)-IF(72&lt;Model!$B$15,Model!$B$22,0))/(1-Model!$B$9)/(1+Model!$B$18)^72))</f>
        <v/>
      </c>
      <c r="CI55" s="7">
        <f>IF(A55="","",IF((A55+73)&gt;Model!$B$4,0,MAX(0,Model!$B$6-IF((A55+73)&gt;=Model!$B$11,Model!$B$20,0)-IF(73&lt;Model!$B$15,Model!$B$22,0))/(1-Model!$B$9)/(1+Model!$B$18)^73))</f>
        <v/>
      </c>
      <c r="CJ55" s="7">
        <f>IF(A55="","",IF((A55+74)&gt;Model!$B$4,0,MAX(0,Model!$B$6-IF((A55+74)&gt;=Model!$B$11,Model!$B$20,0)-IF(74&lt;Model!$B$15,Model!$B$22,0))/(1-Model!$B$9)/(1+Model!$B$18)^74))</f>
        <v/>
      </c>
      <c r="CK55" s="7">
        <f>IF(A55="","",IF((A55+75)&gt;Model!$B$4,0,MAX(0,Model!$B$6-IF((A55+75)&gt;=Model!$B$11,Model!$B$20,0)-IF(75&lt;Model!$B$15,Model!$B$22,0))/(1-Model!$B$9)/(1+Model!$B$18)^75))</f>
        <v/>
      </c>
      <c r="CL55" s="7">
        <f>IF(A55="","",IF((A55+76)&gt;Model!$B$4,0,MAX(0,Model!$B$6-IF((A55+76)&gt;=Model!$B$11,Model!$B$20,0)-IF(76&lt;Model!$B$15,Model!$B$22,0))/(1-Model!$B$9)/(1+Model!$B$18)^76))</f>
        <v/>
      </c>
      <c r="CM55" s="7">
        <f>IF(A55="","",IF((A55+77)&gt;Model!$B$4,0,MAX(0,Model!$B$6-IF((A55+77)&gt;=Model!$B$11,Model!$B$20,0)-IF(77&lt;Model!$B$15,Model!$B$22,0))/(1-Model!$B$9)/(1+Model!$B$18)^77))</f>
        <v/>
      </c>
      <c r="CN55" s="7">
        <f>IF(A55="","",IF((A55+78)&gt;Model!$B$4,0,MAX(0,Model!$B$6-IF((A55+78)&gt;=Model!$B$11,Model!$B$20,0)-IF(78&lt;Model!$B$15,Model!$B$22,0))/(1-Model!$B$9)/(1+Model!$B$18)^78))</f>
        <v/>
      </c>
      <c r="CO55" s="7">
        <f>IF(A55="","",IF((A55+79)&gt;Model!$B$4,0,MAX(0,Model!$B$6-IF((A55+79)&gt;=Model!$B$11,Model!$B$20,0)-IF(79&lt;Model!$B$15,Model!$B$22,0))/(1-Model!$B$9)/(1+Model!$B$18)^79))</f>
        <v/>
      </c>
      <c r="CP55" s="7">
        <f>IF(A55="","",IF((A55+80)&gt;Model!$B$4,0,MAX(0,Model!$B$6-IF((A55+80)&gt;=Model!$B$11,Model!$B$20,0)-IF(80&lt;Model!$B$15,Model!$B$22,0))/(1-Model!$B$9)/(1+Model!$B$18)^80))</f>
        <v/>
      </c>
      <c r="CQ55" s="7">
        <f>IF(A55="","",IF((A55+81)&gt;Model!$B$4,0,MAX(0,Model!$B$6-IF((A55+81)&gt;=Model!$B$11,Model!$B$20,0)-IF(81&lt;Model!$B$15,Model!$B$22,0))/(1-Model!$B$9)/(1+Model!$B$18)^81))</f>
        <v/>
      </c>
      <c r="CR55" s="7">
        <f>IF(A55="","",IF((A55+82)&gt;Model!$B$4,0,MAX(0,Model!$B$6-IF((A55+82)&gt;=Model!$B$11,Model!$B$20,0)-IF(82&lt;Model!$B$15,Model!$B$22,0))/(1-Model!$B$9)/(1+Model!$B$18)^82))</f>
        <v/>
      </c>
      <c r="CS55" s="7">
        <f>IF(A55="","",IF((A55+83)&gt;Model!$B$4,0,MAX(0,Model!$B$6-IF((A55+83)&gt;=Model!$B$11,Model!$B$20,0)-IF(83&lt;Model!$B$15,Model!$B$22,0))/(1-Model!$B$9)/(1+Model!$B$18)^83))</f>
        <v/>
      </c>
      <c r="CT55" s="7">
        <f>IF(A55="","",IF((A55+84)&gt;Model!$B$4,0,MAX(0,Model!$B$6-IF((A55+84)&gt;=Model!$B$11,Model!$B$20,0)-IF(84&lt;Model!$B$15,Model!$B$22,0))/(1-Model!$B$9)/(1+Model!$B$18)^84))</f>
        <v/>
      </c>
      <c r="CU55" s="7">
        <f>IF(A55="","",IF((A55+85)&gt;Model!$B$4,0,MAX(0,Model!$B$6-IF((A55+85)&gt;=Model!$B$11,Model!$B$20,0)-IF(85&lt;Model!$B$15,Model!$B$22,0))/(1-Model!$B$9)/(1+Model!$B$18)^85))</f>
        <v/>
      </c>
      <c r="CV55" s="7">
        <f>IF(A55="","",IF((A55+86)&gt;Model!$B$4,0,MAX(0,Model!$B$6-IF((A55+86)&gt;=Model!$B$11,Model!$B$20,0)-IF(86&lt;Model!$B$15,Model!$B$22,0))/(1-Model!$B$9)/(1+Model!$B$18)^86))</f>
        <v/>
      </c>
      <c r="CW55" s="7">
        <f>IF(A55="","",IF((A55+87)&gt;Model!$B$4,0,MAX(0,Model!$B$6-IF((A55+87)&gt;=Model!$B$11,Model!$B$20,0)-IF(87&lt;Model!$B$15,Model!$B$22,0))/(1-Model!$B$9)/(1+Model!$B$18)^87))</f>
        <v/>
      </c>
      <c r="CX55" s="7">
        <f>IF(A55="","",IF((A55+88)&gt;Model!$B$4,0,MAX(0,Model!$B$6-IF((A55+88)&gt;=Model!$B$11,Model!$B$20,0)-IF(88&lt;Model!$B$15,Model!$B$22,0))/(1-Model!$B$9)/(1+Model!$B$18)^88))</f>
        <v/>
      </c>
      <c r="CY55" s="7">
        <f>IF(A55="","",IF((A55+89)&gt;Model!$B$4,0,MAX(0,Model!$B$6-IF((A55+89)&gt;=Model!$B$11,Model!$B$20,0)-IF(89&lt;Model!$B$15,Model!$B$22,0))/(1-Model!$B$9)/(1+Model!$B$18)^89))</f>
        <v/>
      </c>
      <c r="CZ55" s="7">
        <f>IF(A55="","",IF((A55+90)&gt;Model!$B$4,0,MAX(0,Model!$B$6-IF((A55+90)&gt;=Model!$B$11,Model!$B$20,0)-IF(90&lt;Model!$B$15,Model!$B$22,0))/(1-Model!$B$9)/(1+Model!$B$18)^90))</f>
        <v/>
      </c>
      <c r="DA55" s="7">
        <f>IF(A55="","",IF((A55+91)&gt;Model!$B$4,0,MAX(0,Model!$B$6-IF((A55+91)&gt;=Model!$B$11,Model!$B$20,0)-IF(91&lt;Model!$B$15,Model!$B$22,0))/(1-Model!$B$9)/(1+Model!$B$18)^91))</f>
        <v/>
      </c>
      <c r="DB55" s="7">
        <f>IF(A55="","",IF((A55+92)&gt;Model!$B$4,0,MAX(0,Model!$B$6-IF((A55+92)&gt;=Model!$B$11,Model!$B$20,0)-IF(92&lt;Model!$B$15,Model!$B$22,0))/(1-Model!$B$9)/(1+Model!$B$18)^92))</f>
        <v/>
      </c>
      <c r="DC55" s="7">
        <f>IF(A55="","",IF((A55+93)&gt;Model!$B$4,0,MAX(0,Model!$B$6-IF((A55+93)&gt;=Model!$B$11,Model!$B$20,0)-IF(93&lt;Model!$B$15,Model!$B$22,0))/(1-Model!$B$9)/(1+Model!$B$18)^93))</f>
        <v/>
      </c>
      <c r="DD55" s="7">
        <f>IF(A55="","",IF((A55+94)&gt;Model!$B$4,0,MAX(0,Model!$B$6-IF((A55+94)&gt;=Model!$B$11,Model!$B$20,0)-IF(94&lt;Model!$B$15,Model!$B$22,0))/(1-Model!$B$9)/(1+Model!$B$18)^94))</f>
        <v/>
      </c>
      <c r="DE55" s="7">
        <f>IF(A55="","",IF((A55+95)&gt;Model!$B$4,0,MAX(0,Model!$B$6-IF((A55+95)&gt;=Model!$B$11,Model!$B$20,0)-IF(95&lt;Model!$B$15,Model!$B$22,0))/(1-Model!$B$9)/(1+Model!$B$18)^95))</f>
        <v/>
      </c>
      <c r="DF55" s="7">
        <f>IF(A55="","",IF((A55+96)&gt;Model!$B$4,0,MAX(0,Model!$B$6-IF((A55+96)&gt;=Model!$B$11,Model!$B$20,0)-IF(96&lt;Model!$B$15,Model!$B$22,0))/(1-Model!$B$9)/(1+Model!$B$18)^96))</f>
        <v/>
      </c>
      <c r="DG55" s="7">
        <f>IF(A55="","",IF((A55+97)&gt;Model!$B$4,0,MAX(0,Model!$B$6-IF((A55+97)&gt;=Model!$B$11,Model!$B$20,0)-IF(97&lt;Model!$B$15,Model!$B$22,0))/(1-Model!$B$9)/(1+Model!$B$18)^97))</f>
        <v/>
      </c>
      <c r="DH55" s="7">
        <f>IF(A55="","",IF((A55+98)&gt;Model!$B$4,0,MAX(0,Model!$B$6-IF((A55+98)&gt;=Model!$B$11,Model!$B$20,0)-IF(98&lt;Model!$B$15,Model!$B$22,0))/(1-Model!$B$9)/(1+Model!$B$18)^98))</f>
        <v/>
      </c>
      <c r="DI55" s="7">
        <f>IF(A55="","",IF((A55+99)&gt;Model!$B$4,0,MAX(0,Model!$B$6-IF((A55+99)&gt;=Model!$B$11,Model!$B$20,0)-IF(99&lt;Model!$B$15,Model!$B$22,0))/(1-Model!$B$9)/(1+Model!$B$18)^99))</f>
        <v/>
      </c>
      <c r="DJ55" s="7">
        <f>IF(A55="","",IF((A55+100)&gt;Model!$B$4,0,MAX(0,Model!$B$6-IF((A55+100)&gt;=Model!$B$11,Model!$B$20,0)-IF(100&lt;Model!$B$15,Model!$B$22,0))/(1-Model!$B$9)/(1+Model!$B$18)^100))</f>
        <v/>
      </c>
      <c r="DK55" s="7">
        <f>IF(A55="","",IF((A55+101)&gt;Model!$B$4,0,MAX(0,Model!$B$6-IF((A55+101)&gt;=Model!$B$11,Model!$B$20,0)-IF(101&lt;Model!$B$15,Model!$B$22,0))/(1-Model!$B$9)/(1+Model!$B$18)^101))</f>
        <v/>
      </c>
      <c r="DL55" s="7">
        <f>IF(A55="","",IF((A55+102)&gt;Model!$B$4,0,MAX(0,Model!$B$6-IF((A55+102)&gt;=Model!$B$11,Model!$B$20,0)-IF(102&lt;Model!$B$15,Model!$B$22,0))/(1-Model!$B$9)/(1+Model!$B$18)^102))</f>
        <v/>
      </c>
      <c r="DM55" s="7">
        <f>IF(A55="","",IF((A55+103)&gt;Model!$B$4,0,MAX(0,Model!$B$6-IF((A55+103)&gt;=Model!$B$11,Model!$B$20,0)-IF(103&lt;Model!$B$15,Model!$B$22,0))/(1-Model!$B$9)/(1+Model!$B$18)^103))</f>
        <v/>
      </c>
      <c r="DN55" s="7">
        <f>IF(A55="","",IF((A55+104)&gt;Model!$B$4,0,MAX(0,Model!$B$6-IF((A55+104)&gt;=Model!$B$11,Model!$B$20,0)-IF(104&lt;Model!$B$15,Model!$B$22,0))/(1-Model!$B$9)/(1+Model!$B$18)^104))</f>
        <v/>
      </c>
      <c r="DO55" s="7">
        <f>IF(A55="","",IF((A55+105)&gt;Model!$B$4,0,MAX(0,Model!$B$6-IF((A55+105)&gt;=Model!$B$11,Model!$B$20,0)-IF(105&lt;Model!$B$15,Model!$B$22,0))/(1-Model!$B$9)/(1+Model!$B$18)^105))</f>
        <v/>
      </c>
      <c r="DP55" s="7">
        <f>IF(A55="","",IF((A55+106)&gt;Model!$B$4,0,MAX(0,Model!$B$6-IF((A55+106)&gt;=Model!$B$11,Model!$B$20,0)-IF(106&lt;Model!$B$15,Model!$B$22,0))/(1-Model!$B$9)/(1+Model!$B$18)^106))</f>
        <v/>
      </c>
      <c r="DQ55" s="7">
        <f>IF(A55="","",IF((A55+107)&gt;Model!$B$4,0,MAX(0,Model!$B$6-IF((A55+107)&gt;=Model!$B$11,Model!$B$20,0)-IF(107&lt;Model!$B$15,Model!$B$22,0))/(1-Model!$B$9)/(1+Model!$B$18)^107))</f>
        <v/>
      </c>
      <c r="DR55" s="7">
        <f>IF(A55="","",IF((A55+108)&gt;Model!$B$4,0,MAX(0,Model!$B$6-IF((A55+108)&gt;=Model!$B$11,Model!$B$20,0)-IF(108&lt;Model!$B$15,Model!$B$22,0))/(1-Model!$B$9)/(1+Model!$B$18)^108))</f>
        <v/>
      </c>
      <c r="DS55" s="7">
        <f>IF(A55="","",IF((A55+109)&gt;Model!$B$4,0,MAX(0,Model!$B$6-IF((A55+109)&gt;=Model!$B$11,Model!$B$20,0)-IF(109&lt;Model!$B$15,Model!$B$22,0))/(1-Model!$B$9)/(1+Model!$B$18)^109))</f>
        <v/>
      </c>
      <c r="DT55" s="7">
        <f>IF(A55="","",IF((A55+110)&gt;Model!$B$4,0,MAX(0,Model!$B$6-IF((A55+110)&gt;=Model!$B$11,Model!$B$20,0)-IF(110&lt;Model!$B$15,Model!$B$22,0))/(1-Model!$B$9)/(1+Model!$B$18)^110))</f>
        <v/>
      </c>
      <c r="DU55" s="7">
        <f>IF(A55="","",IF((A55+111)&gt;Model!$B$4,0,MAX(0,Model!$B$6-IF((A55+111)&gt;=Model!$B$11,Model!$B$20,0)-IF(111&lt;Model!$B$15,Model!$B$22,0))/(1-Model!$B$9)/(1+Model!$B$18)^111))</f>
        <v/>
      </c>
      <c r="DV55" s="7">
        <f>IF(A55="","",IF((A55+112)&gt;Model!$B$4,0,MAX(0,Model!$B$6-IF((A55+112)&gt;=Model!$B$11,Model!$B$20,0)-IF(112&lt;Model!$B$15,Model!$B$22,0))/(1-Model!$B$9)/(1+Model!$B$18)^112))</f>
        <v/>
      </c>
      <c r="DW55" s="7">
        <f>IF(A55="","",IF((A55+113)&gt;Model!$B$4,0,MAX(0,Model!$B$6-IF((A55+113)&gt;=Model!$B$11,Model!$B$20,0)-IF(113&lt;Model!$B$15,Model!$B$22,0))/(1-Model!$B$9)/(1+Model!$B$18)^113))</f>
        <v/>
      </c>
      <c r="DX55" s="7">
        <f>IF(A55="","",IF((A55+114)&gt;Model!$B$4,0,MAX(0,Model!$B$6-IF((A55+114)&gt;=Model!$B$11,Model!$B$20,0)-IF(114&lt;Model!$B$15,Model!$B$22,0))/(1-Model!$B$9)/(1+Model!$B$18)^114))</f>
        <v/>
      </c>
      <c r="DY55" s="7">
        <f>IF(A55="","",IF((A55+115)&gt;Model!$B$4,0,MAX(0,Model!$B$6-IF((A55+115)&gt;=Model!$B$11,Model!$B$20,0)-IF(115&lt;Model!$B$15,Model!$B$22,0))/(1-Model!$B$9)/(1+Model!$B$18)^115))</f>
        <v/>
      </c>
      <c r="DZ55" s="7">
        <f>IF(A55="","",IF((A55+116)&gt;Model!$B$4,0,MAX(0,Model!$B$6-IF((A55+116)&gt;=Model!$B$11,Model!$B$20,0)-IF(116&lt;Model!$B$15,Model!$B$22,0))/(1-Model!$B$9)/(1+Model!$B$18)^116))</f>
        <v/>
      </c>
      <c r="EA55" s="7">
        <f>IF(A55="","",IF((A55+117)&gt;Model!$B$4,0,MAX(0,Model!$B$6-IF((A55+117)&gt;=Model!$B$11,Model!$B$20,0)-IF(117&lt;Model!$B$15,Model!$B$22,0))/(1-Model!$B$9)/(1+Model!$B$18)^117))</f>
        <v/>
      </c>
      <c r="EB55" s="7">
        <f>IF(A55="","",IF((A55+118)&gt;Model!$B$4,0,MAX(0,Model!$B$6-IF((A55+118)&gt;=Model!$B$11,Model!$B$20,0)-IF(118&lt;Model!$B$15,Model!$B$22,0))/(1-Model!$B$9)/(1+Model!$B$18)^118))</f>
        <v/>
      </c>
      <c r="EC55" s="7">
        <f>IF(A55="","",IF((A55+119)&gt;Model!$B$4,0,MAX(0,Model!$B$6-IF((A55+119)&gt;=Model!$B$11,Model!$B$20,0)-IF(119&lt;Model!$B$15,Model!$B$22,0))/(1-Model!$B$9)/(1+Model!$B$18)^119))</f>
        <v/>
      </c>
      <c r="ED55" s="7">
        <f>IF(A55="","",IF((A55+120)&gt;Model!$B$4,0,MAX(0,Model!$B$6-IF((A55+120)&gt;=Model!$B$11,Model!$B$20,0)-IF(120&lt;Model!$B$15,Model!$B$22,0))/(1-Model!$B$9)/(1+Model!$B$18)^120))</f>
        <v/>
      </c>
    </row>
    <row r="56">
      <c r="A56">
        <f>IF(Model!$B$10+ROW()-2&lt;=Model!$B$4,Model!$B$10+ROW()-2,"")</f>
        <v/>
      </c>
      <c r="B56">
        <f>IF(A56="","",A56-Model!$B$10)</f>
        <v/>
      </c>
      <c r="C56" s="7">
        <f>IF(A56="","",Model!$B$5*(1+Model!$B$18)^B56)</f>
        <v/>
      </c>
      <c r="D56" s="7">
        <f>IF(A56="","",SUM(N56:ED56))</f>
        <v/>
      </c>
      <c r="E56" s="7">
        <f>IF(A56="","",IF(A56&gt;=Model!$B$11,Model!$B$20,0))</f>
        <v/>
      </c>
      <c r="F56" s="7">
        <f>IF(A56="","",IF(Model!$B$15&gt;0,Model!$B$22,0))</f>
        <v/>
      </c>
      <c r="G56" s="7">
        <f>IF(A56="","",E56+F56)</f>
        <v/>
      </c>
      <c r="H56" s="7">
        <f>IF(A56="","",MAX(0,Model!$B$6-G56))</f>
        <v/>
      </c>
      <c r="I56" s="7">
        <f>IF(A56="","",H56/(1-Model!$B$9))</f>
        <v/>
      </c>
      <c r="J56" s="7">
        <f>IF(A56="","",C56-D56)</f>
        <v/>
      </c>
      <c r="K56">
        <f>IF(A56="","",C56&gt;=D56)</f>
        <v/>
      </c>
      <c r="L56" s="7">
        <f>IF(A56="","",IF(A56&gt;=Model!$B$11,Model!$B$19*(1+Model!$B$13)^B56,0))</f>
        <v/>
      </c>
      <c r="M56" s="7">
        <f>IF(A56="","",IF(Model!$B$15&gt;0,Model!$B$21*(1+Model!$B$13)^B56,0))</f>
        <v/>
      </c>
      <c r="N56" s="7">
        <f>IF(A56="","",IF((A56+0)&gt;Model!$B$4,0,MAX(0,Model!$B$6-IF((A56+0)&gt;=Model!$B$11,Model!$B$20,0)-IF(0&lt;Model!$B$15,Model!$B$22,0))/(1-Model!$B$9)/(1+Model!$B$18)^0))</f>
        <v/>
      </c>
      <c r="O56" s="7">
        <f>IF(A56="","",IF((A56+1)&gt;Model!$B$4,0,MAX(0,Model!$B$6-IF((A56+1)&gt;=Model!$B$11,Model!$B$20,0)-IF(1&lt;Model!$B$15,Model!$B$22,0))/(1-Model!$B$9)/(1+Model!$B$18)^1))</f>
        <v/>
      </c>
      <c r="P56" s="7">
        <f>IF(A56="","",IF((A56+2)&gt;Model!$B$4,0,MAX(0,Model!$B$6-IF((A56+2)&gt;=Model!$B$11,Model!$B$20,0)-IF(2&lt;Model!$B$15,Model!$B$22,0))/(1-Model!$B$9)/(1+Model!$B$18)^2))</f>
        <v/>
      </c>
      <c r="Q56" s="7">
        <f>IF(A56="","",IF((A56+3)&gt;Model!$B$4,0,MAX(0,Model!$B$6-IF((A56+3)&gt;=Model!$B$11,Model!$B$20,0)-IF(3&lt;Model!$B$15,Model!$B$22,0))/(1-Model!$B$9)/(1+Model!$B$18)^3))</f>
        <v/>
      </c>
      <c r="R56" s="7">
        <f>IF(A56="","",IF((A56+4)&gt;Model!$B$4,0,MAX(0,Model!$B$6-IF((A56+4)&gt;=Model!$B$11,Model!$B$20,0)-IF(4&lt;Model!$B$15,Model!$B$22,0))/(1-Model!$B$9)/(1+Model!$B$18)^4))</f>
        <v/>
      </c>
      <c r="S56" s="7">
        <f>IF(A56="","",IF((A56+5)&gt;Model!$B$4,0,MAX(0,Model!$B$6-IF((A56+5)&gt;=Model!$B$11,Model!$B$20,0)-IF(5&lt;Model!$B$15,Model!$B$22,0))/(1-Model!$B$9)/(1+Model!$B$18)^5))</f>
        <v/>
      </c>
      <c r="T56" s="7">
        <f>IF(A56="","",IF((A56+6)&gt;Model!$B$4,0,MAX(0,Model!$B$6-IF((A56+6)&gt;=Model!$B$11,Model!$B$20,0)-IF(6&lt;Model!$B$15,Model!$B$22,0))/(1-Model!$B$9)/(1+Model!$B$18)^6))</f>
        <v/>
      </c>
      <c r="U56" s="7">
        <f>IF(A56="","",IF((A56+7)&gt;Model!$B$4,0,MAX(0,Model!$B$6-IF((A56+7)&gt;=Model!$B$11,Model!$B$20,0)-IF(7&lt;Model!$B$15,Model!$B$22,0))/(1-Model!$B$9)/(1+Model!$B$18)^7))</f>
        <v/>
      </c>
      <c r="V56" s="7">
        <f>IF(A56="","",IF((A56+8)&gt;Model!$B$4,0,MAX(0,Model!$B$6-IF((A56+8)&gt;=Model!$B$11,Model!$B$20,0)-IF(8&lt;Model!$B$15,Model!$B$22,0))/(1-Model!$B$9)/(1+Model!$B$18)^8))</f>
        <v/>
      </c>
      <c r="W56" s="7">
        <f>IF(A56="","",IF((A56+9)&gt;Model!$B$4,0,MAX(0,Model!$B$6-IF((A56+9)&gt;=Model!$B$11,Model!$B$20,0)-IF(9&lt;Model!$B$15,Model!$B$22,0))/(1-Model!$B$9)/(1+Model!$B$18)^9))</f>
        <v/>
      </c>
      <c r="X56" s="7">
        <f>IF(A56="","",IF((A56+10)&gt;Model!$B$4,0,MAX(0,Model!$B$6-IF((A56+10)&gt;=Model!$B$11,Model!$B$20,0)-IF(10&lt;Model!$B$15,Model!$B$22,0))/(1-Model!$B$9)/(1+Model!$B$18)^10))</f>
        <v/>
      </c>
      <c r="Y56" s="7">
        <f>IF(A56="","",IF((A56+11)&gt;Model!$B$4,0,MAX(0,Model!$B$6-IF((A56+11)&gt;=Model!$B$11,Model!$B$20,0)-IF(11&lt;Model!$B$15,Model!$B$22,0))/(1-Model!$B$9)/(1+Model!$B$18)^11))</f>
        <v/>
      </c>
      <c r="Z56" s="7">
        <f>IF(A56="","",IF((A56+12)&gt;Model!$B$4,0,MAX(0,Model!$B$6-IF((A56+12)&gt;=Model!$B$11,Model!$B$20,0)-IF(12&lt;Model!$B$15,Model!$B$22,0))/(1-Model!$B$9)/(1+Model!$B$18)^12))</f>
        <v/>
      </c>
      <c r="AA56" s="7">
        <f>IF(A56="","",IF((A56+13)&gt;Model!$B$4,0,MAX(0,Model!$B$6-IF((A56+13)&gt;=Model!$B$11,Model!$B$20,0)-IF(13&lt;Model!$B$15,Model!$B$22,0))/(1-Model!$B$9)/(1+Model!$B$18)^13))</f>
        <v/>
      </c>
      <c r="AB56" s="7">
        <f>IF(A56="","",IF((A56+14)&gt;Model!$B$4,0,MAX(0,Model!$B$6-IF((A56+14)&gt;=Model!$B$11,Model!$B$20,0)-IF(14&lt;Model!$B$15,Model!$B$22,0))/(1-Model!$B$9)/(1+Model!$B$18)^14))</f>
        <v/>
      </c>
      <c r="AC56" s="7">
        <f>IF(A56="","",IF((A56+15)&gt;Model!$B$4,0,MAX(0,Model!$B$6-IF((A56+15)&gt;=Model!$B$11,Model!$B$20,0)-IF(15&lt;Model!$B$15,Model!$B$22,0))/(1-Model!$B$9)/(1+Model!$B$18)^15))</f>
        <v/>
      </c>
      <c r="AD56" s="7">
        <f>IF(A56="","",IF((A56+16)&gt;Model!$B$4,0,MAX(0,Model!$B$6-IF((A56+16)&gt;=Model!$B$11,Model!$B$20,0)-IF(16&lt;Model!$B$15,Model!$B$22,0))/(1-Model!$B$9)/(1+Model!$B$18)^16))</f>
        <v/>
      </c>
      <c r="AE56" s="7">
        <f>IF(A56="","",IF((A56+17)&gt;Model!$B$4,0,MAX(0,Model!$B$6-IF((A56+17)&gt;=Model!$B$11,Model!$B$20,0)-IF(17&lt;Model!$B$15,Model!$B$22,0))/(1-Model!$B$9)/(1+Model!$B$18)^17))</f>
        <v/>
      </c>
      <c r="AF56" s="7">
        <f>IF(A56="","",IF((A56+18)&gt;Model!$B$4,0,MAX(0,Model!$B$6-IF((A56+18)&gt;=Model!$B$11,Model!$B$20,0)-IF(18&lt;Model!$B$15,Model!$B$22,0))/(1-Model!$B$9)/(1+Model!$B$18)^18))</f>
        <v/>
      </c>
      <c r="AG56" s="7">
        <f>IF(A56="","",IF((A56+19)&gt;Model!$B$4,0,MAX(0,Model!$B$6-IF((A56+19)&gt;=Model!$B$11,Model!$B$20,0)-IF(19&lt;Model!$B$15,Model!$B$22,0))/(1-Model!$B$9)/(1+Model!$B$18)^19))</f>
        <v/>
      </c>
      <c r="AH56" s="7">
        <f>IF(A56="","",IF((A56+20)&gt;Model!$B$4,0,MAX(0,Model!$B$6-IF((A56+20)&gt;=Model!$B$11,Model!$B$20,0)-IF(20&lt;Model!$B$15,Model!$B$22,0))/(1-Model!$B$9)/(1+Model!$B$18)^20))</f>
        <v/>
      </c>
      <c r="AI56" s="7">
        <f>IF(A56="","",IF((A56+21)&gt;Model!$B$4,0,MAX(0,Model!$B$6-IF((A56+21)&gt;=Model!$B$11,Model!$B$20,0)-IF(21&lt;Model!$B$15,Model!$B$22,0))/(1-Model!$B$9)/(1+Model!$B$18)^21))</f>
        <v/>
      </c>
      <c r="AJ56" s="7">
        <f>IF(A56="","",IF((A56+22)&gt;Model!$B$4,0,MAX(0,Model!$B$6-IF((A56+22)&gt;=Model!$B$11,Model!$B$20,0)-IF(22&lt;Model!$B$15,Model!$B$22,0))/(1-Model!$B$9)/(1+Model!$B$18)^22))</f>
        <v/>
      </c>
      <c r="AK56" s="7">
        <f>IF(A56="","",IF((A56+23)&gt;Model!$B$4,0,MAX(0,Model!$B$6-IF((A56+23)&gt;=Model!$B$11,Model!$B$20,0)-IF(23&lt;Model!$B$15,Model!$B$22,0))/(1-Model!$B$9)/(1+Model!$B$18)^23))</f>
        <v/>
      </c>
      <c r="AL56" s="7">
        <f>IF(A56="","",IF((A56+24)&gt;Model!$B$4,0,MAX(0,Model!$B$6-IF((A56+24)&gt;=Model!$B$11,Model!$B$20,0)-IF(24&lt;Model!$B$15,Model!$B$22,0))/(1-Model!$B$9)/(1+Model!$B$18)^24))</f>
        <v/>
      </c>
      <c r="AM56" s="7">
        <f>IF(A56="","",IF((A56+25)&gt;Model!$B$4,0,MAX(0,Model!$B$6-IF((A56+25)&gt;=Model!$B$11,Model!$B$20,0)-IF(25&lt;Model!$B$15,Model!$B$22,0))/(1-Model!$B$9)/(1+Model!$B$18)^25))</f>
        <v/>
      </c>
      <c r="AN56" s="7">
        <f>IF(A56="","",IF((A56+26)&gt;Model!$B$4,0,MAX(0,Model!$B$6-IF((A56+26)&gt;=Model!$B$11,Model!$B$20,0)-IF(26&lt;Model!$B$15,Model!$B$22,0))/(1-Model!$B$9)/(1+Model!$B$18)^26))</f>
        <v/>
      </c>
      <c r="AO56" s="7">
        <f>IF(A56="","",IF((A56+27)&gt;Model!$B$4,0,MAX(0,Model!$B$6-IF((A56+27)&gt;=Model!$B$11,Model!$B$20,0)-IF(27&lt;Model!$B$15,Model!$B$22,0))/(1-Model!$B$9)/(1+Model!$B$18)^27))</f>
        <v/>
      </c>
      <c r="AP56" s="7">
        <f>IF(A56="","",IF((A56+28)&gt;Model!$B$4,0,MAX(0,Model!$B$6-IF((A56+28)&gt;=Model!$B$11,Model!$B$20,0)-IF(28&lt;Model!$B$15,Model!$B$22,0))/(1-Model!$B$9)/(1+Model!$B$18)^28))</f>
        <v/>
      </c>
      <c r="AQ56" s="7">
        <f>IF(A56="","",IF((A56+29)&gt;Model!$B$4,0,MAX(0,Model!$B$6-IF((A56+29)&gt;=Model!$B$11,Model!$B$20,0)-IF(29&lt;Model!$B$15,Model!$B$22,0))/(1-Model!$B$9)/(1+Model!$B$18)^29))</f>
        <v/>
      </c>
      <c r="AR56" s="7">
        <f>IF(A56="","",IF((A56+30)&gt;Model!$B$4,0,MAX(0,Model!$B$6-IF((A56+30)&gt;=Model!$B$11,Model!$B$20,0)-IF(30&lt;Model!$B$15,Model!$B$22,0))/(1-Model!$B$9)/(1+Model!$B$18)^30))</f>
        <v/>
      </c>
      <c r="AS56" s="7">
        <f>IF(A56="","",IF((A56+31)&gt;Model!$B$4,0,MAX(0,Model!$B$6-IF((A56+31)&gt;=Model!$B$11,Model!$B$20,0)-IF(31&lt;Model!$B$15,Model!$B$22,0))/(1-Model!$B$9)/(1+Model!$B$18)^31))</f>
        <v/>
      </c>
      <c r="AT56" s="7">
        <f>IF(A56="","",IF((A56+32)&gt;Model!$B$4,0,MAX(0,Model!$B$6-IF((A56+32)&gt;=Model!$B$11,Model!$B$20,0)-IF(32&lt;Model!$B$15,Model!$B$22,0))/(1-Model!$B$9)/(1+Model!$B$18)^32))</f>
        <v/>
      </c>
      <c r="AU56" s="7">
        <f>IF(A56="","",IF((A56+33)&gt;Model!$B$4,0,MAX(0,Model!$B$6-IF((A56+33)&gt;=Model!$B$11,Model!$B$20,0)-IF(33&lt;Model!$B$15,Model!$B$22,0))/(1-Model!$B$9)/(1+Model!$B$18)^33))</f>
        <v/>
      </c>
      <c r="AV56" s="7">
        <f>IF(A56="","",IF((A56+34)&gt;Model!$B$4,0,MAX(0,Model!$B$6-IF((A56+34)&gt;=Model!$B$11,Model!$B$20,0)-IF(34&lt;Model!$B$15,Model!$B$22,0))/(1-Model!$B$9)/(1+Model!$B$18)^34))</f>
        <v/>
      </c>
      <c r="AW56" s="7">
        <f>IF(A56="","",IF((A56+35)&gt;Model!$B$4,0,MAX(0,Model!$B$6-IF((A56+35)&gt;=Model!$B$11,Model!$B$20,0)-IF(35&lt;Model!$B$15,Model!$B$22,0))/(1-Model!$B$9)/(1+Model!$B$18)^35))</f>
        <v/>
      </c>
      <c r="AX56" s="7">
        <f>IF(A56="","",IF((A56+36)&gt;Model!$B$4,0,MAX(0,Model!$B$6-IF((A56+36)&gt;=Model!$B$11,Model!$B$20,0)-IF(36&lt;Model!$B$15,Model!$B$22,0))/(1-Model!$B$9)/(1+Model!$B$18)^36))</f>
        <v/>
      </c>
      <c r="AY56" s="7">
        <f>IF(A56="","",IF((A56+37)&gt;Model!$B$4,0,MAX(0,Model!$B$6-IF((A56+37)&gt;=Model!$B$11,Model!$B$20,0)-IF(37&lt;Model!$B$15,Model!$B$22,0))/(1-Model!$B$9)/(1+Model!$B$18)^37))</f>
        <v/>
      </c>
      <c r="AZ56" s="7">
        <f>IF(A56="","",IF((A56+38)&gt;Model!$B$4,0,MAX(0,Model!$B$6-IF((A56+38)&gt;=Model!$B$11,Model!$B$20,0)-IF(38&lt;Model!$B$15,Model!$B$22,0))/(1-Model!$B$9)/(1+Model!$B$18)^38))</f>
        <v/>
      </c>
      <c r="BA56" s="7">
        <f>IF(A56="","",IF((A56+39)&gt;Model!$B$4,0,MAX(0,Model!$B$6-IF((A56+39)&gt;=Model!$B$11,Model!$B$20,0)-IF(39&lt;Model!$B$15,Model!$B$22,0))/(1-Model!$B$9)/(1+Model!$B$18)^39))</f>
        <v/>
      </c>
      <c r="BB56" s="7">
        <f>IF(A56="","",IF((A56+40)&gt;Model!$B$4,0,MAX(0,Model!$B$6-IF((A56+40)&gt;=Model!$B$11,Model!$B$20,0)-IF(40&lt;Model!$B$15,Model!$B$22,0))/(1-Model!$B$9)/(1+Model!$B$18)^40))</f>
        <v/>
      </c>
      <c r="BC56" s="7">
        <f>IF(A56="","",IF((A56+41)&gt;Model!$B$4,0,MAX(0,Model!$B$6-IF((A56+41)&gt;=Model!$B$11,Model!$B$20,0)-IF(41&lt;Model!$B$15,Model!$B$22,0))/(1-Model!$B$9)/(1+Model!$B$18)^41))</f>
        <v/>
      </c>
      <c r="BD56" s="7">
        <f>IF(A56="","",IF((A56+42)&gt;Model!$B$4,0,MAX(0,Model!$B$6-IF((A56+42)&gt;=Model!$B$11,Model!$B$20,0)-IF(42&lt;Model!$B$15,Model!$B$22,0))/(1-Model!$B$9)/(1+Model!$B$18)^42))</f>
        <v/>
      </c>
      <c r="BE56" s="7">
        <f>IF(A56="","",IF((A56+43)&gt;Model!$B$4,0,MAX(0,Model!$B$6-IF((A56+43)&gt;=Model!$B$11,Model!$B$20,0)-IF(43&lt;Model!$B$15,Model!$B$22,0))/(1-Model!$B$9)/(1+Model!$B$18)^43))</f>
        <v/>
      </c>
      <c r="BF56" s="7">
        <f>IF(A56="","",IF((A56+44)&gt;Model!$B$4,0,MAX(0,Model!$B$6-IF((A56+44)&gt;=Model!$B$11,Model!$B$20,0)-IF(44&lt;Model!$B$15,Model!$B$22,0))/(1-Model!$B$9)/(1+Model!$B$18)^44))</f>
        <v/>
      </c>
      <c r="BG56" s="7">
        <f>IF(A56="","",IF((A56+45)&gt;Model!$B$4,0,MAX(0,Model!$B$6-IF((A56+45)&gt;=Model!$B$11,Model!$B$20,0)-IF(45&lt;Model!$B$15,Model!$B$22,0))/(1-Model!$B$9)/(1+Model!$B$18)^45))</f>
        <v/>
      </c>
      <c r="BH56" s="7">
        <f>IF(A56="","",IF((A56+46)&gt;Model!$B$4,0,MAX(0,Model!$B$6-IF((A56+46)&gt;=Model!$B$11,Model!$B$20,0)-IF(46&lt;Model!$B$15,Model!$B$22,0))/(1-Model!$B$9)/(1+Model!$B$18)^46))</f>
        <v/>
      </c>
      <c r="BI56" s="7">
        <f>IF(A56="","",IF((A56+47)&gt;Model!$B$4,0,MAX(0,Model!$B$6-IF((A56+47)&gt;=Model!$B$11,Model!$B$20,0)-IF(47&lt;Model!$B$15,Model!$B$22,0))/(1-Model!$B$9)/(1+Model!$B$18)^47))</f>
        <v/>
      </c>
      <c r="BJ56" s="7">
        <f>IF(A56="","",IF((A56+48)&gt;Model!$B$4,0,MAX(0,Model!$B$6-IF((A56+48)&gt;=Model!$B$11,Model!$B$20,0)-IF(48&lt;Model!$B$15,Model!$B$22,0))/(1-Model!$B$9)/(1+Model!$B$18)^48))</f>
        <v/>
      </c>
      <c r="BK56" s="7">
        <f>IF(A56="","",IF((A56+49)&gt;Model!$B$4,0,MAX(0,Model!$B$6-IF((A56+49)&gt;=Model!$B$11,Model!$B$20,0)-IF(49&lt;Model!$B$15,Model!$B$22,0))/(1-Model!$B$9)/(1+Model!$B$18)^49))</f>
        <v/>
      </c>
      <c r="BL56" s="7">
        <f>IF(A56="","",IF((A56+50)&gt;Model!$B$4,0,MAX(0,Model!$B$6-IF((A56+50)&gt;=Model!$B$11,Model!$B$20,0)-IF(50&lt;Model!$B$15,Model!$B$22,0))/(1-Model!$B$9)/(1+Model!$B$18)^50))</f>
        <v/>
      </c>
      <c r="BM56" s="7">
        <f>IF(A56="","",IF((A56+51)&gt;Model!$B$4,0,MAX(0,Model!$B$6-IF((A56+51)&gt;=Model!$B$11,Model!$B$20,0)-IF(51&lt;Model!$B$15,Model!$B$22,0))/(1-Model!$B$9)/(1+Model!$B$18)^51))</f>
        <v/>
      </c>
      <c r="BN56" s="7">
        <f>IF(A56="","",IF((A56+52)&gt;Model!$B$4,0,MAX(0,Model!$B$6-IF((A56+52)&gt;=Model!$B$11,Model!$B$20,0)-IF(52&lt;Model!$B$15,Model!$B$22,0))/(1-Model!$B$9)/(1+Model!$B$18)^52))</f>
        <v/>
      </c>
      <c r="BO56" s="7">
        <f>IF(A56="","",IF((A56+53)&gt;Model!$B$4,0,MAX(0,Model!$B$6-IF((A56+53)&gt;=Model!$B$11,Model!$B$20,0)-IF(53&lt;Model!$B$15,Model!$B$22,0))/(1-Model!$B$9)/(1+Model!$B$18)^53))</f>
        <v/>
      </c>
      <c r="BP56" s="7">
        <f>IF(A56="","",IF((A56+54)&gt;Model!$B$4,0,MAX(0,Model!$B$6-IF((A56+54)&gt;=Model!$B$11,Model!$B$20,0)-IF(54&lt;Model!$B$15,Model!$B$22,0))/(1-Model!$B$9)/(1+Model!$B$18)^54))</f>
        <v/>
      </c>
      <c r="BQ56" s="7">
        <f>IF(A56="","",IF((A56+55)&gt;Model!$B$4,0,MAX(0,Model!$B$6-IF((A56+55)&gt;=Model!$B$11,Model!$B$20,0)-IF(55&lt;Model!$B$15,Model!$B$22,0))/(1-Model!$B$9)/(1+Model!$B$18)^55))</f>
        <v/>
      </c>
      <c r="BR56" s="7">
        <f>IF(A56="","",IF((A56+56)&gt;Model!$B$4,0,MAX(0,Model!$B$6-IF((A56+56)&gt;=Model!$B$11,Model!$B$20,0)-IF(56&lt;Model!$B$15,Model!$B$22,0))/(1-Model!$B$9)/(1+Model!$B$18)^56))</f>
        <v/>
      </c>
      <c r="BS56" s="7">
        <f>IF(A56="","",IF((A56+57)&gt;Model!$B$4,0,MAX(0,Model!$B$6-IF((A56+57)&gt;=Model!$B$11,Model!$B$20,0)-IF(57&lt;Model!$B$15,Model!$B$22,0))/(1-Model!$B$9)/(1+Model!$B$18)^57))</f>
        <v/>
      </c>
      <c r="BT56" s="7">
        <f>IF(A56="","",IF((A56+58)&gt;Model!$B$4,0,MAX(0,Model!$B$6-IF((A56+58)&gt;=Model!$B$11,Model!$B$20,0)-IF(58&lt;Model!$B$15,Model!$B$22,0))/(1-Model!$B$9)/(1+Model!$B$18)^58))</f>
        <v/>
      </c>
      <c r="BU56" s="7">
        <f>IF(A56="","",IF((A56+59)&gt;Model!$B$4,0,MAX(0,Model!$B$6-IF((A56+59)&gt;=Model!$B$11,Model!$B$20,0)-IF(59&lt;Model!$B$15,Model!$B$22,0))/(1-Model!$B$9)/(1+Model!$B$18)^59))</f>
        <v/>
      </c>
      <c r="BV56" s="7">
        <f>IF(A56="","",IF((A56+60)&gt;Model!$B$4,0,MAX(0,Model!$B$6-IF((A56+60)&gt;=Model!$B$11,Model!$B$20,0)-IF(60&lt;Model!$B$15,Model!$B$22,0))/(1-Model!$B$9)/(1+Model!$B$18)^60))</f>
        <v/>
      </c>
      <c r="BW56" s="7">
        <f>IF(A56="","",IF((A56+61)&gt;Model!$B$4,0,MAX(0,Model!$B$6-IF((A56+61)&gt;=Model!$B$11,Model!$B$20,0)-IF(61&lt;Model!$B$15,Model!$B$22,0))/(1-Model!$B$9)/(1+Model!$B$18)^61))</f>
        <v/>
      </c>
      <c r="BX56" s="7">
        <f>IF(A56="","",IF((A56+62)&gt;Model!$B$4,0,MAX(0,Model!$B$6-IF((A56+62)&gt;=Model!$B$11,Model!$B$20,0)-IF(62&lt;Model!$B$15,Model!$B$22,0))/(1-Model!$B$9)/(1+Model!$B$18)^62))</f>
        <v/>
      </c>
      <c r="BY56" s="7">
        <f>IF(A56="","",IF((A56+63)&gt;Model!$B$4,0,MAX(0,Model!$B$6-IF((A56+63)&gt;=Model!$B$11,Model!$B$20,0)-IF(63&lt;Model!$B$15,Model!$B$22,0))/(1-Model!$B$9)/(1+Model!$B$18)^63))</f>
        <v/>
      </c>
      <c r="BZ56" s="7">
        <f>IF(A56="","",IF((A56+64)&gt;Model!$B$4,0,MAX(0,Model!$B$6-IF((A56+64)&gt;=Model!$B$11,Model!$B$20,0)-IF(64&lt;Model!$B$15,Model!$B$22,0))/(1-Model!$B$9)/(1+Model!$B$18)^64))</f>
        <v/>
      </c>
      <c r="CA56" s="7">
        <f>IF(A56="","",IF((A56+65)&gt;Model!$B$4,0,MAX(0,Model!$B$6-IF((A56+65)&gt;=Model!$B$11,Model!$B$20,0)-IF(65&lt;Model!$B$15,Model!$B$22,0))/(1-Model!$B$9)/(1+Model!$B$18)^65))</f>
        <v/>
      </c>
      <c r="CB56" s="7">
        <f>IF(A56="","",IF((A56+66)&gt;Model!$B$4,0,MAX(0,Model!$B$6-IF((A56+66)&gt;=Model!$B$11,Model!$B$20,0)-IF(66&lt;Model!$B$15,Model!$B$22,0))/(1-Model!$B$9)/(1+Model!$B$18)^66))</f>
        <v/>
      </c>
      <c r="CC56" s="7">
        <f>IF(A56="","",IF((A56+67)&gt;Model!$B$4,0,MAX(0,Model!$B$6-IF((A56+67)&gt;=Model!$B$11,Model!$B$20,0)-IF(67&lt;Model!$B$15,Model!$B$22,0))/(1-Model!$B$9)/(1+Model!$B$18)^67))</f>
        <v/>
      </c>
      <c r="CD56" s="7">
        <f>IF(A56="","",IF((A56+68)&gt;Model!$B$4,0,MAX(0,Model!$B$6-IF((A56+68)&gt;=Model!$B$11,Model!$B$20,0)-IF(68&lt;Model!$B$15,Model!$B$22,0))/(1-Model!$B$9)/(1+Model!$B$18)^68))</f>
        <v/>
      </c>
      <c r="CE56" s="7">
        <f>IF(A56="","",IF((A56+69)&gt;Model!$B$4,0,MAX(0,Model!$B$6-IF((A56+69)&gt;=Model!$B$11,Model!$B$20,0)-IF(69&lt;Model!$B$15,Model!$B$22,0))/(1-Model!$B$9)/(1+Model!$B$18)^69))</f>
        <v/>
      </c>
      <c r="CF56" s="7">
        <f>IF(A56="","",IF((A56+70)&gt;Model!$B$4,0,MAX(0,Model!$B$6-IF((A56+70)&gt;=Model!$B$11,Model!$B$20,0)-IF(70&lt;Model!$B$15,Model!$B$22,0))/(1-Model!$B$9)/(1+Model!$B$18)^70))</f>
        <v/>
      </c>
      <c r="CG56" s="7">
        <f>IF(A56="","",IF((A56+71)&gt;Model!$B$4,0,MAX(0,Model!$B$6-IF((A56+71)&gt;=Model!$B$11,Model!$B$20,0)-IF(71&lt;Model!$B$15,Model!$B$22,0))/(1-Model!$B$9)/(1+Model!$B$18)^71))</f>
        <v/>
      </c>
      <c r="CH56" s="7">
        <f>IF(A56="","",IF((A56+72)&gt;Model!$B$4,0,MAX(0,Model!$B$6-IF((A56+72)&gt;=Model!$B$11,Model!$B$20,0)-IF(72&lt;Model!$B$15,Model!$B$22,0))/(1-Model!$B$9)/(1+Model!$B$18)^72))</f>
        <v/>
      </c>
      <c r="CI56" s="7">
        <f>IF(A56="","",IF((A56+73)&gt;Model!$B$4,0,MAX(0,Model!$B$6-IF((A56+73)&gt;=Model!$B$11,Model!$B$20,0)-IF(73&lt;Model!$B$15,Model!$B$22,0))/(1-Model!$B$9)/(1+Model!$B$18)^73))</f>
        <v/>
      </c>
      <c r="CJ56" s="7">
        <f>IF(A56="","",IF((A56+74)&gt;Model!$B$4,0,MAX(0,Model!$B$6-IF((A56+74)&gt;=Model!$B$11,Model!$B$20,0)-IF(74&lt;Model!$B$15,Model!$B$22,0))/(1-Model!$B$9)/(1+Model!$B$18)^74))</f>
        <v/>
      </c>
      <c r="CK56" s="7">
        <f>IF(A56="","",IF((A56+75)&gt;Model!$B$4,0,MAX(0,Model!$B$6-IF((A56+75)&gt;=Model!$B$11,Model!$B$20,0)-IF(75&lt;Model!$B$15,Model!$B$22,0))/(1-Model!$B$9)/(1+Model!$B$18)^75))</f>
        <v/>
      </c>
      <c r="CL56" s="7">
        <f>IF(A56="","",IF((A56+76)&gt;Model!$B$4,0,MAX(0,Model!$B$6-IF((A56+76)&gt;=Model!$B$11,Model!$B$20,0)-IF(76&lt;Model!$B$15,Model!$B$22,0))/(1-Model!$B$9)/(1+Model!$B$18)^76))</f>
        <v/>
      </c>
      <c r="CM56" s="7">
        <f>IF(A56="","",IF((A56+77)&gt;Model!$B$4,0,MAX(0,Model!$B$6-IF((A56+77)&gt;=Model!$B$11,Model!$B$20,0)-IF(77&lt;Model!$B$15,Model!$B$22,0))/(1-Model!$B$9)/(1+Model!$B$18)^77))</f>
        <v/>
      </c>
      <c r="CN56" s="7">
        <f>IF(A56="","",IF((A56+78)&gt;Model!$B$4,0,MAX(0,Model!$B$6-IF((A56+78)&gt;=Model!$B$11,Model!$B$20,0)-IF(78&lt;Model!$B$15,Model!$B$22,0))/(1-Model!$B$9)/(1+Model!$B$18)^78))</f>
        <v/>
      </c>
      <c r="CO56" s="7">
        <f>IF(A56="","",IF((A56+79)&gt;Model!$B$4,0,MAX(0,Model!$B$6-IF((A56+79)&gt;=Model!$B$11,Model!$B$20,0)-IF(79&lt;Model!$B$15,Model!$B$22,0))/(1-Model!$B$9)/(1+Model!$B$18)^79))</f>
        <v/>
      </c>
      <c r="CP56" s="7">
        <f>IF(A56="","",IF((A56+80)&gt;Model!$B$4,0,MAX(0,Model!$B$6-IF((A56+80)&gt;=Model!$B$11,Model!$B$20,0)-IF(80&lt;Model!$B$15,Model!$B$22,0))/(1-Model!$B$9)/(1+Model!$B$18)^80))</f>
        <v/>
      </c>
      <c r="CQ56" s="7">
        <f>IF(A56="","",IF((A56+81)&gt;Model!$B$4,0,MAX(0,Model!$B$6-IF((A56+81)&gt;=Model!$B$11,Model!$B$20,0)-IF(81&lt;Model!$B$15,Model!$B$22,0))/(1-Model!$B$9)/(1+Model!$B$18)^81))</f>
        <v/>
      </c>
      <c r="CR56" s="7">
        <f>IF(A56="","",IF((A56+82)&gt;Model!$B$4,0,MAX(0,Model!$B$6-IF((A56+82)&gt;=Model!$B$11,Model!$B$20,0)-IF(82&lt;Model!$B$15,Model!$B$22,0))/(1-Model!$B$9)/(1+Model!$B$18)^82))</f>
        <v/>
      </c>
      <c r="CS56" s="7">
        <f>IF(A56="","",IF((A56+83)&gt;Model!$B$4,0,MAX(0,Model!$B$6-IF((A56+83)&gt;=Model!$B$11,Model!$B$20,0)-IF(83&lt;Model!$B$15,Model!$B$22,0))/(1-Model!$B$9)/(1+Model!$B$18)^83))</f>
        <v/>
      </c>
      <c r="CT56" s="7">
        <f>IF(A56="","",IF((A56+84)&gt;Model!$B$4,0,MAX(0,Model!$B$6-IF((A56+84)&gt;=Model!$B$11,Model!$B$20,0)-IF(84&lt;Model!$B$15,Model!$B$22,0))/(1-Model!$B$9)/(1+Model!$B$18)^84))</f>
        <v/>
      </c>
      <c r="CU56" s="7">
        <f>IF(A56="","",IF((A56+85)&gt;Model!$B$4,0,MAX(0,Model!$B$6-IF((A56+85)&gt;=Model!$B$11,Model!$B$20,0)-IF(85&lt;Model!$B$15,Model!$B$22,0))/(1-Model!$B$9)/(1+Model!$B$18)^85))</f>
        <v/>
      </c>
      <c r="CV56" s="7">
        <f>IF(A56="","",IF((A56+86)&gt;Model!$B$4,0,MAX(0,Model!$B$6-IF((A56+86)&gt;=Model!$B$11,Model!$B$20,0)-IF(86&lt;Model!$B$15,Model!$B$22,0))/(1-Model!$B$9)/(1+Model!$B$18)^86))</f>
        <v/>
      </c>
      <c r="CW56" s="7">
        <f>IF(A56="","",IF((A56+87)&gt;Model!$B$4,0,MAX(0,Model!$B$6-IF((A56+87)&gt;=Model!$B$11,Model!$B$20,0)-IF(87&lt;Model!$B$15,Model!$B$22,0))/(1-Model!$B$9)/(1+Model!$B$18)^87))</f>
        <v/>
      </c>
      <c r="CX56" s="7">
        <f>IF(A56="","",IF((A56+88)&gt;Model!$B$4,0,MAX(0,Model!$B$6-IF((A56+88)&gt;=Model!$B$11,Model!$B$20,0)-IF(88&lt;Model!$B$15,Model!$B$22,0))/(1-Model!$B$9)/(1+Model!$B$18)^88))</f>
        <v/>
      </c>
      <c r="CY56" s="7">
        <f>IF(A56="","",IF((A56+89)&gt;Model!$B$4,0,MAX(0,Model!$B$6-IF((A56+89)&gt;=Model!$B$11,Model!$B$20,0)-IF(89&lt;Model!$B$15,Model!$B$22,0))/(1-Model!$B$9)/(1+Model!$B$18)^89))</f>
        <v/>
      </c>
      <c r="CZ56" s="7">
        <f>IF(A56="","",IF((A56+90)&gt;Model!$B$4,0,MAX(0,Model!$B$6-IF((A56+90)&gt;=Model!$B$11,Model!$B$20,0)-IF(90&lt;Model!$B$15,Model!$B$22,0))/(1-Model!$B$9)/(1+Model!$B$18)^90))</f>
        <v/>
      </c>
      <c r="DA56" s="7">
        <f>IF(A56="","",IF((A56+91)&gt;Model!$B$4,0,MAX(0,Model!$B$6-IF((A56+91)&gt;=Model!$B$11,Model!$B$20,0)-IF(91&lt;Model!$B$15,Model!$B$22,0))/(1-Model!$B$9)/(1+Model!$B$18)^91))</f>
        <v/>
      </c>
      <c r="DB56" s="7">
        <f>IF(A56="","",IF((A56+92)&gt;Model!$B$4,0,MAX(0,Model!$B$6-IF((A56+92)&gt;=Model!$B$11,Model!$B$20,0)-IF(92&lt;Model!$B$15,Model!$B$22,0))/(1-Model!$B$9)/(1+Model!$B$18)^92))</f>
        <v/>
      </c>
      <c r="DC56" s="7">
        <f>IF(A56="","",IF((A56+93)&gt;Model!$B$4,0,MAX(0,Model!$B$6-IF((A56+93)&gt;=Model!$B$11,Model!$B$20,0)-IF(93&lt;Model!$B$15,Model!$B$22,0))/(1-Model!$B$9)/(1+Model!$B$18)^93))</f>
        <v/>
      </c>
      <c r="DD56" s="7">
        <f>IF(A56="","",IF((A56+94)&gt;Model!$B$4,0,MAX(0,Model!$B$6-IF((A56+94)&gt;=Model!$B$11,Model!$B$20,0)-IF(94&lt;Model!$B$15,Model!$B$22,0))/(1-Model!$B$9)/(1+Model!$B$18)^94))</f>
        <v/>
      </c>
      <c r="DE56" s="7">
        <f>IF(A56="","",IF((A56+95)&gt;Model!$B$4,0,MAX(0,Model!$B$6-IF((A56+95)&gt;=Model!$B$11,Model!$B$20,0)-IF(95&lt;Model!$B$15,Model!$B$22,0))/(1-Model!$B$9)/(1+Model!$B$18)^95))</f>
        <v/>
      </c>
      <c r="DF56" s="7">
        <f>IF(A56="","",IF((A56+96)&gt;Model!$B$4,0,MAX(0,Model!$B$6-IF((A56+96)&gt;=Model!$B$11,Model!$B$20,0)-IF(96&lt;Model!$B$15,Model!$B$22,0))/(1-Model!$B$9)/(1+Model!$B$18)^96))</f>
        <v/>
      </c>
      <c r="DG56" s="7">
        <f>IF(A56="","",IF((A56+97)&gt;Model!$B$4,0,MAX(0,Model!$B$6-IF((A56+97)&gt;=Model!$B$11,Model!$B$20,0)-IF(97&lt;Model!$B$15,Model!$B$22,0))/(1-Model!$B$9)/(1+Model!$B$18)^97))</f>
        <v/>
      </c>
      <c r="DH56" s="7">
        <f>IF(A56="","",IF((A56+98)&gt;Model!$B$4,0,MAX(0,Model!$B$6-IF((A56+98)&gt;=Model!$B$11,Model!$B$20,0)-IF(98&lt;Model!$B$15,Model!$B$22,0))/(1-Model!$B$9)/(1+Model!$B$18)^98))</f>
        <v/>
      </c>
      <c r="DI56" s="7">
        <f>IF(A56="","",IF((A56+99)&gt;Model!$B$4,0,MAX(0,Model!$B$6-IF((A56+99)&gt;=Model!$B$11,Model!$B$20,0)-IF(99&lt;Model!$B$15,Model!$B$22,0))/(1-Model!$B$9)/(1+Model!$B$18)^99))</f>
        <v/>
      </c>
      <c r="DJ56" s="7">
        <f>IF(A56="","",IF((A56+100)&gt;Model!$B$4,0,MAX(0,Model!$B$6-IF((A56+100)&gt;=Model!$B$11,Model!$B$20,0)-IF(100&lt;Model!$B$15,Model!$B$22,0))/(1-Model!$B$9)/(1+Model!$B$18)^100))</f>
        <v/>
      </c>
      <c r="DK56" s="7">
        <f>IF(A56="","",IF((A56+101)&gt;Model!$B$4,0,MAX(0,Model!$B$6-IF((A56+101)&gt;=Model!$B$11,Model!$B$20,0)-IF(101&lt;Model!$B$15,Model!$B$22,0))/(1-Model!$B$9)/(1+Model!$B$18)^101))</f>
        <v/>
      </c>
      <c r="DL56" s="7">
        <f>IF(A56="","",IF((A56+102)&gt;Model!$B$4,0,MAX(0,Model!$B$6-IF((A56+102)&gt;=Model!$B$11,Model!$B$20,0)-IF(102&lt;Model!$B$15,Model!$B$22,0))/(1-Model!$B$9)/(1+Model!$B$18)^102))</f>
        <v/>
      </c>
      <c r="DM56" s="7">
        <f>IF(A56="","",IF((A56+103)&gt;Model!$B$4,0,MAX(0,Model!$B$6-IF((A56+103)&gt;=Model!$B$11,Model!$B$20,0)-IF(103&lt;Model!$B$15,Model!$B$22,0))/(1-Model!$B$9)/(1+Model!$B$18)^103))</f>
        <v/>
      </c>
      <c r="DN56" s="7">
        <f>IF(A56="","",IF((A56+104)&gt;Model!$B$4,0,MAX(0,Model!$B$6-IF((A56+104)&gt;=Model!$B$11,Model!$B$20,0)-IF(104&lt;Model!$B$15,Model!$B$22,0))/(1-Model!$B$9)/(1+Model!$B$18)^104))</f>
        <v/>
      </c>
      <c r="DO56" s="7">
        <f>IF(A56="","",IF((A56+105)&gt;Model!$B$4,0,MAX(0,Model!$B$6-IF((A56+105)&gt;=Model!$B$11,Model!$B$20,0)-IF(105&lt;Model!$B$15,Model!$B$22,0))/(1-Model!$B$9)/(1+Model!$B$18)^105))</f>
        <v/>
      </c>
      <c r="DP56" s="7">
        <f>IF(A56="","",IF((A56+106)&gt;Model!$B$4,0,MAX(0,Model!$B$6-IF((A56+106)&gt;=Model!$B$11,Model!$B$20,0)-IF(106&lt;Model!$B$15,Model!$B$22,0))/(1-Model!$B$9)/(1+Model!$B$18)^106))</f>
        <v/>
      </c>
      <c r="DQ56" s="7">
        <f>IF(A56="","",IF((A56+107)&gt;Model!$B$4,0,MAX(0,Model!$B$6-IF((A56+107)&gt;=Model!$B$11,Model!$B$20,0)-IF(107&lt;Model!$B$15,Model!$B$22,0))/(1-Model!$B$9)/(1+Model!$B$18)^107))</f>
        <v/>
      </c>
      <c r="DR56" s="7">
        <f>IF(A56="","",IF((A56+108)&gt;Model!$B$4,0,MAX(0,Model!$B$6-IF((A56+108)&gt;=Model!$B$11,Model!$B$20,0)-IF(108&lt;Model!$B$15,Model!$B$22,0))/(1-Model!$B$9)/(1+Model!$B$18)^108))</f>
        <v/>
      </c>
      <c r="DS56" s="7">
        <f>IF(A56="","",IF((A56+109)&gt;Model!$B$4,0,MAX(0,Model!$B$6-IF((A56+109)&gt;=Model!$B$11,Model!$B$20,0)-IF(109&lt;Model!$B$15,Model!$B$22,0))/(1-Model!$B$9)/(1+Model!$B$18)^109))</f>
        <v/>
      </c>
      <c r="DT56" s="7">
        <f>IF(A56="","",IF((A56+110)&gt;Model!$B$4,0,MAX(0,Model!$B$6-IF((A56+110)&gt;=Model!$B$11,Model!$B$20,0)-IF(110&lt;Model!$B$15,Model!$B$22,0))/(1-Model!$B$9)/(1+Model!$B$18)^110))</f>
        <v/>
      </c>
      <c r="DU56" s="7">
        <f>IF(A56="","",IF((A56+111)&gt;Model!$B$4,0,MAX(0,Model!$B$6-IF((A56+111)&gt;=Model!$B$11,Model!$B$20,0)-IF(111&lt;Model!$B$15,Model!$B$22,0))/(1-Model!$B$9)/(1+Model!$B$18)^111))</f>
        <v/>
      </c>
      <c r="DV56" s="7">
        <f>IF(A56="","",IF((A56+112)&gt;Model!$B$4,0,MAX(0,Model!$B$6-IF((A56+112)&gt;=Model!$B$11,Model!$B$20,0)-IF(112&lt;Model!$B$15,Model!$B$22,0))/(1-Model!$B$9)/(1+Model!$B$18)^112))</f>
        <v/>
      </c>
      <c r="DW56" s="7">
        <f>IF(A56="","",IF((A56+113)&gt;Model!$B$4,0,MAX(0,Model!$B$6-IF((A56+113)&gt;=Model!$B$11,Model!$B$20,0)-IF(113&lt;Model!$B$15,Model!$B$22,0))/(1-Model!$B$9)/(1+Model!$B$18)^113))</f>
        <v/>
      </c>
      <c r="DX56" s="7">
        <f>IF(A56="","",IF((A56+114)&gt;Model!$B$4,0,MAX(0,Model!$B$6-IF((A56+114)&gt;=Model!$B$11,Model!$B$20,0)-IF(114&lt;Model!$B$15,Model!$B$22,0))/(1-Model!$B$9)/(1+Model!$B$18)^114))</f>
        <v/>
      </c>
      <c r="DY56" s="7">
        <f>IF(A56="","",IF((A56+115)&gt;Model!$B$4,0,MAX(0,Model!$B$6-IF((A56+115)&gt;=Model!$B$11,Model!$B$20,0)-IF(115&lt;Model!$B$15,Model!$B$22,0))/(1-Model!$B$9)/(1+Model!$B$18)^115))</f>
        <v/>
      </c>
      <c r="DZ56" s="7">
        <f>IF(A56="","",IF((A56+116)&gt;Model!$B$4,0,MAX(0,Model!$B$6-IF((A56+116)&gt;=Model!$B$11,Model!$B$20,0)-IF(116&lt;Model!$B$15,Model!$B$22,0))/(1-Model!$B$9)/(1+Model!$B$18)^116))</f>
        <v/>
      </c>
      <c r="EA56" s="7">
        <f>IF(A56="","",IF((A56+117)&gt;Model!$B$4,0,MAX(0,Model!$B$6-IF((A56+117)&gt;=Model!$B$11,Model!$B$20,0)-IF(117&lt;Model!$B$15,Model!$B$22,0))/(1-Model!$B$9)/(1+Model!$B$18)^117))</f>
        <v/>
      </c>
      <c r="EB56" s="7">
        <f>IF(A56="","",IF((A56+118)&gt;Model!$B$4,0,MAX(0,Model!$B$6-IF((A56+118)&gt;=Model!$B$11,Model!$B$20,0)-IF(118&lt;Model!$B$15,Model!$B$22,0))/(1-Model!$B$9)/(1+Model!$B$18)^118))</f>
        <v/>
      </c>
      <c r="EC56" s="7">
        <f>IF(A56="","",IF((A56+119)&gt;Model!$B$4,0,MAX(0,Model!$B$6-IF((A56+119)&gt;=Model!$B$11,Model!$B$20,0)-IF(119&lt;Model!$B$15,Model!$B$22,0))/(1-Model!$B$9)/(1+Model!$B$18)^119))</f>
        <v/>
      </c>
      <c r="ED56" s="7">
        <f>IF(A56="","",IF((A56+120)&gt;Model!$B$4,0,MAX(0,Model!$B$6-IF((A56+120)&gt;=Model!$B$11,Model!$B$20,0)-IF(120&lt;Model!$B$15,Model!$B$22,0))/(1-Model!$B$9)/(1+Model!$B$18)^120))</f>
        <v/>
      </c>
    </row>
    <row r="57">
      <c r="A57">
        <f>IF(Model!$B$10+ROW()-2&lt;=Model!$B$4,Model!$B$10+ROW()-2,"")</f>
        <v/>
      </c>
      <c r="B57">
        <f>IF(A57="","",A57-Model!$B$10)</f>
        <v/>
      </c>
      <c r="C57" s="7">
        <f>IF(A57="","",Model!$B$5*(1+Model!$B$18)^B57)</f>
        <v/>
      </c>
      <c r="D57" s="7">
        <f>IF(A57="","",SUM(N57:ED57))</f>
        <v/>
      </c>
      <c r="E57" s="7">
        <f>IF(A57="","",IF(A57&gt;=Model!$B$11,Model!$B$20,0))</f>
        <v/>
      </c>
      <c r="F57" s="7">
        <f>IF(A57="","",IF(Model!$B$15&gt;0,Model!$B$22,0))</f>
        <v/>
      </c>
      <c r="G57" s="7">
        <f>IF(A57="","",E57+F57)</f>
        <v/>
      </c>
      <c r="H57" s="7">
        <f>IF(A57="","",MAX(0,Model!$B$6-G57))</f>
        <v/>
      </c>
      <c r="I57" s="7">
        <f>IF(A57="","",H57/(1-Model!$B$9))</f>
        <v/>
      </c>
      <c r="J57" s="7">
        <f>IF(A57="","",C57-D57)</f>
        <v/>
      </c>
      <c r="K57">
        <f>IF(A57="","",C57&gt;=D57)</f>
        <v/>
      </c>
      <c r="L57" s="7">
        <f>IF(A57="","",IF(A57&gt;=Model!$B$11,Model!$B$19*(1+Model!$B$13)^B57,0))</f>
        <v/>
      </c>
      <c r="M57" s="7">
        <f>IF(A57="","",IF(Model!$B$15&gt;0,Model!$B$21*(1+Model!$B$13)^B57,0))</f>
        <v/>
      </c>
      <c r="N57" s="7">
        <f>IF(A57="","",IF((A57+0)&gt;Model!$B$4,0,MAX(0,Model!$B$6-IF((A57+0)&gt;=Model!$B$11,Model!$B$20,0)-IF(0&lt;Model!$B$15,Model!$B$22,0))/(1-Model!$B$9)/(1+Model!$B$18)^0))</f>
        <v/>
      </c>
      <c r="O57" s="7">
        <f>IF(A57="","",IF((A57+1)&gt;Model!$B$4,0,MAX(0,Model!$B$6-IF((A57+1)&gt;=Model!$B$11,Model!$B$20,0)-IF(1&lt;Model!$B$15,Model!$B$22,0))/(1-Model!$B$9)/(1+Model!$B$18)^1))</f>
        <v/>
      </c>
      <c r="P57" s="7">
        <f>IF(A57="","",IF((A57+2)&gt;Model!$B$4,0,MAX(0,Model!$B$6-IF((A57+2)&gt;=Model!$B$11,Model!$B$20,0)-IF(2&lt;Model!$B$15,Model!$B$22,0))/(1-Model!$B$9)/(1+Model!$B$18)^2))</f>
        <v/>
      </c>
      <c r="Q57" s="7">
        <f>IF(A57="","",IF((A57+3)&gt;Model!$B$4,0,MAX(0,Model!$B$6-IF((A57+3)&gt;=Model!$B$11,Model!$B$20,0)-IF(3&lt;Model!$B$15,Model!$B$22,0))/(1-Model!$B$9)/(1+Model!$B$18)^3))</f>
        <v/>
      </c>
      <c r="R57" s="7">
        <f>IF(A57="","",IF((A57+4)&gt;Model!$B$4,0,MAX(0,Model!$B$6-IF((A57+4)&gt;=Model!$B$11,Model!$B$20,0)-IF(4&lt;Model!$B$15,Model!$B$22,0))/(1-Model!$B$9)/(1+Model!$B$18)^4))</f>
        <v/>
      </c>
      <c r="S57" s="7">
        <f>IF(A57="","",IF((A57+5)&gt;Model!$B$4,0,MAX(0,Model!$B$6-IF((A57+5)&gt;=Model!$B$11,Model!$B$20,0)-IF(5&lt;Model!$B$15,Model!$B$22,0))/(1-Model!$B$9)/(1+Model!$B$18)^5))</f>
        <v/>
      </c>
      <c r="T57" s="7">
        <f>IF(A57="","",IF((A57+6)&gt;Model!$B$4,0,MAX(0,Model!$B$6-IF((A57+6)&gt;=Model!$B$11,Model!$B$20,0)-IF(6&lt;Model!$B$15,Model!$B$22,0))/(1-Model!$B$9)/(1+Model!$B$18)^6))</f>
        <v/>
      </c>
      <c r="U57" s="7">
        <f>IF(A57="","",IF((A57+7)&gt;Model!$B$4,0,MAX(0,Model!$B$6-IF((A57+7)&gt;=Model!$B$11,Model!$B$20,0)-IF(7&lt;Model!$B$15,Model!$B$22,0))/(1-Model!$B$9)/(1+Model!$B$18)^7))</f>
        <v/>
      </c>
      <c r="V57" s="7">
        <f>IF(A57="","",IF((A57+8)&gt;Model!$B$4,0,MAX(0,Model!$B$6-IF((A57+8)&gt;=Model!$B$11,Model!$B$20,0)-IF(8&lt;Model!$B$15,Model!$B$22,0))/(1-Model!$B$9)/(1+Model!$B$18)^8))</f>
        <v/>
      </c>
      <c r="W57" s="7">
        <f>IF(A57="","",IF((A57+9)&gt;Model!$B$4,0,MAX(0,Model!$B$6-IF((A57+9)&gt;=Model!$B$11,Model!$B$20,0)-IF(9&lt;Model!$B$15,Model!$B$22,0))/(1-Model!$B$9)/(1+Model!$B$18)^9))</f>
        <v/>
      </c>
      <c r="X57" s="7">
        <f>IF(A57="","",IF((A57+10)&gt;Model!$B$4,0,MAX(0,Model!$B$6-IF((A57+10)&gt;=Model!$B$11,Model!$B$20,0)-IF(10&lt;Model!$B$15,Model!$B$22,0))/(1-Model!$B$9)/(1+Model!$B$18)^10))</f>
        <v/>
      </c>
      <c r="Y57" s="7">
        <f>IF(A57="","",IF((A57+11)&gt;Model!$B$4,0,MAX(0,Model!$B$6-IF((A57+11)&gt;=Model!$B$11,Model!$B$20,0)-IF(11&lt;Model!$B$15,Model!$B$22,0))/(1-Model!$B$9)/(1+Model!$B$18)^11))</f>
        <v/>
      </c>
      <c r="Z57" s="7">
        <f>IF(A57="","",IF((A57+12)&gt;Model!$B$4,0,MAX(0,Model!$B$6-IF((A57+12)&gt;=Model!$B$11,Model!$B$20,0)-IF(12&lt;Model!$B$15,Model!$B$22,0))/(1-Model!$B$9)/(1+Model!$B$18)^12))</f>
        <v/>
      </c>
      <c r="AA57" s="7">
        <f>IF(A57="","",IF((A57+13)&gt;Model!$B$4,0,MAX(0,Model!$B$6-IF((A57+13)&gt;=Model!$B$11,Model!$B$20,0)-IF(13&lt;Model!$B$15,Model!$B$22,0))/(1-Model!$B$9)/(1+Model!$B$18)^13))</f>
        <v/>
      </c>
      <c r="AB57" s="7">
        <f>IF(A57="","",IF((A57+14)&gt;Model!$B$4,0,MAX(0,Model!$B$6-IF((A57+14)&gt;=Model!$B$11,Model!$B$20,0)-IF(14&lt;Model!$B$15,Model!$B$22,0))/(1-Model!$B$9)/(1+Model!$B$18)^14))</f>
        <v/>
      </c>
      <c r="AC57" s="7">
        <f>IF(A57="","",IF((A57+15)&gt;Model!$B$4,0,MAX(0,Model!$B$6-IF((A57+15)&gt;=Model!$B$11,Model!$B$20,0)-IF(15&lt;Model!$B$15,Model!$B$22,0))/(1-Model!$B$9)/(1+Model!$B$18)^15))</f>
        <v/>
      </c>
      <c r="AD57" s="7">
        <f>IF(A57="","",IF((A57+16)&gt;Model!$B$4,0,MAX(0,Model!$B$6-IF((A57+16)&gt;=Model!$B$11,Model!$B$20,0)-IF(16&lt;Model!$B$15,Model!$B$22,0))/(1-Model!$B$9)/(1+Model!$B$18)^16))</f>
        <v/>
      </c>
      <c r="AE57" s="7">
        <f>IF(A57="","",IF((A57+17)&gt;Model!$B$4,0,MAX(0,Model!$B$6-IF((A57+17)&gt;=Model!$B$11,Model!$B$20,0)-IF(17&lt;Model!$B$15,Model!$B$22,0))/(1-Model!$B$9)/(1+Model!$B$18)^17))</f>
        <v/>
      </c>
      <c r="AF57" s="7">
        <f>IF(A57="","",IF((A57+18)&gt;Model!$B$4,0,MAX(0,Model!$B$6-IF((A57+18)&gt;=Model!$B$11,Model!$B$20,0)-IF(18&lt;Model!$B$15,Model!$B$22,0))/(1-Model!$B$9)/(1+Model!$B$18)^18))</f>
        <v/>
      </c>
      <c r="AG57" s="7">
        <f>IF(A57="","",IF((A57+19)&gt;Model!$B$4,0,MAX(0,Model!$B$6-IF((A57+19)&gt;=Model!$B$11,Model!$B$20,0)-IF(19&lt;Model!$B$15,Model!$B$22,0))/(1-Model!$B$9)/(1+Model!$B$18)^19))</f>
        <v/>
      </c>
      <c r="AH57" s="7">
        <f>IF(A57="","",IF((A57+20)&gt;Model!$B$4,0,MAX(0,Model!$B$6-IF((A57+20)&gt;=Model!$B$11,Model!$B$20,0)-IF(20&lt;Model!$B$15,Model!$B$22,0))/(1-Model!$B$9)/(1+Model!$B$18)^20))</f>
        <v/>
      </c>
      <c r="AI57" s="7">
        <f>IF(A57="","",IF((A57+21)&gt;Model!$B$4,0,MAX(0,Model!$B$6-IF((A57+21)&gt;=Model!$B$11,Model!$B$20,0)-IF(21&lt;Model!$B$15,Model!$B$22,0))/(1-Model!$B$9)/(1+Model!$B$18)^21))</f>
        <v/>
      </c>
      <c r="AJ57" s="7">
        <f>IF(A57="","",IF((A57+22)&gt;Model!$B$4,0,MAX(0,Model!$B$6-IF((A57+22)&gt;=Model!$B$11,Model!$B$20,0)-IF(22&lt;Model!$B$15,Model!$B$22,0))/(1-Model!$B$9)/(1+Model!$B$18)^22))</f>
        <v/>
      </c>
      <c r="AK57" s="7">
        <f>IF(A57="","",IF((A57+23)&gt;Model!$B$4,0,MAX(0,Model!$B$6-IF((A57+23)&gt;=Model!$B$11,Model!$B$20,0)-IF(23&lt;Model!$B$15,Model!$B$22,0))/(1-Model!$B$9)/(1+Model!$B$18)^23))</f>
        <v/>
      </c>
      <c r="AL57" s="7">
        <f>IF(A57="","",IF((A57+24)&gt;Model!$B$4,0,MAX(0,Model!$B$6-IF((A57+24)&gt;=Model!$B$11,Model!$B$20,0)-IF(24&lt;Model!$B$15,Model!$B$22,0))/(1-Model!$B$9)/(1+Model!$B$18)^24))</f>
        <v/>
      </c>
      <c r="AM57" s="7">
        <f>IF(A57="","",IF((A57+25)&gt;Model!$B$4,0,MAX(0,Model!$B$6-IF((A57+25)&gt;=Model!$B$11,Model!$B$20,0)-IF(25&lt;Model!$B$15,Model!$B$22,0))/(1-Model!$B$9)/(1+Model!$B$18)^25))</f>
        <v/>
      </c>
      <c r="AN57" s="7">
        <f>IF(A57="","",IF((A57+26)&gt;Model!$B$4,0,MAX(0,Model!$B$6-IF((A57+26)&gt;=Model!$B$11,Model!$B$20,0)-IF(26&lt;Model!$B$15,Model!$B$22,0))/(1-Model!$B$9)/(1+Model!$B$18)^26))</f>
        <v/>
      </c>
      <c r="AO57" s="7">
        <f>IF(A57="","",IF((A57+27)&gt;Model!$B$4,0,MAX(0,Model!$B$6-IF((A57+27)&gt;=Model!$B$11,Model!$B$20,0)-IF(27&lt;Model!$B$15,Model!$B$22,0))/(1-Model!$B$9)/(1+Model!$B$18)^27))</f>
        <v/>
      </c>
      <c r="AP57" s="7">
        <f>IF(A57="","",IF((A57+28)&gt;Model!$B$4,0,MAX(0,Model!$B$6-IF((A57+28)&gt;=Model!$B$11,Model!$B$20,0)-IF(28&lt;Model!$B$15,Model!$B$22,0))/(1-Model!$B$9)/(1+Model!$B$18)^28))</f>
        <v/>
      </c>
      <c r="AQ57" s="7">
        <f>IF(A57="","",IF((A57+29)&gt;Model!$B$4,0,MAX(0,Model!$B$6-IF((A57+29)&gt;=Model!$B$11,Model!$B$20,0)-IF(29&lt;Model!$B$15,Model!$B$22,0))/(1-Model!$B$9)/(1+Model!$B$18)^29))</f>
        <v/>
      </c>
      <c r="AR57" s="7">
        <f>IF(A57="","",IF((A57+30)&gt;Model!$B$4,0,MAX(0,Model!$B$6-IF((A57+30)&gt;=Model!$B$11,Model!$B$20,0)-IF(30&lt;Model!$B$15,Model!$B$22,0))/(1-Model!$B$9)/(1+Model!$B$18)^30))</f>
        <v/>
      </c>
      <c r="AS57" s="7">
        <f>IF(A57="","",IF((A57+31)&gt;Model!$B$4,0,MAX(0,Model!$B$6-IF((A57+31)&gt;=Model!$B$11,Model!$B$20,0)-IF(31&lt;Model!$B$15,Model!$B$22,0))/(1-Model!$B$9)/(1+Model!$B$18)^31))</f>
        <v/>
      </c>
      <c r="AT57" s="7">
        <f>IF(A57="","",IF((A57+32)&gt;Model!$B$4,0,MAX(0,Model!$B$6-IF((A57+32)&gt;=Model!$B$11,Model!$B$20,0)-IF(32&lt;Model!$B$15,Model!$B$22,0))/(1-Model!$B$9)/(1+Model!$B$18)^32))</f>
        <v/>
      </c>
      <c r="AU57" s="7">
        <f>IF(A57="","",IF((A57+33)&gt;Model!$B$4,0,MAX(0,Model!$B$6-IF((A57+33)&gt;=Model!$B$11,Model!$B$20,0)-IF(33&lt;Model!$B$15,Model!$B$22,0))/(1-Model!$B$9)/(1+Model!$B$18)^33))</f>
        <v/>
      </c>
      <c r="AV57" s="7">
        <f>IF(A57="","",IF((A57+34)&gt;Model!$B$4,0,MAX(0,Model!$B$6-IF((A57+34)&gt;=Model!$B$11,Model!$B$20,0)-IF(34&lt;Model!$B$15,Model!$B$22,0))/(1-Model!$B$9)/(1+Model!$B$18)^34))</f>
        <v/>
      </c>
      <c r="AW57" s="7">
        <f>IF(A57="","",IF((A57+35)&gt;Model!$B$4,0,MAX(0,Model!$B$6-IF((A57+35)&gt;=Model!$B$11,Model!$B$20,0)-IF(35&lt;Model!$B$15,Model!$B$22,0))/(1-Model!$B$9)/(1+Model!$B$18)^35))</f>
        <v/>
      </c>
      <c r="AX57" s="7">
        <f>IF(A57="","",IF((A57+36)&gt;Model!$B$4,0,MAX(0,Model!$B$6-IF((A57+36)&gt;=Model!$B$11,Model!$B$20,0)-IF(36&lt;Model!$B$15,Model!$B$22,0))/(1-Model!$B$9)/(1+Model!$B$18)^36))</f>
        <v/>
      </c>
      <c r="AY57" s="7">
        <f>IF(A57="","",IF((A57+37)&gt;Model!$B$4,0,MAX(0,Model!$B$6-IF((A57+37)&gt;=Model!$B$11,Model!$B$20,0)-IF(37&lt;Model!$B$15,Model!$B$22,0))/(1-Model!$B$9)/(1+Model!$B$18)^37))</f>
        <v/>
      </c>
      <c r="AZ57" s="7">
        <f>IF(A57="","",IF((A57+38)&gt;Model!$B$4,0,MAX(0,Model!$B$6-IF((A57+38)&gt;=Model!$B$11,Model!$B$20,0)-IF(38&lt;Model!$B$15,Model!$B$22,0))/(1-Model!$B$9)/(1+Model!$B$18)^38))</f>
        <v/>
      </c>
      <c r="BA57" s="7">
        <f>IF(A57="","",IF((A57+39)&gt;Model!$B$4,0,MAX(0,Model!$B$6-IF((A57+39)&gt;=Model!$B$11,Model!$B$20,0)-IF(39&lt;Model!$B$15,Model!$B$22,0))/(1-Model!$B$9)/(1+Model!$B$18)^39))</f>
        <v/>
      </c>
      <c r="BB57" s="7">
        <f>IF(A57="","",IF((A57+40)&gt;Model!$B$4,0,MAX(0,Model!$B$6-IF((A57+40)&gt;=Model!$B$11,Model!$B$20,0)-IF(40&lt;Model!$B$15,Model!$B$22,0))/(1-Model!$B$9)/(1+Model!$B$18)^40))</f>
        <v/>
      </c>
      <c r="BC57" s="7">
        <f>IF(A57="","",IF((A57+41)&gt;Model!$B$4,0,MAX(0,Model!$B$6-IF((A57+41)&gt;=Model!$B$11,Model!$B$20,0)-IF(41&lt;Model!$B$15,Model!$B$22,0))/(1-Model!$B$9)/(1+Model!$B$18)^41))</f>
        <v/>
      </c>
      <c r="BD57" s="7">
        <f>IF(A57="","",IF((A57+42)&gt;Model!$B$4,0,MAX(0,Model!$B$6-IF((A57+42)&gt;=Model!$B$11,Model!$B$20,0)-IF(42&lt;Model!$B$15,Model!$B$22,0))/(1-Model!$B$9)/(1+Model!$B$18)^42))</f>
        <v/>
      </c>
      <c r="BE57" s="7">
        <f>IF(A57="","",IF((A57+43)&gt;Model!$B$4,0,MAX(0,Model!$B$6-IF((A57+43)&gt;=Model!$B$11,Model!$B$20,0)-IF(43&lt;Model!$B$15,Model!$B$22,0))/(1-Model!$B$9)/(1+Model!$B$18)^43))</f>
        <v/>
      </c>
      <c r="BF57" s="7">
        <f>IF(A57="","",IF((A57+44)&gt;Model!$B$4,0,MAX(0,Model!$B$6-IF((A57+44)&gt;=Model!$B$11,Model!$B$20,0)-IF(44&lt;Model!$B$15,Model!$B$22,0))/(1-Model!$B$9)/(1+Model!$B$18)^44))</f>
        <v/>
      </c>
      <c r="BG57" s="7">
        <f>IF(A57="","",IF((A57+45)&gt;Model!$B$4,0,MAX(0,Model!$B$6-IF((A57+45)&gt;=Model!$B$11,Model!$B$20,0)-IF(45&lt;Model!$B$15,Model!$B$22,0))/(1-Model!$B$9)/(1+Model!$B$18)^45))</f>
        <v/>
      </c>
      <c r="BH57" s="7">
        <f>IF(A57="","",IF((A57+46)&gt;Model!$B$4,0,MAX(0,Model!$B$6-IF((A57+46)&gt;=Model!$B$11,Model!$B$20,0)-IF(46&lt;Model!$B$15,Model!$B$22,0))/(1-Model!$B$9)/(1+Model!$B$18)^46))</f>
        <v/>
      </c>
      <c r="BI57" s="7">
        <f>IF(A57="","",IF((A57+47)&gt;Model!$B$4,0,MAX(0,Model!$B$6-IF((A57+47)&gt;=Model!$B$11,Model!$B$20,0)-IF(47&lt;Model!$B$15,Model!$B$22,0))/(1-Model!$B$9)/(1+Model!$B$18)^47))</f>
        <v/>
      </c>
      <c r="BJ57" s="7">
        <f>IF(A57="","",IF((A57+48)&gt;Model!$B$4,0,MAX(0,Model!$B$6-IF((A57+48)&gt;=Model!$B$11,Model!$B$20,0)-IF(48&lt;Model!$B$15,Model!$B$22,0))/(1-Model!$B$9)/(1+Model!$B$18)^48))</f>
        <v/>
      </c>
      <c r="BK57" s="7">
        <f>IF(A57="","",IF((A57+49)&gt;Model!$B$4,0,MAX(0,Model!$B$6-IF((A57+49)&gt;=Model!$B$11,Model!$B$20,0)-IF(49&lt;Model!$B$15,Model!$B$22,0))/(1-Model!$B$9)/(1+Model!$B$18)^49))</f>
        <v/>
      </c>
      <c r="BL57" s="7">
        <f>IF(A57="","",IF((A57+50)&gt;Model!$B$4,0,MAX(0,Model!$B$6-IF((A57+50)&gt;=Model!$B$11,Model!$B$20,0)-IF(50&lt;Model!$B$15,Model!$B$22,0))/(1-Model!$B$9)/(1+Model!$B$18)^50))</f>
        <v/>
      </c>
      <c r="BM57" s="7">
        <f>IF(A57="","",IF((A57+51)&gt;Model!$B$4,0,MAX(0,Model!$B$6-IF((A57+51)&gt;=Model!$B$11,Model!$B$20,0)-IF(51&lt;Model!$B$15,Model!$B$22,0))/(1-Model!$B$9)/(1+Model!$B$18)^51))</f>
        <v/>
      </c>
      <c r="BN57" s="7">
        <f>IF(A57="","",IF((A57+52)&gt;Model!$B$4,0,MAX(0,Model!$B$6-IF((A57+52)&gt;=Model!$B$11,Model!$B$20,0)-IF(52&lt;Model!$B$15,Model!$B$22,0))/(1-Model!$B$9)/(1+Model!$B$18)^52))</f>
        <v/>
      </c>
      <c r="BO57" s="7">
        <f>IF(A57="","",IF((A57+53)&gt;Model!$B$4,0,MAX(0,Model!$B$6-IF((A57+53)&gt;=Model!$B$11,Model!$B$20,0)-IF(53&lt;Model!$B$15,Model!$B$22,0))/(1-Model!$B$9)/(1+Model!$B$18)^53))</f>
        <v/>
      </c>
      <c r="BP57" s="7">
        <f>IF(A57="","",IF((A57+54)&gt;Model!$B$4,0,MAX(0,Model!$B$6-IF((A57+54)&gt;=Model!$B$11,Model!$B$20,0)-IF(54&lt;Model!$B$15,Model!$B$22,0))/(1-Model!$B$9)/(1+Model!$B$18)^54))</f>
        <v/>
      </c>
      <c r="BQ57" s="7">
        <f>IF(A57="","",IF((A57+55)&gt;Model!$B$4,0,MAX(0,Model!$B$6-IF((A57+55)&gt;=Model!$B$11,Model!$B$20,0)-IF(55&lt;Model!$B$15,Model!$B$22,0))/(1-Model!$B$9)/(1+Model!$B$18)^55))</f>
        <v/>
      </c>
      <c r="BR57" s="7">
        <f>IF(A57="","",IF((A57+56)&gt;Model!$B$4,0,MAX(0,Model!$B$6-IF((A57+56)&gt;=Model!$B$11,Model!$B$20,0)-IF(56&lt;Model!$B$15,Model!$B$22,0))/(1-Model!$B$9)/(1+Model!$B$18)^56))</f>
        <v/>
      </c>
      <c r="BS57" s="7">
        <f>IF(A57="","",IF((A57+57)&gt;Model!$B$4,0,MAX(0,Model!$B$6-IF((A57+57)&gt;=Model!$B$11,Model!$B$20,0)-IF(57&lt;Model!$B$15,Model!$B$22,0))/(1-Model!$B$9)/(1+Model!$B$18)^57))</f>
        <v/>
      </c>
      <c r="BT57" s="7">
        <f>IF(A57="","",IF((A57+58)&gt;Model!$B$4,0,MAX(0,Model!$B$6-IF((A57+58)&gt;=Model!$B$11,Model!$B$20,0)-IF(58&lt;Model!$B$15,Model!$B$22,0))/(1-Model!$B$9)/(1+Model!$B$18)^58))</f>
        <v/>
      </c>
      <c r="BU57" s="7">
        <f>IF(A57="","",IF((A57+59)&gt;Model!$B$4,0,MAX(0,Model!$B$6-IF((A57+59)&gt;=Model!$B$11,Model!$B$20,0)-IF(59&lt;Model!$B$15,Model!$B$22,0))/(1-Model!$B$9)/(1+Model!$B$18)^59))</f>
        <v/>
      </c>
      <c r="BV57" s="7">
        <f>IF(A57="","",IF((A57+60)&gt;Model!$B$4,0,MAX(0,Model!$B$6-IF((A57+60)&gt;=Model!$B$11,Model!$B$20,0)-IF(60&lt;Model!$B$15,Model!$B$22,0))/(1-Model!$B$9)/(1+Model!$B$18)^60))</f>
        <v/>
      </c>
      <c r="BW57" s="7">
        <f>IF(A57="","",IF((A57+61)&gt;Model!$B$4,0,MAX(0,Model!$B$6-IF((A57+61)&gt;=Model!$B$11,Model!$B$20,0)-IF(61&lt;Model!$B$15,Model!$B$22,0))/(1-Model!$B$9)/(1+Model!$B$18)^61))</f>
        <v/>
      </c>
      <c r="BX57" s="7">
        <f>IF(A57="","",IF((A57+62)&gt;Model!$B$4,0,MAX(0,Model!$B$6-IF((A57+62)&gt;=Model!$B$11,Model!$B$20,0)-IF(62&lt;Model!$B$15,Model!$B$22,0))/(1-Model!$B$9)/(1+Model!$B$18)^62))</f>
        <v/>
      </c>
      <c r="BY57" s="7">
        <f>IF(A57="","",IF((A57+63)&gt;Model!$B$4,0,MAX(0,Model!$B$6-IF((A57+63)&gt;=Model!$B$11,Model!$B$20,0)-IF(63&lt;Model!$B$15,Model!$B$22,0))/(1-Model!$B$9)/(1+Model!$B$18)^63))</f>
        <v/>
      </c>
      <c r="BZ57" s="7">
        <f>IF(A57="","",IF((A57+64)&gt;Model!$B$4,0,MAX(0,Model!$B$6-IF((A57+64)&gt;=Model!$B$11,Model!$B$20,0)-IF(64&lt;Model!$B$15,Model!$B$22,0))/(1-Model!$B$9)/(1+Model!$B$18)^64))</f>
        <v/>
      </c>
      <c r="CA57" s="7">
        <f>IF(A57="","",IF((A57+65)&gt;Model!$B$4,0,MAX(0,Model!$B$6-IF((A57+65)&gt;=Model!$B$11,Model!$B$20,0)-IF(65&lt;Model!$B$15,Model!$B$22,0))/(1-Model!$B$9)/(1+Model!$B$18)^65))</f>
        <v/>
      </c>
      <c r="CB57" s="7">
        <f>IF(A57="","",IF((A57+66)&gt;Model!$B$4,0,MAX(0,Model!$B$6-IF((A57+66)&gt;=Model!$B$11,Model!$B$20,0)-IF(66&lt;Model!$B$15,Model!$B$22,0))/(1-Model!$B$9)/(1+Model!$B$18)^66))</f>
        <v/>
      </c>
      <c r="CC57" s="7">
        <f>IF(A57="","",IF((A57+67)&gt;Model!$B$4,0,MAX(0,Model!$B$6-IF((A57+67)&gt;=Model!$B$11,Model!$B$20,0)-IF(67&lt;Model!$B$15,Model!$B$22,0))/(1-Model!$B$9)/(1+Model!$B$18)^67))</f>
        <v/>
      </c>
      <c r="CD57" s="7">
        <f>IF(A57="","",IF((A57+68)&gt;Model!$B$4,0,MAX(0,Model!$B$6-IF((A57+68)&gt;=Model!$B$11,Model!$B$20,0)-IF(68&lt;Model!$B$15,Model!$B$22,0))/(1-Model!$B$9)/(1+Model!$B$18)^68))</f>
        <v/>
      </c>
      <c r="CE57" s="7">
        <f>IF(A57="","",IF((A57+69)&gt;Model!$B$4,0,MAX(0,Model!$B$6-IF((A57+69)&gt;=Model!$B$11,Model!$B$20,0)-IF(69&lt;Model!$B$15,Model!$B$22,0))/(1-Model!$B$9)/(1+Model!$B$18)^69))</f>
        <v/>
      </c>
      <c r="CF57" s="7">
        <f>IF(A57="","",IF((A57+70)&gt;Model!$B$4,0,MAX(0,Model!$B$6-IF((A57+70)&gt;=Model!$B$11,Model!$B$20,0)-IF(70&lt;Model!$B$15,Model!$B$22,0))/(1-Model!$B$9)/(1+Model!$B$18)^70))</f>
        <v/>
      </c>
      <c r="CG57" s="7">
        <f>IF(A57="","",IF((A57+71)&gt;Model!$B$4,0,MAX(0,Model!$B$6-IF((A57+71)&gt;=Model!$B$11,Model!$B$20,0)-IF(71&lt;Model!$B$15,Model!$B$22,0))/(1-Model!$B$9)/(1+Model!$B$18)^71))</f>
        <v/>
      </c>
      <c r="CH57" s="7">
        <f>IF(A57="","",IF((A57+72)&gt;Model!$B$4,0,MAX(0,Model!$B$6-IF((A57+72)&gt;=Model!$B$11,Model!$B$20,0)-IF(72&lt;Model!$B$15,Model!$B$22,0))/(1-Model!$B$9)/(1+Model!$B$18)^72))</f>
        <v/>
      </c>
      <c r="CI57" s="7">
        <f>IF(A57="","",IF((A57+73)&gt;Model!$B$4,0,MAX(0,Model!$B$6-IF((A57+73)&gt;=Model!$B$11,Model!$B$20,0)-IF(73&lt;Model!$B$15,Model!$B$22,0))/(1-Model!$B$9)/(1+Model!$B$18)^73))</f>
        <v/>
      </c>
      <c r="CJ57" s="7">
        <f>IF(A57="","",IF((A57+74)&gt;Model!$B$4,0,MAX(0,Model!$B$6-IF((A57+74)&gt;=Model!$B$11,Model!$B$20,0)-IF(74&lt;Model!$B$15,Model!$B$22,0))/(1-Model!$B$9)/(1+Model!$B$18)^74))</f>
        <v/>
      </c>
      <c r="CK57" s="7">
        <f>IF(A57="","",IF((A57+75)&gt;Model!$B$4,0,MAX(0,Model!$B$6-IF((A57+75)&gt;=Model!$B$11,Model!$B$20,0)-IF(75&lt;Model!$B$15,Model!$B$22,0))/(1-Model!$B$9)/(1+Model!$B$18)^75))</f>
        <v/>
      </c>
      <c r="CL57" s="7">
        <f>IF(A57="","",IF((A57+76)&gt;Model!$B$4,0,MAX(0,Model!$B$6-IF((A57+76)&gt;=Model!$B$11,Model!$B$20,0)-IF(76&lt;Model!$B$15,Model!$B$22,0))/(1-Model!$B$9)/(1+Model!$B$18)^76))</f>
        <v/>
      </c>
      <c r="CM57" s="7">
        <f>IF(A57="","",IF((A57+77)&gt;Model!$B$4,0,MAX(0,Model!$B$6-IF((A57+77)&gt;=Model!$B$11,Model!$B$20,0)-IF(77&lt;Model!$B$15,Model!$B$22,0))/(1-Model!$B$9)/(1+Model!$B$18)^77))</f>
        <v/>
      </c>
      <c r="CN57" s="7">
        <f>IF(A57="","",IF((A57+78)&gt;Model!$B$4,0,MAX(0,Model!$B$6-IF((A57+78)&gt;=Model!$B$11,Model!$B$20,0)-IF(78&lt;Model!$B$15,Model!$B$22,0))/(1-Model!$B$9)/(1+Model!$B$18)^78))</f>
        <v/>
      </c>
      <c r="CO57" s="7">
        <f>IF(A57="","",IF((A57+79)&gt;Model!$B$4,0,MAX(0,Model!$B$6-IF((A57+79)&gt;=Model!$B$11,Model!$B$20,0)-IF(79&lt;Model!$B$15,Model!$B$22,0))/(1-Model!$B$9)/(1+Model!$B$18)^79))</f>
        <v/>
      </c>
      <c r="CP57" s="7">
        <f>IF(A57="","",IF((A57+80)&gt;Model!$B$4,0,MAX(0,Model!$B$6-IF((A57+80)&gt;=Model!$B$11,Model!$B$20,0)-IF(80&lt;Model!$B$15,Model!$B$22,0))/(1-Model!$B$9)/(1+Model!$B$18)^80))</f>
        <v/>
      </c>
      <c r="CQ57" s="7">
        <f>IF(A57="","",IF((A57+81)&gt;Model!$B$4,0,MAX(0,Model!$B$6-IF((A57+81)&gt;=Model!$B$11,Model!$B$20,0)-IF(81&lt;Model!$B$15,Model!$B$22,0))/(1-Model!$B$9)/(1+Model!$B$18)^81))</f>
        <v/>
      </c>
      <c r="CR57" s="7">
        <f>IF(A57="","",IF((A57+82)&gt;Model!$B$4,0,MAX(0,Model!$B$6-IF((A57+82)&gt;=Model!$B$11,Model!$B$20,0)-IF(82&lt;Model!$B$15,Model!$B$22,0))/(1-Model!$B$9)/(1+Model!$B$18)^82))</f>
        <v/>
      </c>
      <c r="CS57" s="7">
        <f>IF(A57="","",IF((A57+83)&gt;Model!$B$4,0,MAX(0,Model!$B$6-IF((A57+83)&gt;=Model!$B$11,Model!$B$20,0)-IF(83&lt;Model!$B$15,Model!$B$22,0))/(1-Model!$B$9)/(1+Model!$B$18)^83))</f>
        <v/>
      </c>
      <c r="CT57" s="7">
        <f>IF(A57="","",IF((A57+84)&gt;Model!$B$4,0,MAX(0,Model!$B$6-IF((A57+84)&gt;=Model!$B$11,Model!$B$20,0)-IF(84&lt;Model!$B$15,Model!$B$22,0))/(1-Model!$B$9)/(1+Model!$B$18)^84))</f>
        <v/>
      </c>
      <c r="CU57" s="7">
        <f>IF(A57="","",IF((A57+85)&gt;Model!$B$4,0,MAX(0,Model!$B$6-IF((A57+85)&gt;=Model!$B$11,Model!$B$20,0)-IF(85&lt;Model!$B$15,Model!$B$22,0))/(1-Model!$B$9)/(1+Model!$B$18)^85))</f>
        <v/>
      </c>
      <c r="CV57" s="7">
        <f>IF(A57="","",IF((A57+86)&gt;Model!$B$4,0,MAX(0,Model!$B$6-IF((A57+86)&gt;=Model!$B$11,Model!$B$20,0)-IF(86&lt;Model!$B$15,Model!$B$22,0))/(1-Model!$B$9)/(1+Model!$B$18)^86))</f>
        <v/>
      </c>
      <c r="CW57" s="7">
        <f>IF(A57="","",IF((A57+87)&gt;Model!$B$4,0,MAX(0,Model!$B$6-IF((A57+87)&gt;=Model!$B$11,Model!$B$20,0)-IF(87&lt;Model!$B$15,Model!$B$22,0))/(1-Model!$B$9)/(1+Model!$B$18)^87))</f>
        <v/>
      </c>
      <c r="CX57" s="7">
        <f>IF(A57="","",IF((A57+88)&gt;Model!$B$4,0,MAX(0,Model!$B$6-IF((A57+88)&gt;=Model!$B$11,Model!$B$20,0)-IF(88&lt;Model!$B$15,Model!$B$22,0))/(1-Model!$B$9)/(1+Model!$B$18)^88))</f>
        <v/>
      </c>
      <c r="CY57" s="7">
        <f>IF(A57="","",IF((A57+89)&gt;Model!$B$4,0,MAX(0,Model!$B$6-IF((A57+89)&gt;=Model!$B$11,Model!$B$20,0)-IF(89&lt;Model!$B$15,Model!$B$22,0))/(1-Model!$B$9)/(1+Model!$B$18)^89))</f>
        <v/>
      </c>
      <c r="CZ57" s="7">
        <f>IF(A57="","",IF((A57+90)&gt;Model!$B$4,0,MAX(0,Model!$B$6-IF((A57+90)&gt;=Model!$B$11,Model!$B$20,0)-IF(90&lt;Model!$B$15,Model!$B$22,0))/(1-Model!$B$9)/(1+Model!$B$18)^90))</f>
        <v/>
      </c>
      <c r="DA57" s="7">
        <f>IF(A57="","",IF((A57+91)&gt;Model!$B$4,0,MAX(0,Model!$B$6-IF((A57+91)&gt;=Model!$B$11,Model!$B$20,0)-IF(91&lt;Model!$B$15,Model!$B$22,0))/(1-Model!$B$9)/(1+Model!$B$18)^91))</f>
        <v/>
      </c>
      <c r="DB57" s="7">
        <f>IF(A57="","",IF((A57+92)&gt;Model!$B$4,0,MAX(0,Model!$B$6-IF((A57+92)&gt;=Model!$B$11,Model!$B$20,0)-IF(92&lt;Model!$B$15,Model!$B$22,0))/(1-Model!$B$9)/(1+Model!$B$18)^92))</f>
        <v/>
      </c>
      <c r="DC57" s="7">
        <f>IF(A57="","",IF((A57+93)&gt;Model!$B$4,0,MAX(0,Model!$B$6-IF((A57+93)&gt;=Model!$B$11,Model!$B$20,0)-IF(93&lt;Model!$B$15,Model!$B$22,0))/(1-Model!$B$9)/(1+Model!$B$18)^93))</f>
        <v/>
      </c>
      <c r="DD57" s="7">
        <f>IF(A57="","",IF((A57+94)&gt;Model!$B$4,0,MAX(0,Model!$B$6-IF((A57+94)&gt;=Model!$B$11,Model!$B$20,0)-IF(94&lt;Model!$B$15,Model!$B$22,0))/(1-Model!$B$9)/(1+Model!$B$18)^94))</f>
        <v/>
      </c>
      <c r="DE57" s="7">
        <f>IF(A57="","",IF((A57+95)&gt;Model!$B$4,0,MAX(0,Model!$B$6-IF((A57+95)&gt;=Model!$B$11,Model!$B$20,0)-IF(95&lt;Model!$B$15,Model!$B$22,0))/(1-Model!$B$9)/(1+Model!$B$18)^95))</f>
        <v/>
      </c>
      <c r="DF57" s="7">
        <f>IF(A57="","",IF((A57+96)&gt;Model!$B$4,0,MAX(0,Model!$B$6-IF((A57+96)&gt;=Model!$B$11,Model!$B$20,0)-IF(96&lt;Model!$B$15,Model!$B$22,0))/(1-Model!$B$9)/(1+Model!$B$18)^96))</f>
        <v/>
      </c>
      <c r="DG57" s="7">
        <f>IF(A57="","",IF((A57+97)&gt;Model!$B$4,0,MAX(0,Model!$B$6-IF((A57+97)&gt;=Model!$B$11,Model!$B$20,0)-IF(97&lt;Model!$B$15,Model!$B$22,0))/(1-Model!$B$9)/(1+Model!$B$18)^97))</f>
        <v/>
      </c>
      <c r="DH57" s="7">
        <f>IF(A57="","",IF((A57+98)&gt;Model!$B$4,0,MAX(0,Model!$B$6-IF((A57+98)&gt;=Model!$B$11,Model!$B$20,0)-IF(98&lt;Model!$B$15,Model!$B$22,0))/(1-Model!$B$9)/(1+Model!$B$18)^98))</f>
        <v/>
      </c>
      <c r="DI57" s="7">
        <f>IF(A57="","",IF((A57+99)&gt;Model!$B$4,0,MAX(0,Model!$B$6-IF((A57+99)&gt;=Model!$B$11,Model!$B$20,0)-IF(99&lt;Model!$B$15,Model!$B$22,0))/(1-Model!$B$9)/(1+Model!$B$18)^99))</f>
        <v/>
      </c>
      <c r="DJ57" s="7">
        <f>IF(A57="","",IF((A57+100)&gt;Model!$B$4,0,MAX(0,Model!$B$6-IF((A57+100)&gt;=Model!$B$11,Model!$B$20,0)-IF(100&lt;Model!$B$15,Model!$B$22,0))/(1-Model!$B$9)/(1+Model!$B$18)^100))</f>
        <v/>
      </c>
      <c r="DK57" s="7">
        <f>IF(A57="","",IF((A57+101)&gt;Model!$B$4,0,MAX(0,Model!$B$6-IF((A57+101)&gt;=Model!$B$11,Model!$B$20,0)-IF(101&lt;Model!$B$15,Model!$B$22,0))/(1-Model!$B$9)/(1+Model!$B$18)^101))</f>
        <v/>
      </c>
      <c r="DL57" s="7">
        <f>IF(A57="","",IF((A57+102)&gt;Model!$B$4,0,MAX(0,Model!$B$6-IF((A57+102)&gt;=Model!$B$11,Model!$B$20,0)-IF(102&lt;Model!$B$15,Model!$B$22,0))/(1-Model!$B$9)/(1+Model!$B$18)^102))</f>
        <v/>
      </c>
      <c r="DM57" s="7">
        <f>IF(A57="","",IF((A57+103)&gt;Model!$B$4,0,MAX(0,Model!$B$6-IF((A57+103)&gt;=Model!$B$11,Model!$B$20,0)-IF(103&lt;Model!$B$15,Model!$B$22,0))/(1-Model!$B$9)/(1+Model!$B$18)^103))</f>
        <v/>
      </c>
      <c r="DN57" s="7">
        <f>IF(A57="","",IF((A57+104)&gt;Model!$B$4,0,MAX(0,Model!$B$6-IF((A57+104)&gt;=Model!$B$11,Model!$B$20,0)-IF(104&lt;Model!$B$15,Model!$B$22,0))/(1-Model!$B$9)/(1+Model!$B$18)^104))</f>
        <v/>
      </c>
      <c r="DO57" s="7">
        <f>IF(A57="","",IF((A57+105)&gt;Model!$B$4,0,MAX(0,Model!$B$6-IF((A57+105)&gt;=Model!$B$11,Model!$B$20,0)-IF(105&lt;Model!$B$15,Model!$B$22,0))/(1-Model!$B$9)/(1+Model!$B$18)^105))</f>
        <v/>
      </c>
      <c r="DP57" s="7">
        <f>IF(A57="","",IF((A57+106)&gt;Model!$B$4,0,MAX(0,Model!$B$6-IF((A57+106)&gt;=Model!$B$11,Model!$B$20,0)-IF(106&lt;Model!$B$15,Model!$B$22,0))/(1-Model!$B$9)/(1+Model!$B$18)^106))</f>
        <v/>
      </c>
      <c r="DQ57" s="7">
        <f>IF(A57="","",IF((A57+107)&gt;Model!$B$4,0,MAX(0,Model!$B$6-IF((A57+107)&gt;=Model!$B$11,Model!$B$20,0)-IF(107&lt;Model!$B$15,Model!$B$22,0))/(1-Model!$B$9)/(1+Model!$B$18)^107))</f>
        <v/>
      </c>
      <c r="DR57" s="7">
        <f>IF(A57="","",IF((A57+108)&gt;Model!$B$4,0,MAX(0,Model!$B$6-IF((A57+108)&gt;=Model!$B$11,Model!$B$20,0)-IF(108&lt;Model!$B$15,Model!$B$22,0))/(1-Model!$B$9)/(1+Model!$B$18)^108))</f>
        <v/>
      </c>
      <c r="DS57" s="7">
        <f>IF(A57="","",IF((A57+109)&gt;Model!$B$4,0,MAX(0,Model!$B$6-IF((A57+109)&gt;=Model!$B$11,Model!$B$20,0)-IF(109&lt;Model!$B$15,Model!$B$22,0))/(1-Model!$B$9)/(1+Model!$B$18)^109))</f>
        <v/>
      </c>
      <c r="DT57" s="7">
        <f>IF(A57="","",IF((A57+110)&gt;Model!$B$4,0,MAX(0,Model!$B$6-IF((A57+110)&gt;=Model!$B$11,Model!$B$20,0)-IF(110&lt;Model!$B$15,Model!$B$22,0))/(1-Model!$B$9)/(1+Model!$B$18)^110))</f>
        <v/>
      </c>
      <c r="DU57" s="7">
        <f>IF(A57="","",IF((A57+111)&gt;Model!$B$4,0,MAX(0,Model!$B$6-IF((A57+111)&gt;=Model!$B$11,Model!$B$20,0)-IF(111&lt;Model!$B$15,Model!$B$22,0))/(1-Model!$B$9)/(1+Model!$B$18)^111))</f>
        <v/>
      </c>
      <c r="DV57" s="7">
        <f>IF(A57="","",IF((A57+112)&gt;Model!$B$4,0,MAX(0,Model!$B$6-IF((A57+112)&gt;=Model!$B$11,Model!$B$20,0)-IF(112&lt;Model!$B$15,Model!$B$22,0))/(1-Model!$B$9)/(1+Model!$B$18)^112))</f>
        <v/>
      </c>
      <c r="DW57" s="7">
        <f>IF(A57="","",IF((A57+113)&gt;Model!$B$4,0,MAX(0,Model!$B$6-IF((A57+113)&gt;=Model!$B$11,Model!$B$20,0)-IF(113&lt;Model!$B$15,Model!$B$22,0))/(1-Model!$B$9)/(1+Model!$B$18)^113))</f>
        <v/>
      </c>
      <c r="DX57" s="7">
        <f>IF(A57="","",IF((A57+114)&gt;Model!$B$4,0,MAX(0,Model!$B$6-IF((A57+114)&gt;=Model!$B$11,Model!$B$20,0)-IF(114&lt;Model!$B$15,Model!$B$22,0))/(1-Model!$B$9)/(1+Model!$B$18)^114))</f>
        <v/>
      </c>
      <c r="DY57" s="7">
        <f>IF(A57="","",IF((A57+115)&gt;Model!$B$4,0,MAX(0,Model!$B$6-IF((A57+115)&gt;=Model!$B$11,Model!$B$20,0)-IF(115&lt;Model!$B$15,Model!$B$22,0))/(1-Model!$B$9)/(1+Model!$B$18)^115))</f>
        <v/>
      </c>
      <c r="DZ57" s="7">
        <f>IF(A57="","",IF((A57+116)&gt;Model!$B$4,0,MAX(0,Model!$B$6-IF((A57+116)&gt;=Model!$B$11,Model!$B$20,0)-IF(116&lt;Model!$B$15,Model!$B$22,0))/(1-Model!$B$9)/(1+Model!$B$18)^116))</f>
        <v/>
      </c>
      <c r="EA57" s="7">
        <f>IF(A57="","",IF((A57+117)&gt;Model!$B$4,0,MAX(0,Model!$B$6-IF((A57+117)&gt;=Model!$B$11,Model!$B$20,0)-IF(117&lt;Model!$B$15,Model!$B$22,0))/(1-Model!$B$9)/(1+Model!$B$18)^117))</f>
        <v/>
      </c>
      <c r="EB57" s="7">
        <f>IF(A57="","",IF((A57+118)&gt;Model!$B$4,0,MAX(0,Model!$B$6-IF((A57+118)&gt;=Model!$B$11,Model!$B$20,0)-IF(118&lt;Model!$B$15,Model!$B$22,0))/(1-Model!$B$9)/(1+Model!$B$18)^118))</f>
        <v/>
      </c>
      <c r="EC57" s="7">
        <f>IF(A57="","",IF((A57+119)&gt;Model!$B$4,0,MAX(0,Model!$B$6-IF((A57+119)&gt;=Model!$B$11,Model!$B$20,0)-IF(119&lt;Model!$B$15,Model!$B$22,0))/(1-Model!$B$9)/(1+Model!$B$18)^119))</f>
        <v/>
      </c>
      <c r="ED57" s="7">
        <f>IF(A57="","",IF((A57+120)&gt;Model!$B$4,0,MAX(0,Model!$B$6-IF((A57+120)&gt;=Model!$B$11,Model!$B$20,0)-IF(120&lt;Model!$B$15,Model!$B$22,0))/(1-Model!$B$9)/(1+Model!$B$18)^120))</f>
        <v/>
      </c>
    </row>
    <row r="58">
      <c r="A58">
        <f>IF(Model!$B$10+ROW()-2&lt;=Model!$B$4,Model!$B$10+ROW()-2,"")</f>
        <v/>
      </c>
      <c r="B58">
        <f>IF(A58="","",A58-Model!$B$10)</f>
        <v/>
      </c>
      <c r="C58" s="7">
        <f>IF(A58="","",Model!$B$5*(1+Model!$B$18)^B58)</f>
        <v/>
      </c>
      <c r="D58" s="7">
        <f>IF(A58="","",SUM(N58:ED58))</f>
        <v/>
      </c>
      <c r="E58" s="7">
        <f>IF(A58="","",IF(A58&gt;=Model!$B$11,Model!$B$20,0))</f>
        <v/>
      </c>
      <c r="F58" s="7">
        <f>IF(A58="","",IF(Model!$B$15&gt;0,Model!$B$22,0))</f>
        <v/>
      </c>
      <c r="G58" s="7">
        <f>IF(A58="","",E58+F58)</f>
        <v/>
      </c>
      <c r="H58" s="7">
        <f>IF(A58="","",MAX(0,Model!$B$6-G58))</f>
        <v/>
      </c>
      <c r="I58" s="7">
        <f>IF(A58="","",H58/(1-Model!$B$9))</f>
        <v/>
      </c>
      <c r="J58" s="7">
        <f>IF(A58="","",C58-D58)</f>
        <v/>
      </c>
      <c r="K58">
        <f>IF(A58="","",C58&gt;=D58)</f>
        <v/>
      </c>
      <c r="L58" s="7">
        <f>IF(A58="","",IF(A58&gt;=Model!$B$11,Model!$B$19*(1+Model!$B$13)^B58,0))</f>
        <v/>
      </c>
      <c r="M58" s="7">
        <f>IF(A58="","",IF(Model!$B$15&gt;0,Model!$B$21*(1+Model!$B$13)^B58,0))</f>
        <v/>
      </c>
      <c r="N58" s="7">
        <f>IF(A58="","",IF((A58+0)&gt;Model!$B$4,0,MAX(0,Model!$B$6-IF((A58+0)&gt;=Model!$B$11,Model!$B$20,0)-IF(0&lt;Model!$B$15,Model!$B$22,0))/(1-Model!$B$9)/(1+Model!$B$18)^0))</f>
        <v/>
      </c>
      <c r="O58" s="7">
        <f>IF(A58="","",IF((A58+1)&gt;Model!$B$4,0,MAX(0,Model!$B$6-IF((A58+1)&gt;=Model!$B$11,Model!$B$20,0)-IF(1&lt;Model!$B$15,Model!$B$22,0))/(1-Model!$B$9)/(1+Model!$B$18)^1))</f>
        <v/>
      </c>
      <c r="P58" s="7">
        <f>IF(A58="","",IF((A58+2)&gt;Model!$B$4,0,MAX(0,Model!$B$6-IF((A58+2)&gt;=Model!$B$11,Model!$B$20,0)-IF(2&lt;Model!$B$15,Model!$B$22,0))/(1-Model!$B$9)/(1+Model!$B$18)^2))</f>
        <v/>
      </c>
      <c r="Q58" s="7">
        <f>IF(A58="","",IF((A58+3)&gt;Model!$B$4,0,MAX(0,Model!$B$6-IF((A58+3)&gt;=Model!$B$11,Model!$B$20,0)-IF(3&lt;Model!$B$15,Model!$B$22,0))/(1-Model!$B$9)/(1+Model!$B$18)^3))</f>
        <v/>
      </c>
      <c r="R58" s="7">
        <f>IF(A58="","",IF((A58+4)&gt;Model!$B$4,0,MAX(0,Model!$B$6-IF((A58+4)&gt;=Model!$B$11,Model!$B$20,0)-IF(4&lt;Model!$B$15,Model!$B$22,0))/(1-Model!$B$9)/(1+Model!$B$18)^4))</f>
        <v/>
      </c>
      <c r="S58" s="7">
        <f>IF(A58="","",IF((A58+5)&gt;Model!$B$4,0,MAX(0,Model!$B$6-IF((A58+5)&gt;=Model!$B$11,Model!$B$20,0)-IF(5&lt;Model!$B$15,Model!$B$22,0))/(1-Model!$B$9)/(1+Model!$B$18)^5))</f>
        <v/>
      </c>
      <c r="T58" s="7">
        <f>IF(A58="","",IF((A58+6)&gt;Model!$B$4,0,MAX(0,Model!$B$6-IF((A58+6)&gt;=Model!$B$11,Model!$B$20,0)-IF(6&lt;Model!$B$15,Model!$B$22,0))/(1-Model!$B$9)/(1+Model!$B$18)^6))</f>
        <v/>
      </c>
      <c r="U58" s="7">
        <f>IF(A58="","",IF((A58+7)&gt;Model!$B$4,0,MAX(0,Model!$B$6-IF((A58+7)&gt;=Model!$B$11,Model!$B$20,0)-IF(7&lt;Model!$B$15,Model!$B$22,0))/(1-Model!$B$9)/(1+Model!$B$18)^7))</f>
        <v/>
      </c>
      <c r="V58" s="7">
        <f>IF(A58="","",IF((A58+8)&gt;Model!$B$4,0,MAX(0,Model!$B$6-IF((A58+8)&gt;=Model!$B$11,Model!$B$20,0)-IF(8&lt;Model!$B$15,Model!$B$22,0))/(1-Model!$B$9)/(1+Model!$B$18)^8))</f>
        <v/>
      </c>
      <c r="W58" s="7">
        <f>IF(A58="","",IF((A58+9)&gt;Model!$B$4,0,MAX(0,Model!$B$6-IF((A58+9)&gt;=Model!$B$11,Model!$B$20,0)-IF(9&lt;Model!$B$15,Model!$B$22,0))/(1-Model!$B$9)/(1+Model!$B$18)^9))</f>
        <v/>
      </c>
      <c r="X58" s="7">
        <f>IF(A58="","",IF((A58+10)&gt;Model!$B$4,0,MAX(0,Model!$B$6-IF((A58+10)&gt;=Model!$B$11,Model!$B$20,0)-IF(10&lt;Model!$B$15,Model!$B$22,0))/(1-Model!$B$9)/(1+Model!$B$18)^10))</f>
        <v/>
      </c>
      <c r="Y58" s="7">
        <f>IF(A58="","",IF((A58+11)&gt;Model!$B$4,0,MAX(0,Model!$B$6-IF((A58+11)&gt;=Model!$B$11,Model!$B$20,0)-IF(11&lt;Model!$B$15,Model!$B$22,0))/(1-Model!$B$9)/(1+Model!$B$18)^11))</f>
        <v/>
      </c>
      <c r="Z58" s="7">
        <f>IF(A58="","",IF((A58+12)&gt;Model!$B$4,0,MAX(0,Model!$B$6-IF((A58+12)&gt;=Model!$B$11,Model!$B$20,0)-IF(12&lt;Model!$B$15,Model!$B$22,0))/(1-Model!$B$9)/(1+Model!$B$18)^12))</f>
        <v/>
      </c>
      <c r="AA58" s="7">
        <f>IF(A58="","",IF((A58+13)&gt;Model!$B$4,0,MAX(0,Model!$B$6-IF((A58+13)&gt;=Model!$B$11,Model!$B$20,0)-IF(13&lt;Model!$B$15,Model!$B$22,0))/(1-Model!$B$9)/(1+Model!$B$18)^13))</f>
        <v/>
      </c>
      <c r="AB58" s="7">
        <f>IF(A58="","",IF((A58+14)&gt;Model!$B$4,0,MAX(0,Model!$B$6-IF((A58+14)&gt;=Model!$B$11,Model!$B$20,0)-IF(14&lt;Model!$B$15,Model!$B$22,0))/(1-Model!$B$9)/(1+Model!$B$18)^14))</f>
        <v/>
      </c>
      <c r="AC58" s="7">
        <f>IF(A58="","",IF((A58+15)&gt;Model!$B$4,0,MAX(0,Model!$B$6-IF((A58+15)&gt;=Model!$B$11,Model!$B$20,0)-IF(15&lt;Model!$B$15,Model!$B$22,0))/(1-Model!$B$9)/(1+Model!$B$18)^15))</f>
        <v/>
      </c>
      <c r="AD58" s="7">
        <f>IF(A58="","",IF((A58+16)&gt;Model!$B$4,0,MAX(0,Model!$B$6-IF((A58+16)&gt;=Model!$B$11,Model!$B$20,0)-IF(16&lt;Model!$B$15,Model!$B$22,0))/(1-Model!$B$9)/(1+Model!$B$18)^16))</f>
        <v/>
      </c>
      <c r="AE58" s="7">
        <f>IF(A58="","",IF((A58+17)&gt;Model!$B$4,0,MAX(0,Model!$B$6-IF((A58+17)&gt;=Model!$B$11,Model!$B$20,0)-IF(17&lt;Model!$B$15,Model!$B$22,0))/(1-Model!$B$9)/(1+Model!$B$18)^17))</f>
        <v/>
      </c>
      <c r="AF58" s="7">
        <f>IF(A58="","",IF((A58+18)&gt;Model!$B$4,0,MAX(0,Model!$B$6-IF((A58+18)&gt;=Model!$B$11,Model!$B$20,0)-IF(18&lt;Model!$B$15,Model!$B$22,0))/(1-Model!$B$9)/(1+Model!$B$18)^18))</f>
        <v/>
      </c>
      <c r="AG58" s="7">
        <f>IF(A58="","",IF((A58+19)&gt;Model!$B$4,0,MAX(0,Model!$B$6-IF((A58+19)&gt;=Model!$B$11,Model!$B$20,0)-IF(19&lt;Model!$B$15,Model!$B$22,0))/(1-Model!$B$9)/(1+Model!$B$18)^19))</f>
        <v/>
      </c>
      <c r="AH58" s="7">
        <f>IF(A58="","",IF((A58+20)&gt;Model!$B$4,0,MAX(0,Model!$B$6-IF((A58+20)&gt;=Model!$B$11,Model!$B$20,0)-IF(20&lt;Model!$B$15,Model!$B$22,0))/(1-Model!$B$9)/(1+Model!$B$18)^20))</f>
        <v/>
      </c>
      <c r="AI58" s="7">
        <f>IF(A58="","",IF((A58+21)&gt;Model!$B$4,0,MAX(0,Model!$B$6-IF((A58+21)&gt;=Model!$B$11,Model!$B$20,0)-IF(21&lt;Model!$B$15,Model!$B$22,0))/(1-Model!$B$9)/(1+Model!$B$18)^21))</f>
        <v/>
      </c>
      <c r="AJ58" s="7">
        <f>IF(A58="","",IF((A58+22)&gt;Model!$B$4,0,MAX(0,Model!$B$6-IF((A58+22)&gt;=Model!$B$11,Model!$B$20,0)-IF(22&lt;Model!$B$15,Model!$B$22,0))/(1-Model!$B$9)/(1+Model!$B$18)^22))</f>
        <v/>
      </c>
      <c r="AK58" s="7">
        <f>IF(A58="","",IF((A58+23)&gt;Model!$B$4,0,MAX(0,Model!$B$6-IF((A58+23)&gt;=Model!$B$11,Model!$B$20,0)-IF(23&lt;Model!$B$15,Model!$B$22,0))/(1-Model!$B$9)/(1+Model!$B$18)^23))</f>
        <v/>
      </c>
      <c r="AL58" s="7">
        <f>IF(A58="","",IF((A58+24)&gt;Model!$B$4,0,MAX(0,Model!$B$6-IF((A58+24)&gt;=Model!$B$11,Model!$B$20,0)-IF(24&lt;Model!$B$15,Model!$B$22,0))/(1-Model!$B$9)/(1+Model!$B$18)^24))</f>
        <v/>
      </c>
      <c r="AM58" s="7">
        <f>IF(A58="","",IF((A58+25)&gt;Model!$B$4,0,MAX(0,Model!$B$6-IF((A58+25)&gt;=Model!$B$11,Model!$B$20,0)-IF(25&lt;Model!$B$15,Model!$B$22,0))/(1-Model!$B$9)/(1+Model!$B$18)^25))</f>
        <v/>
      </c>
      <c r="AN58" s="7">
        <f>IF(A58="","",IF((A58+26)&gt;Model!$B$4,0,MAX(0,Model!$B$6-IF((A58+26)&gt;=Model!$B$11,Model!$B$20,0)-IF(26&lt;Model!$B$15,Model!$B$22,0))/(1-Model!$B$9)/(1+Model!$B$18)^26))</f>
        <v/>
      </c>
      <c r="AO58" s="7">
        <f>IF(A58="","",IF((A58+27)&gt;Model!$B$4,0,MAX(0,Model!$B$6-IF((A58+27)&gt;=Model!$B$11,Model!$B$20,0)-IF(27&lt;Model!$B$15,Model!$B$22,0))/(1-Model!$B$9)/(1+Model!$B$18)^27))</f>
        <v/>
      </c>
      <c r="AP58" s="7">
        <f>IF(A58="","",IF((A58+28)&gt;Model!$B$4,0,MAX(0,Model!$B$6-IF((A58+28)&gt;=Model!$B$11,Model!$B$20,0)-IF(28&lt;Model!$B$15,Model!$B$22,0))/(1-Model!$B$9)/(1+Model!$B$18)^28))</f>
        <v/>
      </c>
      <c r="AQ58" s="7">
        <f>IF(A58="","",IF((A58+29)&gt;Model!$B$4,0,MAX(0,Model!$B$6-IF((A58+29)&gt;=Model!$B$11,Model!$B$20,0)-IF(29&lt;Model!$B$15,Model!$B$22,0))/(1-Model!$B$9)/(1+Model!$B$18)^29))</f>
        <v/>
      </c>
      <c r="AR58" s="7">
        <f>IF(A58="","",IF((A58+30)&gt;Model!$B$4,0,MAX(0,Model!$B$6-IF((A58+30)&gt;=Model!$B$11,Model!$B$20,0)-IF(30&lt;Model!$B$15,Model!$B$22,0))/(1-Model!$B$9)/(1+Model!$B$18)^30))</f>
        <v/>
      </c>
      <c r="AS58" s="7">
        <f>IF(A58="","",IF((A58+31)&gt;Model!$B$4,0,MAX(0,Model!$B$6-IF((A58+31)&gt;=Model!$B$11,Model!$B$20,0)-IF(31&lt;Model!$B$15,Model!$B$22,0))/(1-Model!$B$9)/(1+Model!$B$18)^31))</f>
        <v/>
      </c>
      <c r="AT58" s="7">
        <f>IF(A58="","",IF((A58+32)&gt;Model!$B$4,0,MAX(0,Model!$B$6-IF((A58+32)&gt;=Model!$B$11,Model!$B$20,0)-IF(32&lt;Model!$B$15,Model!$B$22,0))/(1-Model!$B$9)/(1+Model!$B$18)^32))</f>
        <v/>
      </c>
      <c r="AU58" s="7">
        <f>IF(A58="","",IF((A58+33)&gt;Model!$B$4,0,MAX(0,Model!$B$6-IF((A58+33)&gt;=Model!$B$11,Model!$B$20,0)-IF(33&lt;Model!$B$15,Model!$B$22,0))/(1-Model!$B$9)/(1+Model!$B$18)^33))</f>
        <v/>
      </c>
      <c r="AV58" s="7">
        <f>IF(A58="","",IF((A58+34)&gt;Model!$B$4,0,MAX(0,Model!$B$6-IF((A58+34)&gt;=Model!$B$11,Model!$B$20,0)-IF(34&lt;Model!$B$15,Model!$B$22,0))/(1-Model!$B$9)/(1+Model!$B$18)^34))</f>
        <v/>
      </c>
      <c r="AW58" s="7">
        <f>IF(A58="","",IF((A58+35)&gt;Model!$B$4,0,MAX(0,Model!$B$6-IF((A58+35)&gt;=Model!$B$11,Model!$B$20,0)-IF(35&lt;Model!$B$15,Model!$B$22,0))/(1-Model!$B$9)/(1+Model!$B$18)^35))</f>
        <v/>
      </c>
      <c r="AX58" s="7">
        <f>IF(A58="","",IF((A58+36)&gt;Model!$B$4,0,MAX(0,Model!$B$6-IF((A58+36)&gt;=Model!$B$11,Model!$B$20,0)-IF(36&lt;Model!$B$15,Model!$B$22,0))/(1-Model!$B$9)/(1+Model!$B$18)^36))</f>
        <v/>
      </c>
      <c r="AY58" s="7">
        <f>IF(A58="","",IF((A58+37)&gt;Model!$B$4,0,MAX(0,Model!$B$6-IF((A58+37)&gt;=Model!$B$11,Model!$B$20,0)-IF(37&lt;Model!$B$15,Model!$B$22,0))/(1-Model!$B$9)/(1+Model!$B$18)^37))</f>
        <v/>
      </c>
      <c r="AZ58" s="7">
        <f>IF(A58="","",IF((A58+38)&gt;Model!$B$4,0,MAX(0,Model!$B$6-IF((A58+38)&gt;=Model!$B$11,Model!$B$20,0)-IF(38&lt;Model!$B$15,Model!$B$22,0))/(1-Model!$B$9)/(1+Model!$B$18)^38))</f>
        <v/>
      </c>
      <c r="BA58" s="7">
        <f>IF(A58="","",IF((A58+39)&gt;Model!$B$4,0,MAX(0,Model!$B$6-IF((A58+39)&gt;=Model!$B$11,Model!$B$20,0)-IF(39&lt;Model!$B$15,Model!$B$22,0))/(1-Model!$B$9)/(1+Model!$B$18)^39))</f>
        <v/>
      </c>
      <c r="BB58" s="7">
        <f>IF(A58="","",IF((A58+40)&gt;Model!$B$4,0,MAX(0,Model!$B$6-IF((A58+40)&gt;=Model!$B$11,Model!$B$20,0)-IF(40&lt;Model!$B$15,Model!$B$22,0))/(1-Model!$B$9)/(1+Model!$B$18)^40))</f>
        <v/>
      </c>
      <c r="BC58" s="7">
        <f>IF(A58="","",IF((A58+41)&gt;Model!$B$4,0,MAX(0,Model!$B$6-IF((A58+41)&gt;=Model!$B$11,Model!$B$20,0)-IF(41&lt;Model!$B$15,Model!$B$22,0))/(1-Model!$B$9)/(1+Model!$B$18)^41))</f>
        <v/>
      </c>
      <c r="BD58" s="7">
        <f>IF(A58="","",IF((A58+42)&gt;Model!$B$4,0,MAX(0,Model!$B$6-IF((A58+42)&gt;=Model!$B$11,Model!$B$20,0)-IF(42&lt;Model!$B$15,Model!$B$22,0))/(1-Model!$B$9)/(1+Model!$B$18)^42))</f>
        <v/>
      </c>
      <c r="BE58" s="7">
        <f>IF(A58="","",IF((A58+43)&gt;Model!$B$4,0,MAX(0,Model!$B$6-IF((A58+43)&gt;=Model!$B$11,Model!$B$20,0)-IF(43&lt;Model!$B$15,Model!$B$22,0))/(1-Model!$B$9)/(1+Model!$B$18)^43))</f>
        <v/>
      </c>
      <c r="BF58" s="7">
        <f>IF(A58="","",IF((A58+44)&gt;Model!$B$4,0,MAX(0,Model!$B$6-IF((A58+44)&gt;=Model!$B$11,Model!$B$20,0)-IF(44&lt;Model!$B$15,Model!$B$22,0))/(1-Model!$B$9)/(1+Model!$B$18)^44))</f>
        <v/>
      </c>
      <c r="BG58" s="7">
        <f>IF(A58="","",IF((A58+45)&gt;Model!$B$4,0,MAX(0,Model!$B$6-IF((A58+45)&gt;=Model!$B$11,Model!$B$20,0)-IF(45&lt;Model!$B$15,Model!$B$22,0))/(1-Model!$B$9)/(1+Model!$B$18)^45))</f>
        <v/>
      </c>
      <c r="BH58" s="7">
        <f>IF(A58="","",IF((A58+46)&gt;Model!$B$4,0,MAX(0,Model!$B$6-IF((A58+46)&gt;=Model!$B$11,Model!$B$20,0)-IF(46&lt;Model!$B$15,Model!$B$22,0))/(1-Model!$B$9)/(1+Model!$B$18)^46))</f>
        <v/>
      </c>
      <c r="BI58" s="7">
        <f>IF(A58="","",IF((A58+47)&gt;Model!$B$4,0,MAX(0,Model!$B$6-IF((A58+47)&gt;=Model!$B$11,Model!$B$20,0)-IF(47&lt;Model!$B$15,Model!$B$22,0))/(1-Model!$B$9)/(1+Model!$B$18)^47))</f>
        <v/>
      </c>
      <c r="BJ58" s="7">
        <f>IF(A58="","",IF((A58+48)&gt;Model!$B$4,0,MAX(0,Model!$B$6-IF((A58+48)&gt;=Model!$B$11,Model!$B$20,0)-IF(48&lt;Model!$B$15,Model!$B$22,0))/(1-Model!$B$9)/(1+Model!$B$18)^48))</f>
        <v/>
      </c>
      <c r="BK58" s="7">
        <f>IF(A58="","",IF((A58+49)&gt;Model!$B$4,0,MAX(0,Model!$B$6-IF((A58+49)&gt;=Model!$B$11,Model!$B$20,0)-IF(49&lt;Model!$B$15,Model!$B$22,0))/(1-Model!$B$9)/(1+Model!$B$18)^49))</f>
        <v/>
      </c>
      <c r="BL58" s="7">
        <f>IF(A58="","",IF((A58+50)&gt;Model!$B$4,0,MAX(0,Model!$B$6-IF((A58+50)&gt;=Model!$B$11,Model!$B$20,0)-IF(50&lt;Model!$B$15,Model!$B$22,0))/(1-Model!$B$9)/(1+Model!$B$18)^50))</f>
        <v/>
      </c>
      <c r="BM58" s="7">
        <f>IF(A58="","",IF((A58+51)&gt;Model!$B$4,0,MAX(0,Model!$B$6-IF((A58+51)&gt;=Model!$B$11,Model!$B$20,0)-IF(51&lt;Model!$B$15,Model!$B$22,0))/(1-Model!$B$9)/(1+Model!$B$18)^51))</f>
        <v/>
      </c>
      <c r="BN58" s="7">
        <f>IF(A58="","",IF((A58+52)&gt;Model!$B$4,0,MAX(0,Model!$B$6-IF((A58+52)&gt;=Model!$B$11,Model!$B$20,0)-IF(52&lt;Model!$B$15,Model!$B$22,0))/(1-Model!$B$9)/(1+Model!$B$18)^52))</f>
        <v/>
      </c>
      <c r="BO58" s="7">
        <f>IF(A58="","",IF((A58+53)&gt;Model!$B$4,0,MAX(0,Model!$B$6-IF((A58+53)&gt;=Model!$B$11,Model!$B$20,0)-IF(53&lt;Model!$B$15,Model!$B$22,0))/(1-Model!$B$9)/(1+Model!$B$18)^53))</f>
        <v/>
      </c>
      <c r="BP58" s="7">
        <f>IF(A58="","",IF((A58+54)&gt;Model!$B$4,0,MAX(0,Model!$B$6-IF((A58+54)&gt;=Model!$B$11,Model!$B$20,0)-IF(54&lt;Model!$B$15,Model!$B$22,0))/(1-Model!$B$9)/(1+Model!$B$18)^54))</f>
        <v/>
      </c>
      <c r="BQ58" s="7">
        <f>IF(A58="","",IF((A58+55)&gt;Model!$B$4,0,MAX(0,Model!$B$6-IF((A58+55)&gt;=Model!$B$11,Model!$B$20,0)-IF(55&lt;Model!$B$15,Model!$B$22,0))/(1-Model!$B$9)/(1+Model!$B$18)^55))</f>
        <v/>
      </c>
      <c r="BR58" s="7">
        <f>IF(A58="","",IF((A58+56)&gt;Model!$B$4,0,MAX(0,Model!$B$6-IF((A58+56)&gt;=Model!$B$11,Model!$B$20,0)-IF(56&lt;Model!$B$15,Model!$B$22,0))/(1-Model!$B$9)/(1+Model!$B$18)^56))</f>
        <v/>
      </c>
      <c r="BS58" s="7">
        <f>IF(A58="","",IF((A58+57)&gt;Model!$B$4,0,MAX(0,Model!$B$6-IF((A58+57)&gt;=Model!$B$11,Model!$B$20,0)-IF(57&lt;Model!$B$15,Model!$B$22,0))/(1-Model!$B$9)/(1+Model!$B$18)^57))</f>
        <v/>
      </c>
      <c r="BT58" s="7">
        <f>IF(A58="","",IF((A58+58)&gt;Model!$B$4,0,MAX(0,Model!$B$6-IF((A58+58)&gt;=Model!$B$11,Model!$B$20,0)-IF(58&lt;Model!$B$15,Model!$B$22,0))/(1-Model!$B$9)/(1+Model!$B$18)^58))</f>
        <v/>
      </c>
      <c r="BU58" s="7">
        <f>IF(A58="","",IF((A58+59)&gt;Model!$B$4,0,MAX(0,Model!$B$6-IF((A58+59)&gt;=Model!$B$11,Model!$B$20,0)-IF(59&lt;Model!$B$15,Model!$B$22,0))/(1-Model!$B$9)/(1+Model!$B$18)^59))</f>
        <v/>
      </c>
      <c r="BV58" s="7">
        <f>IF(A58="","",IF((A58+60)&gt;Model!$B$4,0,MAX(0,Model!$B$6-IF((A58+60)&gt;=Model!$B$11,Model!$B$20,0)-IF(60&lt;Model!$B$15,Model!$B$22,0))/(1-Model!$B$9)/(1+Model!$B$18)^60))</f>
        <v/>
      </c>
      <c r="BW58" s="7">
        <f>IF(A58="","",IF((A58+61)&gt;Model!$B$4,0,MAX(0,Model!$B$6-IF((A58+61)&gt;=Model!$B$11,Model!$B$20,0)-IF(61&lt;Model!$B$15,Model!$B$22,0))/(1-Model!$B$9)/(1+Model!$B$18)^61))</f>
        <v/>
      </c>
      <c r="BX58" s="7">
        <f>IF(A58="","",IF((A58+62)&gt;Model!$B$4,0,MAX(0,Model!$B$6-IF((A58+62)&gt;=Model!$B$11,Model!$B$20,0)-IF(62&lt;Model!$B$15,Model!$B$22,0))/(1-Model!$B$9)/(1+Model!$B$18)^62))</f>
        <v/>
      </c>
      <c r="BY58" s="7">
        <f>IF(A58="","",IF((A58+63)&gt;Model!$B$4,0,MAX(0,Model!$B$6-IF((A58+63)&gt;=Model!$B$11,Model!$B$20,0)-IF(63&lt;Model!$B$15,Model!$B$22,0))/(1-Model!$B$9)/(1+Model!$B$18)^63))</f>
        <v/>
      </c>
      <c r="BZ58" s="7">
        <f>IF(A58="","",IF((A58+64)&gt;Model!$B$4,0,MAX(0,Model!$B$6-IF((A58+64)&gt;=Model!$B$11,Model!$B$20,0)-IF(64&lt;Model!$B$15,Model!$B$22,0))/(1-Model!$B$9)/(1+Model!$B$18)^64))</f>
        <v/>
      </c>
      <c r="CA58" s="7">
        <f>IF(A58="","",IF((A58+65)&gt;Model!$B$4,0,MAX(0,Model!$B$6-IF((A58+65)&gt;=Model!$B$11,Model!$B$20,0)-IF(65&lt;Model!$B$15,Model!$B$22,0))/(1-Model!$B$9)/(1+Model!$B$18)^65))</f>
        <v/>
      </c>
      <c r="CB58" s="7">
        <f>IF(A58="","",IF((A58+66)&gt;Model!$B$4,0,MAX(0,Model!$B$6-IF((A58+66)&gt;=Model!$B$11,Model!$B$20,0)-IF(66&lt;Model!$B$15,Model!$B$22,0))/(1-Model!$B$9)/(1+Model!$B$18)^66))</f>
        <v/>
      </c>
      <c r="CC58" s="7">
        <f>IF(A58="","",IF((A58+67)&gt;Model!$B$4,0,MAX(0,Model!$B$6-IF((A58+67)&gt;=Model!$B$11,Model!$B$20,0)-IF(67&lt;Model!$B$15,Model!$B$22,0))/(1-Model!$B$9)/(1+Model!$B$18)^67))</f>
        <v/>
      </c>
      <c r="CD58" s="7">
        <f>IF(A58="","",IF((A58+68)&gt;Model!$B$4,0,MAX(0,Model!$B$6-IF((A58+68)&gt;=Model!$B$11,Model!$B$20,0)-IF(68&lt;Model!$B$15,Model!$B$22,0))/(1-Model!$B$9)/(1+Model!$B$18)^68))</f>
        <v/>
      </c>
      <c r="CE58" s="7">
        <f>IF(A58="","",IF((A58+69)&gt;Model!$B$4,0,MAX(0,Model!$B$6-IF((A58+69)&gt;=Model!$B$11,Model!$B$20,0)-IF(69&lt;Model!$B$15,Model!$B$22,0))/(1-Model!$B$9)/(1+Model!$B$18)^69))</f>
        <v/>
      </c>
      <c r="CF58" s="7">
        <f>IF(A58="","",IF((A58+70)&gt;Model!$B$4,0,MAX(0,Model!$B$6-IF((A58+70)&gt;=Model!$B$11,Model!$B$20,0)-IF(70&lt;Model!$B$15,Model!$B$22,0))/(1-Model!$B$9)/(1+Model!$B$18)^70))</f>
        <v/>
      </c>
      <c r="CG58" s="7">
        <f>IF(A58="","",IF((A58+71)&gt;Model!$B$4,0,MAX(0,Model!$B$6-IF((A58+71)&gt;=Model!$B$11,Model!$B$20,0)-IF(71&lt;Model!$B$15,Model!$B$22,0))/(1-Model!$B$9)/(1+Model!$B$18)^71))</f>
        <v/>
      </c>
      <c r="CH58" s="7">
        <f>IF(A58="","",IF((A58+72)&gt;Model!$B$4,0,MAX(0,Model!$B$6-IF((A58+72)&gt;=Model!$B$11,Model!$B$20,0)-IF(72&lt;Model!$B$15,Model!$B$22,0))/(1-Model!$B$9)/(1+Model!$B$18)^72))</f>
        <v/>
      </c>
      <c r="CI58" s="7">
        <f>IF(A58="","",IF((A58+73)&gt;Model!$B$4,0,MAX(0,Model!$B$6-IF((A58+73)&gt;=Model!$B$11,Model!$B$20,0)-IF(73&lt;Model!$B$15,Model!$B$22,0))/(1-Model!$B$9)/(1+Model!$B$18)^73))</f>
        <v/>
      </c>
      <c r="CJ58" s="7">
        <f>IF(A58="","",IF((A58+74)&gt;Model!$B$4,0,MAX(0,Model!$B$6-IF((A58+74)&gt;=Model!$B$11,Model!$B$20,0)-IF(74&lt;Model!$B$15,Model!$B$22,0))/(1-Model!$B$9)/(1+Model!$B$18)^74))</f>
        <v/>
      </c>
      <c r="CK58" s="7">
        <f>IF(A58="","",IF((A58+75)&gt;Model!$B$4,0,MAX(0,Model!$B$6-IF((A58+75)&gt;=Model!$B$11,Model!$B$20,0)-IF(75&lt;Model!$B$15,Model!$B$22,0))/(1-Model!$B$9)/(1+Model!$B$18)^75))</f>
        <v/>
      </c>
      <c r="CL58" s="7">
        <f>IF(A58="","",IF((A58+76)&gt;Model!$B$4,0,MAX(0,Model!$B$6-IF((A58+76)&gt;=Model!$B$11,Model!$B$20,0)-IF(76&lt;Model!$B$15,Model!$B$22,0))/(1-Model!$B$9)/(1+Model!$B$18)^76))</f>
        <v/>
      </c>
      <c r="CM58" s="7">
        <f>IF(A58="","",IF((A58+77)&gt;Model!$B$4,0,MAX(0,Model!$B$6-IF((A58+77)&gt;=Model!$B$11,Model!$B$20,0)-IF(77&lt;Model!$B$15,Model!$B$22,0))/(1-Model!$B$9)/(1+Model!$B$18)^77))</f>
        <v/>
      </c>
      <c r="CN58" s="7">
        <f>IF(A58="","",IF((A58+78)&gt;Model!$B$4,0,MAX(0,Model!$B$6-IF((A58+78)&gt;=Model!$B$11,Model!$B$20,0)-IF(78&lt;Model!$B$15,Model!$B$22,0))/(1-Model!$B$9)/(1+Model!$B$18)^78))</f>
        <v/>
      </c>
      <c r="CO58" s="7">
        <f>IF(A58="","",IF((A58+79)&gt;Model!$B$4,0,MAX(0,Model!$B$6-IF((A58+79)&gt;=Model!$B$11,Model!$B$20,0)-IF(79&lt;Model!$B$15,Model!$B$22,0))/(1-Model!$B$9)/(1+Model!$B$18)^79))</f>
        <v/>
      </c>
      <c r="CP58" s="7">
        <f>IF(A58="","",IF((A58+80)&gt;Model!$B$4,0,MAX(0,Model!$B$6-IF((A58+80)&gt;=Model!$B$11,Model!$B$20,0)-IF(80&lt;Model!$B$15,Model!$B$22,0))/(1-Model!$B$9)/(1+Model!$B$18)^80))</f>
        <v/>
      </c>
      <c r="CQ58" s="7">
        <f>IF(A58="","",IF((A58+81)&gt;Model!$B$4,0,MAX(0,Model!$B$6-IF((A58+81)&gt;=Model!$B$11,Model!$B$20,0)-IF(81&lt;Model!$B$15,Model!$B$22,0))/(1-Model!$B$9)/(1+Model!$B$18)^81))</f>
        <v/>
      </c>
      <c r="CR58" s="7">
        <f>IF(A58="","",IF((A58+82)&gt;Model!$B$4,0,MAX(0,Model!$B$6-IF((A58+82)&gt;=Model!$B$11,Model!$B$20,0)-IF(82&lt;Model!$B$15,Model!$B$22,0))/(1-Model!$B$9)/(1+Model!$B$18)^82))</f>
        <v/>
      </c>
      <c r="CS58" s="7">
        <f>IF(A58="","",IF((A58+83)&gt;Model!$B$4,0,MAX(0,Model!$B$6-IF((A58+83)&gt;=Model!$B$11,Model!$B$20,0)-IF(83&lt;Model!$B$15,Model!$B$22,0))/(1-Model!$B$9)/(1+Model!$B$18)^83))</f>
        <v/>
      </c>
      <c r="CT58" s="7">
        <f>IF(A58="","",IF((A58+84)&gt;Model!$B$4,0,MAX(0,Model!$B$6-IF((A58+84)&gt;=Model!$B$11,Model!$B$20,0)-IF(84&lt;Model!$B$15,Model!$B$22,0))/(1-Model!$B$9)/(1+Model!$B$18)^84))</f>
        <v/>
      </c>
      <c r="CU58" s="7">
        <f>IF(A58="","",IF((A58+85)&gt;Model!$B$4,0,MAX(0,Model!$B$6-IF((A58+85)&gt;=Model!$B$11,Model!$B$20,0)-IF(85&lt;Model!$B$15,Model!$B$22,0))/(1-Model!$B$9)/(1+Model!$B$18)^85))</f>
        <v/>
      </c>
      <c r="CV58" s="7">
        <f>IF(A58="","",IF((A58+86)&gt;Model!$B$4,0,MAX(0,Model!$B$6-IF((A58+86)&gt;=Model!$B$11,Model!$B$20,0)-IF(86&lt;Model!$B$15,Model!$B$22,0))/(1-Model!$B$9)/(1+Model!$B$18)^86))</f>
        <v/>
      </c>
      <c r="CW58" s="7">
        <f>IF(A58="","",IF((A58+87)&gt;Model!$B$4,0,MAX(0,Model!$B$6-IF((A58+87)&gt;=Model!$B$11,Model!$B$20,0)-IF(87&lt;Model!$B$15,Model!$B$22,0))/(1-Model!$B$9)/(1+Model!$B$18)^87))</f>
        <v/>
      </c>
      <c r="CX58" s="7">
        <f>IF(A58="","",IF((A58+88)&gt;Model!$B$4,0,MAX(0,Model!$B$6-IF((A58+88)&gt;=Model!$B$11,Model!$B$20,0)-IF(88&lt;Model!$B$15,Model!$B$22,0))/(1-Model!$B$9)/(1+Model!$B$18)^88))</f>
        <v/>
      </c>
      <c r="CY58" s="7">
        <f>IF(A58="","",IF((A58+89)&gt;Model!$B$4,0,MAX(0,Model!$B$6-IF((A58+89)&gt;=Model!$B$11,Model!$B$20,0)-IF(89&lt;Model!$B$15,Model!$B$22,0))/(1-Model!$B$9)/(1+Model!$B$18)^89))</f>
        <v/>
      </c>
      <c r="CZ58" s="7">
        <f>IF(A58="","",IF((A58+90)&gt;Model!$B$4,0,MAX(0,Model!$B$6-IF((A58+90)&gt;=Model!$B$11,Model!$B$20,0)-IF(90&lt;Model!$B$15,Model!$B$22,0))/(1-Model!$B$9)/(1+Model!$B$18)^90))</f>
        <v/>
      </c>
      <c r="DA58" s="7">
        <f>IF(A58="","",IF((A58+91)&gt;Model!$B$4,0,MAX(0,Model!$B$6-IF((A58+91)&gt;=Model!$B$11,Model!$B$20,0)-IF(91&lt;Model!$B$15,Model!$B$22,0))/(1-Model!$B$9)/(1+Model!$B$18)^91))</f>
        <v/>
      </c>
      <c r="DB58" s="7">
        <f>IF(A58="","",IF((A58+92)&gt;Model!$B$4,0,MAX(0,Model!$B$6-IF((A58+92)&gt;=Model!$B$11,Model!$B$20,0)-IF(92&lt;Model!$B$15,Model!$B$22,0))/(1-Model!$B$9)/(1+Model!$B$18)^92))</f>
        <v/>
      </c>
      <c r="DC58" s="7">
        <f>IF(A58="","",IF((A58+93)&gt;Model!$B$4,0,MAX(0,Model!$B$6-IF((A58+93)&gt;=Model!$B$11,Model!$B$20,0)-IF(93&lt;Model!$B$15,Model!$B$22,0))/(1-Model!$B$9)/(1+Model!$B$18)^93))</f>
        <v/>
      </c>
      <c r="DD58" s="7">
        <f>IF(A58="","",IF((A58+94)&gt;Model!$B$4,0,MAX(0,Model!$B$6-IF((A58+94)&gt;=Model!$B$11,Model!$B$20,0)-IF(94&lt;Model!$B$15,Model!$B$22,0))/(1-Model!$B$9)/(1+Model!$B$18)^94))</f>
        <v/>
      </c>
      <c r="DE58" s="7">
        <f>IF(A58="","",IF((A58+95)&gt;Model!$B$4,0,MAX(0,Model!$B$6-IF((A58+95)&gt;=Model!$B$11,Model!$B$20,0)-IF(95&lt;Model!$B$15,Model!$B$22,0))/(1-Model!$B$9)/(1+Model!$B$18)^95))</f>
        <v/>
      </c>
      <c r="DF58" s="7">
        <f>IF(A58="","",IF((A58+96)&gt;Model!$B$4,0,MAX(0,Model!$B$6-IF((A58+96)&gt;=Model!$B$11,Model!$B$20,0)-IF(96&lt;Model!$B$15,Model!$B$22,0))/(1-Model!$B$9)/(1+Model!$B$18)^96))</f>
        <v/>
      </c>
      <c r="DG58" s="7">
        <f>IF(A58="","",IF((A58+97)&gt;Model!$B$4,0,MAX(0,Model!$B$6-IF((A58+97)&gt;=Model!$B$11,Model!$B$20,0)-IF(97&lt;Model!$B$15,Model!$B$22,0))/(1-Model!$B$9)/(1+Model!$B$18)^97))</f>
        <v/>
      </c>
      <c r="DH58" s="7">
        <f>IF(A58="","",IF((A58+98)&gt;Model!$B$4,0,MAX(0,Model!$B$6-IF((A58+98)&gt;=Model!$B$11,Model!$B$20,0)-IF(98&lt;Model!$B$15,Model!$B$22,0))/(1-Model!$B$9)/(1+Model!$B$18)^98))</f>
        <v/>
      </c>
      <c r="DI58" s="7">
        <f>IF(A58="","",IF((A58+99)&gt;Model!$B$4,0,MAX(0,Model!$B$6-IF((A58+99)&gt;=Model!$B$11,Model!$B$20,0)-IF(99&lt;Model!$B$15,Model!$B$22,0))/(1-Model!$B$9)/(1+Model!$B$18)^99))</f>
        <v/>
      </c>
      <c r="DJ58" s="7">
        <f>IF(A58="","",IF((A58+100)&gt;Model!$B$4,0,MAX(0,Model!$B$6-IF((A58+100)&gt;=Model!$B$11,Model!$B$20,0)-IF(100&lt;Model!$B$15,Model!$B$22,0))/(1-Model!$B$9)/(1+Model!$B$18)^100))</f>
        <v/>
      </c>
      <c r="DK58" s="7">
        <f>IF(A58="","",IF((A58+101)&gt;Model!$B$4,0,MAX(0,Model!$B$6-IF((A58+101)&gt;=Model!$B$11,Model!$B$20,0)-IF(101&lt;Model!$B$15,Model!$B$22,0))/(1-Model!$B$9)/(1+Model!$B$18)^101))</f>
        <v/>
      </c>
      <c r="DL58" s="7">
        <f>IF(A58="","",IF((A58+102)&gt;Model!$B$4,0,MAX(0,Model!$B$6-IF((A58+102)&gt;=Model!$B$11,Model!$B$20,0)-IF(102&lt;Model!$B$15,Model!$B$22,0))/(1-Model!$B$9)/(1+Model!$B$18)^102))</f>
        <v/>
      </c>
      <c r="DM58" s="7">
        <f>IF(A58="","",IF((A58+103)&gt;Model!$B$4,0,MAX(0,Model!$B$6-IF((A58+103)&gt;=Model!$B$11,Model!$B$20,0)-IF(103&lt;Model!$B$15,Model!$B$22,0))/(1-Model!$B$9)/(1+Model!$B$18)^103))</f>
        <v/>
      </c>
      <c r="DN58" s="7">
        <f>IF(A58="","",IF((A58+104)&gt;Model!$B$4,0,MAX(0,Model!$B$6-IF((A58+104)&gt;=Model!$B$11,Model!$B$20,0)-IF(104&lt;Model!$B$15,Model!$B$22,0))/(1-Model!$B$9)/(1+Model!$B$18)^104))</f>
        <v/>
      </c>
      <c r="DO58" s="7">
        <f>IF(A58="","",IF((A58+105)&gt;Model!$B$4,0,MAX(0,Model!$B$6-IF((A58+105)&gt;=Model!$B$11,Model!$B$20,0)-IF(105&lt;Model!$B$15,Model!$B$22,0))/(1-Model!$B$9)/(1+Model!$B$18)^105))</f>
        <v/>
      </c>
      <c r="DP58" s="7">
        <f>IF(A58="","",IF((A58+106)&gt;Model!$B$4,0,MAX(0,Model!$B$6-IF((A58+106)&gt;=Model!$B$11,Model!$B$20,0)-IF(106&lt;Model!$B$15,Model!$B$22,0))/(1-Model!$B$9)/(1+Model!$B$18)^106))</f>
        <v/>
      </c>
      <c r="DQ58" s="7">
        <f>IF(A58="","",IF((A58+107)&gt;Model!$B$4,0,MAX(0,Model!$B$6-IF((A58+107)&gt;=Model!$B$11,Model!$B$20,0)-IF(107&lt;Model!$B$15,Model!$B$22,0))/(1-Model!$B$9)/(1+Model!$B$18)^107))</f>
        <v/>
      </c>
      <c r="DR58" s="7">
        <f>IF(A58="","",IF((A58+108)&gt;Model!$B$4,0,MAX(0,Model!$B$6-IF((A58+108)&gt;=Model!$B$11,Model!$B$20,0)-IF(108&lt;Model!$B$15,Model!$B$22,0))/(1-Model!$B$9)/(1+Model!$B$18)^108))</f>
        <v/>
      </c>
      <c r="DS58" s="7">
        <f>IF(A58="","",IF((A58+109)&gt;Model!$B$4,0,MAX(0,Model!$B$6-IF((A58+109)&gt;=Model!$B$11,Model!$B$20,0)-IF(109&lt;Model!$B$15,Model!$B$22,0))/(1-Model!$B$9)/(1+Model!$B$18)^109))</f>
        <v/>
      </c>
      <c r="DT58" s="7">
        <f>IF(A58="","",IF((A58+110)&gt;Model!$B$4,0,MAX(0,Model!$B$6-IF((A58+110)&gt;=Model!$B$11,Model!$B$20,0)-IF(110&lt;Model!$B$15,Model!$B$22,0))/(1-Model!$B$9)/(1+Model!$B$18)^110))</f>
        <v/>
      </c>
      <c r="DU58" s="7">
        <f>IF(A58="","",IF((A58+111)&gt;Model!$B$4,0,MAX(0,Model!$B$6-IF((A58+111)&gt;=Model!$B$11,Model!$B$20,0)-IF(111&lt;Model!$B$15,Model!$B$22,0))/(1-Model!$B$9)/(1+Model!$B$18)^111))</f>
        <v/>
      </c>
      <c r="DV58" s="7">
        <f>IF(A58="","",IF((A58+112)&gt;Model!$B$4,0,MAX(0,Model!$B$6-IF((A58+112)&gt;=Model!$B$11,Model!$B$20,0)-IF(112&lt;Model!$B$15,Model!$B$22,0))/(1-Model!$B$9)/(1+Model!$B$18)^112))</f>
        <v/>
      </c>
      <c r="DW58" s="7">
        <f>IF(A58="","",IF((A58+113)&gt;Model!$B$4,0,MAX(0,Model!$B$6-IF((A58+113)&gt;=Model!$B$11,Model!$B$20,0)-IF(113&lt;Model!$B$15,Model!$B$22,0))/(1-Model!$B$9)/(1+Model!$B$18)^113))</f>
        <v/>
      </c>
      <c r="DX58" s="7">
        <f>IF(A58="","",IF((A58+114)&gt;Model!$B$4,0,MAX(0,Model!$B$6-IF((A58+114)&gt;=Model!$B$11,Model!$B$20,0)-IF(114&lt;Model!$B$15,Model!$B$22,0))/(1-Model!$B$9)/(1+Model!$B$18)^114))</f>
        <v/>
      </c>
      <c r="DY58" s="7">
        <f>IF(A58="","",IF((A58+115)&gt;Model!$B$4,0,MAX(0,Model!$B$6-IF((A58+115)&gt;=Model!$B$11,Model!$B$20,0)-IF(115&lt;Model!$B$15,Model!$B$22,0))/(1-Model!$B$9)/(1+Model!$B$18)^115))</f>
        <v/>
      </c>
      <c r="DZ58" s="7">
        <f>IF(A58="","",IF((A58+116)&gt;Model!$B$4,0,MAX(0,Model!$B$6-IF((A58+116)&gt;=Model!$B$11,Model!$B$20,0)-IF(116&lt;Model!$B$15,Model!$B$22,0))/(1-Model!$B$9)/(1+Model!$B$18)^116))</f>
        <v/>
      </c>
      <c r="EA58" s="7">
        <f>IF(A58="","",IF((A58+117)&gt;Model!$B$4,0,MAX(0,Model!$B$6-IF((A58+117)&gt;=Model!$B$11,Model!$B$20,0)-IF(117&lt;Model!$B$15,Model!$B$22,0))/(1-Model!$B$9)/(1+Model!$B$18)^117))</f>
        <v/>
      </c>
      <c r="EB58" s="7">
        <f>IF(A58="","",IF((A58+118)&gt;Model!$B$4,0,MAX(0,Model!$B$6-IF((A58+118)&gt;=Model!$B$11,Model!$B$20,0)-IF(118&lt;Model!$B$15,Model!$B$22,0))/(1-Model!$B$9)/(1+Model!$B$18)^118))</f>
        <v/>
      </c>
      <c r="EC58" s="7">
        <f>IF(A58="","",IF((A58+119)&gt;Model!$B$4,0,MAX(0,Model!$B$6-IF((A58+119)&gt;=Model!$B$11,Model!$B$20,0)-IF(119&lt;Model!$B$15,Model!$B$22,0))/(1-Model!$B$9)/(1+Model!$B$18)^119))</f>
        <v/>
      </c>
      <c r="ED58" s="7">
        <f>IF(A58="","",IF((A58+120)&gt;Model!$B$4,0,MAX(0,Model!$B$6-IF((A58+120)&gt;=Model!$B$11,Model!$B$20,0)-IF(120&lt;Model!$B$15,Model!$B$22,0))/(1-Model!$B$9)/(1+Model!$B$18)^120))</f>
        <v/>
      </c>
    </row>
    <row r="59">
      <c r="A59">
        <f>IF(Model!$B$10+ROW()-2&lt;=Model!$B$4,Model!$B$10+ROW()-2,"")</f>
        <v/>
      </c>
      <c r="B59">
        <f>IF(A59="","",A59-Model!$B$10)</f>
        <v/>
      </c>
      <c r="C59" s="7">
        <f>IF(A59="","",Model!$B$5*(1+Model!$B$18)^B59)</f>
        <v/>
      </c>
      <c r="D59" s="7">
        <f>IF(A59="","",SUM(N59:ED59))</f>
        <v/>
      </c>
      <c r="E59" s="7">
        <f>IF(A59="","",IF(A59&gt;=Model!$B$11,Model!$B$20,0))</f>
        <v/>
      </c>
      <c r="F59" s="7">
        <f>IF(A59="","",IF(Model!$B$15&gt;0,Model!$B$22,0))</f>
        <v/>
      </c>
      <c r="G59" s="7">
        <f>IF(A59="","",E59+F59)</f>
        <v/>
      </c>
      <c r="H59" s="7">
        <f>IF(A59="","",MAX(0,Model!$B$6-G59))</f>
        <v/>
      </c>
      <c r="I59" s="7">
        <f>IF(A59="","",H59/(1-Model!$B$9))</f>
        <v/>
      </c>
      <c r="J59" s="7">
        <f>IF(A59="","",C59-D59)</f>
        <v/>
      </c>
      <c r="K59">
        <f>IF(A59="","",C59&gt;=D59)</f>
        <v/>
      </c>
      <c r="L59" s="7">
        <f>IF(A59="","",IF(A59&gt;=Model!$B$11,Model!$B$19*(1+Model!$B$13)^B59,0))</f>
        <v/>
      </c>
      <c r="M59" s="7">
        <f>IF(A59="","",IF(Model!$B$15&gt;0,Model!$B$21*(1+Model!$B$13)^B59,0))</f>
        <v/>
      </c>
      <c r="N59" s="7">
        <f>IF(A59="","",IF((A59+0)&gt;Model!$B$4,0,MAX(0,Model!$B$6-IF((A59+0)&gt;=Model!$B$11,Model!$B$20,0)-IF(0&lt;Model!$B$15,Model!$B$22,0))/(1-Model!$B$9)/(1+Model!$B$18)^0))</f>
        <v/>
      </c>
      <c r="O59" s="7">
        <f>IF(A59="","",IF((A59+1)&gt;Model!$B$4,0,MAX(0,Model!$B$6-IF((A59+1)&gt;=Model!$B$11,Model!$B$20,0)-IF(1&lt;Model!$B$15,Model!$B$22,0))/(1-Model!$B$9)/(1+Model!$B$18)^1))</f>
        <v/>
      </c>
      <c r="P59" s="7">
        <f>IF(A59="","",IF((A59+2)&gt;Model!$B$4,0,MAX(0,Model!$B$6-IF((A59+2)&gt;=Model!$B$11,Model!$B$20,0)-IF(2&lt;Model!$B$15,Model!$B$22,0))/(1-Model!$B$9)/(1+Model!$B$18)^2))</f>
        <v/>
      </c>
      <c r="Q59" s="7">
        <f>IF(A59="","",IF((A59+3)&gt;Model!$B$4,0,MAX(0,Model!$B$6-IF((A59+3)&gt;=Model!$B$11,Model!$B$20,0)-IF(3&lt;Model!$B$15,Model!$B$22,0))/(1-Model!$B$9)/(1+Model!$B$18)^3))</f>
        <v/>
      </c>
      <c r="R59" s="7">
        <f>IF(A59="","",IF((A59+4)&gt;Model!$B$4,0,MAX(0,Model!$B$6-IF((A59+4)&gt;=Model!$B$11,Model!$B$20,0)-IF(4&lt;Model!$B$15,Model!$B$22,0))/(1-Model!$B$9)/(1+Model!$B$18)^4))</f>
        <v/>
      </c>
      <c r="S59" s="7">
        <f>IF(A59="","",IF((A59+5)&gt;Model!$B$4,0,MAX(0,Model!$B$6-IF((A59+5)&gt;=Model!$B$11,Model!$B$20,0)-IF(5&lt;Model!$B$15,Model!$B$22,0))/(1-Model!$B$9)/(1+Model!$B$18)^5))</f>
        <v/>
      </c>
      <c r="T59" s="7">
        <f>IF(A59="","",IF((A59+6)&gt;Model!$B$4,0,MAX(0,Model!$B$6-IF((A59+6)&gt;=Model!$B$11,Model!$B$20,0)-IF(6&lt;Model!$B$15,Model!$B$22,0))/(1-Model!$B$9)/(1+Model!$B$18)^6))</f>
        <v/>
      </c>
      <c r="U59" s="7">
        <f>IF(A59="","",IF((A59+7)&gt;Model!$B$4,0,MAX(0,Model!$B$6-IF((A59+7)&gt;=Model!$B$11,Model!$B$20,0)-IF(7&lt;Model!$B$15,Model!$B$22,0))/(1-Model!$B$9)/(1+Model!$B$18)^7))</f>
        <v/>
      </c>
      <c r="V59" s="7">
        <f>IF(A59="","",IF((A59+8)&gt;Model!$B$4,0,MAX(0,Model!$B$6-IF((A59+8)&gt;=Model!$B$11,Model!$B$20,0)-IF(8&lt;Model!$B$15,Model!$B$22,0))/(1-Model!$B$9)/(1+Model!$B$18)^8))</f>
        <v/>
      </c>
      <c r="W59" s="7">
        <f>IF(A59="","",IF((A59+9)&gt;Model!$B$4,0,MAX(0,Model!$B$6-IF((A59+9)&gt;=Model!$B$11,Model!$B$20,0)-IF(9&lt;Model!$B$15,Model!$B$22,0))/(1-Model!$B$9)/(1+Model!$B$18)^9))</f>
        <v/>
      </c>
      <c r="X59" s="7">
        <f>IF(A59="","",IF((A59+10)&gt;Model!$B$4,0,MAX(0,Model!$B$6-IF((A59+10)&gt;=Model!$B$11,Model!$B$20,0)-IF(10&lt;Model!$B$15,Model!$B$22,0))/(1-Model!$B$9)/(1+Model!$B$18)^10))</f>
        <v/>
      </c>
      <c r="Y59" s="7">
        <f>IF(A59="","",IF((A59+11)&gt;Model!$B$4,0,MAX(0,Model!$B$6-IF((A59+11)&gt;=Model!$B$11,Model!$B$20,0)-IF(11&lt;Model!$B$15,Model!$B$22,0))/(1-Model!$B$9)/(1+Model!$B$18)^11))</f>
        <v/>
      </c>
      <c r="Z59" s="7">
        <f>IF(A59="","",IF((A59+12)&gt;Model!$B$4,0,MAX(0,Model!$B$6-IF((A59+12)&gt;=Model!$B$11,Model!$B$20,0)-IF(12&lt;Model!$B$15,Model!$B$22,0))/(1-Model!$B$9)/(1+Model!$B$18)^12))</f>
        <v/>
      </c>
      <c r="AA59" s="7">
        <f>IF(A59="","",IF((A59+13)&gt;Model!$B$4,0,MAX(0,Model!$B$6-IF((A59+13)&gt;=Model!$B$11,Model!$B$20,0)-IF(13&lt;Model!$B$15,Model!$B$22,0))/(1-Model!$B$9)/(1+Model!$B$18)^13))</f>
        <v/>
      </c>
      <c r="AB59" s="7">
        <f>IF(A59="","",IF((A59+14)&gt;Model!$B$4,0,MAX(0,Model!$B$6-IF((A59+14)&gt;=Model!$B$11,Model!$B$20,0)-IF(14&lt;Model!$B$15,Model!$B$22,0))/(1-Model!$B$9)/(1+Model!$B$18)^14))</f>
        <v/>
      </c>
      <c r="AC59" s="7">
        <f>IF(A59="","",IF((A59+15)&gt;Model!$B$4,0,MAX(0,Model!$B$6-IF((A59+15)&gt;=Model!$B$11,Model!$B$20,0)-IF(15&lt;Model!$B$15,Model!$B$22,0))/(1-Model!$B$9)/(1+Model!$B$18)^15))</f>
        <v/>
      </c>
      <c r="AD59" s="7">
        <f>IF(A59="","",IF((A59+16)&gt;Model!$B$4,0,MAX(0,Model!$B$6-IF((A59+16)&gt;=Model!$B$11,Model!$B$20,0)-IF(16&lt;Model!$B$15,Model!$B$22,0))/(1-Model!$B$9)/(1+Model!$B$18)^16))</f>
        <v/>
      </c>
      <c r="AE59" s="7">
        <f>IF(A59="","",IF((A59+17)&gt;Model!$B$4,0,MAX(0,Model!$B$6-IF((A59+17)&gt;=Model!$B$11,Model!$B$20,0)-IF(17&lt;Model!$B$15,Model!$B$22,0))/(1-Model!$B$9)/(1+Model!$B$18)^17))</f>
        <v/>
      </c>
      <c r="AF59" s="7">
        <f>IF(A59="","",IF((A59+18)&gt;Model!$B$4,0,MAX(0,Model!$B$6-IF((A59+18)&gt;=Model!$B$11,Model!$B$20,0)-IF(18&lt;Model!$B$15,Model!$B$22,0))/(1-Model!$B$9)/(1+Model!$B$18)^18))</f>
        <v/>
      </c>
      <c r="AG59" s="7">
        <f>IF(A59="","",IF((A59+19)&gt;Model!$B$4,0,MAX(0,Model!$B$6-IF((A59+19)&gt;=Model!$B$11,Model!$B$20,0)-IF(19&lt;Model!$B$15,Model!$B$22,0))/(1-Model!$B$9)/(1+Model!$B$18)^19))</f>
        <v/>
      </c>
      <c r="AH59" s="7">
        <f>IF(A59="","",IF((A59+20)&gt;Model!$B$4,0,MAX(0,Model!$B$6-IF((A59+20)&gt;=Model!$B$11,Model!$B$20,0)-IF(20&lt;Model!$B$15,Model!$B$22,0))/(1-Model!$B$9)/(1+Model!$B$18)^20))</f>
        <v/>
      </c>
      <c r="AI59" s="7">
        <f>IF(A59="","",IF((A59+21)&gt;Model!$B$4,0,MAX(0,Model!$B$6-IF((A59+21)&gt;=Model!$B$11,Model!$B$20,0)-IF(21&lt;Model!$B$15,Model!$B$22,0))/(1-Model!$B$9)/(1+Model!$B$18)^21))</f>
        <v/>
      </c>
      <c r="AJ59" s="7">
        <f>IF(A59="","",IF((A59+22)&gt;Model!$B$4,0,MAX(0,Model!$B$6-IF((A59+22)&gt;=Model!$B$11,Model!$B$20,0)-IF(22&lt;Model!$B$15,Model!$B$22,0))/(1-Model!$B$9)/(1+Model!$B$18)^22))</f>
        <v/>
      </c>
      <c r="AK59" s="7">
        <f>IF(A59="","",IF((A59+23)&gt;Model!$B$4,0,MAX(0,Model!$B$6-IF((A59+23)&gt;=Model!$B$11,Model!$B$20,0)-IF(23&lt;Model!$B$15,Model!$B$22,0))/(1-Model!$B$9)/(1+Model!$B$18)^23))</f>
        <v/>
      </c>
      <c r="AL59" s="7">
        <f>IF(A59="","",IF((A59+24)&gt;Model!$B$4,0,MAX(0,Model!$B$6-IF((A59+24)&gt;=Model!$B$11,Model!$B$20,0)-IF(24&lt;Model!$B$15,Model!$B$22,0))/(1-Model!$B$9)/(1+Model!$B$18)^24))</f>
        <v/>
      </c>
      <c r="AM59" s="7">
        <f>IF(A59="","",IF((A59+25)&gt;Model!$B$4,0,MAX(0,Model!$B$6-IF((A59+25)&gt;=Model!$B$11,Model!$B$20,0)-IF(25&lt;Model!$B$15,Model!$B$22,0))/(1-Model!$B$9)/(1+Model!$B$18)^25))</f>
        <v/>
      </c>
      <c r="AN59" s="7">
        <f>IF(A59="","",IF((A59+26)&gt;Model!$B$4,0,MAX(0,Model!$B$6-IF((A59+26)&gt;=Model!$B$11,Model!$B$20,0)-IF(26&lt;Model!$B$15,Model!$B$22,0))/(1-Model!$B$9)/(1+Model!$B$18)^26))</f>
        <v/>
      </c>
      <c r="AO59" s="7">
        <f>IF(A59="","",IF((A59+27)&gt;Model!$B$4,0,MAX(0,Model!$B$6-IF((A59+27)&gt;=Model!$B$11,Model!$B$20,0)-IF(27&lt;Model!$B$15,Model!$B$22,0))/(1-Model!$B$9)/(1+Model!$B$18)^27))</f>
        <v/>
      </c>
      <c r="AP59" s="7">
        <f>IF(A59="","",IF((A59+28)&gt;Model!$B$4,0,MAX(0,Model!$B$6-IF((A59+28)&gt;=Model!$B$11,Model!$B$20,0)-IF(28&lt;Model!$B$15,Model!$B$22,0))/(1-Model!$B$9)/(1+Model!$B$18)^28))</f>
        <v/>
      </c>
      <c r="AQ59" s="7">
        <f>IF(A59="","",IF((A59+29)&gt;Model!$B$4,0,MAX(0,Model!$B$6-IF((A59+29)&gt;=Model!$B$11,Model!$B$20,0)-IF(29&lt;Model!$B$15,Model!$B$22,0))/(1-Model!$B$9)/(1+Model!$B$18)^29))</f>
        <v/>
      </c>
      <c r="AR59" s="7">
        <f>IF(A59="","",IF((A59+30)&gt;Model!$B$4,0,MAX(0,Model!$B$6-IF((A59+30)&gt;=Model!$B$11,Model!$B$20,0)-IF(30&lt;Model!$B$15,Model!$B$22,0))/(1-Model!$B$9)/(1+Model!$B$18)^30))</f>
        <v/>
      </c>
      <c r="AS59" s="7">
        <f>IF(A59="","",IF((A59+31)&gt;Model!$B$4,0,MAX(0,Model!$B$6-IF((A59+31)&gt;=Model!$B$11,Model!$B$20,0)-IF(31&lt;Model!$B$15,Model!$B$22,0))/(1-Model!$B$9)/(1+Model!$B$18)^31))</f>
        <v/>
      </c>
      <c r="AT59" s="7">
        <f>IF(A59="","",IF((A59+32)&gt;Model!$B$4,0,MAX(0,Model!$B$6-IF((A59+32)&gt;=Model!$B$11,Model!$B$20,0)-IF(32&lt;Model!$B$15,Model!$B$22,0))/(1-Model!$B$9)/(1+Model!$B$18)^32))</f>
        <v/>
      </c>
      <c r="AU59" s="7">
        <f>IF(A59="","",IF((A59+33)&gt;Model!$B$4,0,MAX(0,Model!$B$6-IF((A59+33)&gt;=Model!$B$11,Model!$B$20,0)-IF(33&lt;Model!$B$15,Model!$B$22,0))/(1-Model!$B$9)/(1+Model!$B$18)^33))</f>
        <v/>
      </c>
      <c r="AV59" s="7">
        <f>IF(A59="","",IF((A59+34)&gt;Model!$B$4,0,MAX(0,Model!$B$6-IF((A59+34)&gt;=Model!$B$11,Model!$B$20,0)-IF(34&lt;Model!$B$15,Model!$B$22,0))/(1-Model!$B$9)/(1+Model!$B$18)^34))</f>
        <v/>
      </c>
      <c r="AW59" s="7">
        <f>IF(A59="","",IF((A59+35)&gt;Model!$B$4,0,MAX(0,Model!$B$6-IF((A59+35)&gt;=Model!$B$11,Model!$B$20,0)-IF(35&lt;Model!$B$15,Model!$B$22,0))/(1-Model!$B$9)/(1+Model!$B$18)^35))</f>
        <v/>
      </c>
      <c r="AX59" s="7">
        <f>IF(A59="","",IF((A59+36)&gt;Model!$B$4,0,MAX(0,Model!$B$6-IF((A59+36)&gt;=Model!$B$11,Model!$B$20,0)-IF(36&lt;Model!$B$15,Model!$B$22,0))/(1-Model!$B$9)/(1+Model!$B$18)^36))</f>
        <v/>
      </c>
      <c r="AY59" s="7">
        <f>IF(A59="","",IF((A59+37)&gt;Model!$B$4,0,MAX(0,Model!$B$6-IF((A59+37)&gt;=Model!$B$11,Model!$B$20,0)-IF(37&lt;Model!$B$15,Model!$B$22,0))/(1-Model!$B$9)/(1+Model!$B$18)^37))</f>
        <v/>
      </c>
      <c r="AZ59" s="7">
        <f>IF(A59="","",IF((A59+38)&gt;Model!$B$4,0,MAX(0,Model!$B$6-IF((A59+38)&gt;=Model!$B$11,Model!$B$20,0)-IF(38&lt;Model!$B$15,Model!$B$22,0))/(1-Model!$B$9)/(1+Model!$B$18)^38))</f>
        <v/>
      </c>
      <c r="BA59" s="7">
        <f>IF(A59="","",IF((A59+39)&gt;Model!$B$4,0,MAX(0,Model!$B$6-IF((A59+39)&gt;=Model!$B$11,Model!$B$20,0)-IF(39&lt;Model!$B$15,Model!$B$22,0))/(1-Model!$B$9)/(1+Model!$B$18)^39))</f>
        <v/>
      </c>
      <c r="BB59" s="7">
        <f>IF(A59="","",IF((A59+40)&gt;Model!$B$4,0,MAX(0,Model!$B$6-IF((A59+40)&gt;=Model!$B$11,Model!$B$20,0)-IF(40&lt;Model!$B$15,Model!$B$22,0))/(1-Model!$B$9)/(1+Model!$B$18)^40))</f>
        <v/>
      </c>
      <c r="BC59" s="7">
        <f>IF(A59="","",IF((A59+41)&gt;Model!$B$4,0,MAX(0,Model!$B$6-IF((A59+41)&gt;=Model!$B$11,Model!$B$20,0)-IF(41&lt;Model!$B$15,Model!$B$22,0))/(1-Model!$B$9)/(1+Model!$B$18)^41))</f>
        <v/>
      </c>
      <c r="BD59" s="7">
        <f>IF(A59="","",IF((A59+42)&gt;Model!$B$4,0,MAX(0,Model!$B$6-IF((A59+42)&gt;=Model!$B$11,Model!$B$20,0)-IF(42&lt;Model!$B$15,Model!$B$22,0))/(1-Model!$B$9)/(1+Model!$B$18)^42))</f>
        <v/>
      </c>
      <c r="BE59" s="7">
        <f>IF(A59="","",IF((A59+43)&gt;Model!$B$4,0,MAX(0,Model!$B$6-IF((A59+43)&gt;=Model!$B$11,Model!$B$20,0)-IF(43&lt;Model!$B$15,Model!$B$22,0))/(1-Model!$B$9)/(1+Model!$B$18)^43))</f>
        <v/>
      </c>
      <c r="BF59" s="7">
        <f>IF(A59="","",IF((A59+44)&gt;Model!$B$4,0,MAX(0,Model!$B$6-IF((A59+44)&gt;=Model!$B$11,Model!$B$20,0)-IF(44&lt;Model!$B$15,Model!$B$22,0))/(1-Model!$B$9)/(1+Model!$B$18)^44))</f>
        <v/>
      </c>
      <c r="BG59" s="7">
        <f>IF(A59="","",IF((A59+45)&gt;Model!$B$4,0,MAX(0,Model!$B$6-IF((A59+45)&gt;=Model!$B$11,Model!$B$20,0)-IF(45&lt;Model!$B$15,Model!$B$22,0))/(1-Model!$B$9)/(1+Model!$B$18)^45))</f>
        <v/>
      </c>
      <c r="BH59" s="7">
        <f>IF(A59="","",IF((A59+46)&gt;Model!$B$4,0,MAX(0,Model!$B$6-IF((A59+46)&gt;=Model!$B$11,Model!$B$20,0)-IF(46&lt;Model!$B$15,Model!$B$22,0))/(1-Model!$B$9)/(1+Model!$B$18)^46))</f>
        <v/>
      </c>
      <c r="BI59" s="7">
        <f>IF(A59="","",IF((A59+47)&gt;Model!$B$4,0,MAX(0,Model!$B$6-IF((A59+47)&gt;=Model!$B$11,Model!$B$20,0)-IF(47&lt;Model!$B$15,Model!$B$22,0))/(1-Model!$B$9)/(1+Model!$B$18)^47))</f>
        <v/>
      </c>
      <c r="BJ59" s="7">
        <f>IF(A59="","",IF((A59+48)&gt;Model!$B$4,0,MAX(0,Model!$B$6-IF((A59+48)&gt;=Model!$B$11,Model!$B$20,0)-IF(48&lt;Model!$B$15,Model!$B$22,0))/(1-Model!$B$9)/(1+Model!$B$18)^48))</f>
        <v/>
      </c>
      <c r="BK59" s="7">
        <f>IF(A59="","",IF((A59+49)&gt;Model!$B$4,0,MAX(0,Model!$B$6-IF((A59+49)&gt;=Model!$B$11,Model!$B$20,0)-IF(49&lt;Model!$B$15,Model!$B$22,0))/(1-Model!$B$9)/(1+Model!$B$18)^49))</f>
        <v/>
      </c>
      <c r="BL59" s="7">
        <f>IF(A59="","",IF((A59+50)&gt;Model!$B$4,0,MAX(0,Model!$B$6-IF((A59+50)&gt;=Model!$B$11,Model!$B$20,0)-IF(50&lt;Model!$B$15,Model!$B$22,0))/(1-Model!$B$9)/(1+Model!$B$18)^50))</f>
        <v/>
      </c>
      <c r="BM59" s="7">
        <f>IF(A59="","",IF((A59+51)&gt;Model!$B$4,0,MAX(0,Model!$B$6-IF((A59+51)&gt;=Model!$B$11,Model!$B$20,0)-IF(51&lt;Model!$B$15,Model!$B$22,0))/(1-Model!$B$9)/(1+Model!$B$18)^51))</f>
        <v/>
      </c>
      <c r="BN59" s="7">
        <f>IF(A59="","",IF((A59+52)&gt;Model!$B$4,0,MAX(0,Model!$B$6-IF((A59+52)&gt;=Model!$B$11,Model!$B$20,0)-IF(52&lt;Model!$B$15,Model!$B$22,0))/(1-Model!$B$9)/(1+Model!$B$18)^52))</f>
        <v/>
      </c>
      <c r="BO59" s="7">
        <f>IF(A59="","",IF((A59+53)&gt;Model!$B$4,0,MAX(0,Model!$B$6-IF((A59+53)&gt;=Model!$B$11,Model!$B$20,0)-IF(53&lt;Model!$B$15,Model!$B$22,0))/(1-Model!$B$9)/(1+Model!$B$18)^53))</f>
        <v/>
      </c>
      <c r="BP59" s="7">
        <f>IF(A59="","",IF((A59+54)&gt;Model!$B$4,0,MAX(0,Model!$B$6-IF((A59+54)&gt;=Model!$B$11,Model!$B$20,0)-IF(54&lt;Model!$B$15,Model!$B$22,0))/(1-Model!$B$9)/(1+Model!$B$18)^54))</f>
        <v/>
      </c>
      <c r="BQ59" s="7">
        <f>IF(A59="","",IF((A59+55)&gt;Model!$B$4,0,MAX(0,Model!$B$6-IF((A59+55)&gt;=Model!$B$11,Model!$B$20,0)-IF(55&lt;Model!$B$15,Model!$B$22,0))/(1-Model!$B$9)/(1+Model!$B$18)^55))</f>
        <v/>
      </c>
      <c r="BR59" s="7">
        <f>IF(A59="","",IF((A59+56)&gt;Model!$B$4,0,MAX(0,Model!$B$6-IF((A59+56)&gt;=Model!$B$11,Model!$B$20,0)-IF(56&lt;Model!$B$15,Model!$B$22,0))/(1-Model!$B$9)/(1+Model!$B$18)^56))</f>
        <v/>
      </c>
      <c r="BS59" s="7">
        <f>IF(A59="","",IF((A59+57)&gt;Model!$B$4,0,MAX(0,Model!$B$6-IF((A59+57)&gt;=Model!$B$11,Model!$B$20,0)-IF(57&lt;Model!$B$15,Model!$B$22,0))/(1-Model!$B$9)/(1+Model!$B$18)^57))</f>
        <v/>
      </c>
      <c r="BT59" s="7">
        <f>IF(A59="","",IF((A59+58)&gt;Model!$B$4,0,MAX(0,Model!$B$6-IF((A59+58)&gt;=Model!$B$11,Model!$B$20,0)-IF(58&lt;Model!$B$15,Model!$B$22,0))/(1-Model!$B$9)/(1+Model!$B$18)^58))</f>
        <v/>
      </c>
      <c r="BU59" s="7">
        <f>IF(A59="","",IF((A59+59)&gt;Model!$B$4,0,MAX(0,Model!$B$6-IF((A59+59)&gt;=Model!$B$11,Model!$B$20,0)-IF(59&lt;Model!$B$15,Model!$B$22,0))/(1-Model!$B$9)/(1+Model!$B$18)^59))</f>
        <v/>
      </c>
      <c r="BV59" s="7">
        <f>IF(A59="","",IF((A59+60)&gt;Model!$B$4,0,MAX(0,Model!$B$6-IF((A59+60)&gt;=Model!$B$11,Model!$B$20,0)-IF(60&lt;Model!$B$15,Model!$B$22,0))/(1-Model!$B$9)/(1+Model!$B$18)^60))</f>
        <v/>
      </c>
      <c r="BW59" s="7">
        <f>IF(A59="","",IF((A59+61)&gt;Model!$B$4,0,MAX(0,Model!$B$6-IF((A59+61)&gt;=Model!$B$11,Model!$B$20,0)-IF(61&lt;Model!$B$15,Model!$B$22,0))/(1-Model!$B$9)/(1+Model!$B$18)^61))</f>
        <v/>
      </c>
      <c r="BX59" s="7">
        <f>IF(A59="","",IF((A59+62)&gt;Model!$B$4,0,MAX(0,Model!$B$6-IF((A59+62)&gt;=Model!$B$11,Model!$B$20,0)-IF(62&lt;Model!$B$15,Model!$B$22,0))/(1-Model!$B$9)/(1+Model!$B$18)^62))</f>
        <v/>
      </c>
      <c r="BY59" s="7">
        <f>IF(A59="","",IF((A59+63)&gt;Model!$B$4,0,MAX(0,Model!$B$6-IF((A59+63)&gt;=Model!$B$11,Model!$B$20,0)-IF(63&lt;Model!$B$15,Model!$B$22,0))/(1-Model!$B$9)/(1+Model!$B$18)^63))</f>
        <v/>
      </c>
      <c r="BZ59" s="7">
        <f>IF(A59="","",IF((A59+64)&gt;Model!$B$4,0,MAX(0,Model!$B$6-IF((A59+64)&gt;=Model!$B$11,Model!$B$20,0)-IF(64&lt;Model!$B$15,Model!$B$22,0))/(1-Model!$B$9)/(1+Model!$B$18)^64))</f>
        <v/>
      </c>
      <c r="CA59" s="7">
        <f>IF(A59="","",IF((A59+65)&gt;Model!$B$4,0,MAX(0,Model!$B$6-IF((A59+65)&gt;=Model!$B$11,Model!$B$20,0)-IF(65&lt;Model!$B$15,Model!$B$22,0))/(1-Model!$B$9)/(1+Model!$B$18)^65))</f>
        <v/>
      </c>
      <c r="CB59" s="7">
        <f>IF(A59="","",IF((A59+66)&gt;Model!$B$4,0,MAX(0,Model!$B$6-IF((A59+66)&gt;=Model!$B$11,Model!$B$20,0)-IF(66&lt;Model!$B$15,Model!$B$22,0))/(1-Model!$B$9)/(1+Model!$B$18)^66))</f>
        <v/>
      </c>
      <c r="CC59" s="7">
        <f>IF(A59="","",IF((A59+67)&gt;Model!$B$4,0,MAX(0,Model!$B$6-IF((A59+67)&gt;=Model!$B$11,Model!$B$20,0)-IF(67&lt;Model!$B$15,Model!$B$22,0))/(1-Model!$B$9)/(1+Model!$B$18)^67))</f>
        <v/>
      </c>
      <c r="CD59" s="7">
        <f>IF(A59="","",IF((A59+68)&gt;Model!$B$4,0,MAX(0,Model!$B$6-IF((A59+68)&gt;=Model!$B$11,Model!$B$20,0)-IF(68&lt;Model!$B$15,Model!$B$22,0))/(1-Model!$B$9)/(1+Model!$B$18)^68))</f>
        <v/>
      </c>
      <c r="CE59" s="7">
        <f>IF(A59="","",IF((A59+69)&gt;Model!$B$4,0,MAX(0,Model!$B$6-IF((A59+69)&gt;=Model!$B$11,Model!$B$20,0)-IF(69&lt;Model!$B$15,Model!$B$22,0))/(1-Model!$B$9)/(1+Model!$B$18)^69))</f>
        <v/>
      </c>
      <c r="CF59" s="7">
        <f>IF(A59="","",IF((A59+70)&gt;Model!$B$4,0,MAX(0,Model!$B$6-IF((A59+70)&gt;=Model!$B$11,Model!$B$20,0)-IF(70&lt;Model!$B$15,Model!$B$22,0))/(1-Model!$B$9)/(1+Model!$B$18)^70))</f>
        <v/>
      </c>
      <c r="CG59" s="7">
        <f>IF(A59="","",IF((A59+71)&gt;Model!$B$4,0,MAX(0,Model!$B$6-IF((A59+71)&gt;=Model!$B$11,Model!$B$20,0)-IF(71&lt;Model!$B$15,Model!$B$22,0))/(1-Model!$B$9)/(1+Model!$B$18)^71))</f>
        <v/>
      </c>
      <c r="CH59" s="7">
        <f>IF(A59="","",IF((A59+72)&gt;Model!$B$4,0,MAX(0,Model!$B$6-IF((A59+72)&gt;=Model!$B$11,Model!$B$20,0)-IF(72&lt;Model!$B$15,Model!$B$22,0))/(1-Model!$B$9)/(1+Model!$B$18)^72))</f>
        <v/>
      </c>
      <c r="CI59" s="7">
        <f>IF(A59="","",IF((A59+73)&gt;Model!$B$4,0,MAX(0,Model!$B$6-IF((A59+73)&gt;=Model!$B$11,Model!$B$20,0)-IF(73&lt;Model!$B$15,Model!$B$22,0))/(1-Model!$B$9)/(1+Model!$B$18)^73))</f>
        <v/>
      </c>
      <c r="CJ59" s="7">
        <f>IF(A59="","",IF((A59+74)&gt;Model!$B$4,0,MAX(0,Model!$B$6-IF((A59+74)&gt;=Model!$B$11,Model!$B$20,0)-IF(74&lt;Model!$B$15,Model!$B$22,0))/(1-Model!$B$9)/(1+Model!$B$18)^74))</f>
        <v/>
      </c>
      <c r="CK59" s="7">
        <f>IF(A59="","",IF((A59+75)&gt;Model!$B$4,0,MAX(0,Model!$B$6-IF((A59+75)&gt;=Model!$B$11,Model!$B$20,0)-IF(75&lt;Model!$B$15,Model!$B$22,0))/(1-Model!$B$9)/(1+Model!$B$18)^75))</f>
        <v/>
      </c>
      <c r="CL59" s="7">
        <f>IF(A59="","",IF((A59+76)&gt;Model!$B$4,0,MAX(0,Model!$B$6-IF((A59+76)&gt;=Model!$B$11,Model!$B$20,0)-IF(76&lt;Model!$B$15,Model!$B$22,0))/(1-Model!$B$9)/(1+Model!$B$18)^76))</f>
        <v/>
      </c>
      <c r="CM59" s="7">
        <f>IF(A59="","",IF((A59+77)&gt;Model!$B$4,0,MAX(0,Model!$B$6-IF((A59+77)&gt;=Model!$B$11,Model!$B$20,0)-IF(77&lt;Model!$B$15,Model!$B$22,0))/(1-Model!$B$9)/(1+Model!$B$18)^77))</f>
        <v/>
      </c>
      <c r="CN59" s="7">
        <f>IF(A59="","",IF((A59+78)&gt;Model!$B$4,0,MAX(0,Model!$B$6-IF((A59+78)&gt;=Model!$B$11,Model!$B$20,0)-IF(78&lt;Model!$B$15,Model!$B$22,0))/(1-Model!$B$9)/(1+Model!$B$18)^78))</f>
        <v/>
      </c>
      <c r="CO59" s="7">
        <f>IF(A59="","",IF((A59+79)&gt;Model!$B$4,0,MAX(0,Model!$B$6-IF((A59+79)&gt;=Model!$B$11,Model!$B$20,0)-IF(79&lt;Model!$B$15,Model!$B$22,0))/(1-Model!$B$9)/(1+Model!$B$18)^79))</f>
        <v/>
      </c>
      <c r="CP59" s="7">
        <f>IF(A59="","",IF((A59+80)&gt;Model!$B$4,0,MAX(0,Model!$B$6-IF((A59+80)&gt;=Model!$B$11,Model!$B$20,0)-IF(80&lt;Model!$B$15,Model!$B$22,0))/(1-Model!$B$9)/(1+Model!$B$18)^80))</f>
        <v/>
      </c>
      <c r="CQ59" s="7">
        <f>IF(A59="","",IF((A59+81)&gt;Model!$B$4,0,MAX(0,Model!$B$6-IF((A59+81)&gt;=Model!$B$11,Model!$B$20,0)-IF(81&lt;Model!$B$15,Model!$B$22,0))/(1-Model!$B$9)/(1+Model!$B$18)^81))</f>
        <v/>
      </c>
      <c r="CR59" s="7">
        <f>IF(A59="","",IF((A59+82)&gt;Model!$B$4,0,MAX(0,Model!$B$6-IF((A59+82)&gt;=Model!$B$11,Model!$B$20,0)-IF(82&lt;Model!$B$15,Model!$B$22,0))/(1-Model!$B$9)/(1+Model!$B$18)^82))</f>
        <v/>
      </c>
      <c r="CS59" s="7">
        <f>IF(A59="","",IF((A59+83)&gt;Model!$B$4,0,MAX(0,Model!$B$6-IF((A59+83)&gt;=Model!$B$11,Model!$B$20,0)-IF(83&lt;Model!$B$15,Model!$B$22,0))/(1-Model!$B$9)/(1+Model!$B$18)^83))</f>
        <v/>
      </c>
      <c r="CT59" s="7">
        <f>IF(A59="","",IF((A59+84)&gt;Model!$B$4,0,MAX(0,Model!$B$6-IF((A59+84)&gt;=Model!$B$11,Model!$B$20,0)-IF(84&lt;Model!$B$15,Model!$B$22,0))/(1-Model!$B$9)/(1+Model!$B$18)^84))</f>
        <v/>
      </c>
      <c r="CU59" s="7">
        <f>IF(A59="","",IF((A59+85)&gt;Model!$B$4,0,MAX(0,Model!$B$6-IF((A59+85)&gt;=Model!$B$11,Model!$B$20,0)-IF(85&lt;Model!$B$15,Model!$B$22,0))/(1-Model!$B$9)/(1+Model!$B$18)^85))</f>
        <v/>
      </c>
      <c r="CV59" s="7">
        <f>IF(A59="","",IF((A59+86)&gt;Model!$B$4,0,MAX(0,Model!$B$6-IF((A59+86)&gt;=Model!$B$11,Model!$B$20,0)-IF(86&lt;Model!$B$15,Model!$B$22,0))/(1-Model!$B$9)/(1+Model!$B$18)^86))</f>
        <v/>
      </c>
      <c r="CW59" s="7">
        <f>IF(A59="","",IF((A59+87)&gt;Model!$B$4,0,MAX(0,Model!$B$6-IF((A59+87)&gt;=Model!$B$11,Model!$B$20,0)-IF(87&lt;Model!$B$15,Model!$B$22,0))/(1-Model!$B$9)/(1+Model!$B$18)^87))</f>
        <v/>
      </c>
      <c r="CX59" s="7">
        <f>IF(A59="","",IF((A59+88)&gt;Model!$B$4,0,MAX(0,Model!$B$6-IF((A59+88)&gt;=Model!$B$11,Model!$B$20,0)-IF(88&lt;Model!$B$15,Model!$B$22,0))/(1-Model!$B$9)/(1+Model!$B$18)^88))</f>
        <v/>
      </c>
      <c r="CY59" s="7">
        <f>IF(A59="","",IF((A59+89)&gt;Model!$B$4,0,MAX(0,Model!$B$6-IF((A59+89)&gt;=Model!$B$11,Model!$B$20,0)-IF(89&lt;Model!$B$15,Model!$B$22,0))/(1-Model!$B$9)/(1+Model!$B$18)^89))</f>
        <v/>
      </c>
      <c r="CZ59" s="7">
        <f>IF(A59="","",IF((A59+90)&gt;Model!$B$4,0,MAX(0,Model!$B$6-IF((A59+90)&gt;=Model!$B$11,Model!$B$20,0)-IF(90&lt;Model!$B$15,Model!$B$22,0))/(1-Model!$B$9)/(1+Model!$B$18)^90))</f>
        <v/>
      </c>
      <c r="DA59" s="7">
        <f>IF(A59="","",IF((A59+91)&gt;Model!$B$4,0,MAX(0,Model!$B$6-IF((A59+91)&gt;=Model!$B$11,Model!$B$20,0)-IF(91&lt;Model!$B$15,Model!$B$22,0))/(1-Model!$B$9)/(1+Model!$B$18)^91))</f>
        <v/>
      </c>
      <c r="DB59" s="7">
        <f>IF(A59="","",IF((A59+92)&gt;Model!$B$4,0,MAX(0,Model!$B$6-IF((A59+92)&gt;=Model!$B$11,Model!$B$20,0)-IF(92&lt;Model!$B$15,Model!$B$22,0))/(1-Model!$B$9)/(1+Model!$B$18)^92))</f>
        <v/>
      </c>
      <c r="DC59" s="7">
        <f>IF(A59="","",IF((A59+93)&gt;Model!$B$4,0,MAX(0,Model!$B$6-IF((A59+93)&gt;=Model!$B$11,Model!$B$20,0)-IF(93&lt;Model!$B$15,Model!$B$22,0))/(1-Model!$B$9)/(1+Model!$B$18)^93))</f>
        <v/>
      </c>
      <c r="DD59" s="7">
        <f>IF(A59="","",IF((A59+94)&gt;Model!$B$4,0,MAX(0,Model!$B$6-IF((A59+94)&gt;=Model!$B$11,Model!$B$20,0)-IF(94&lt;Model!$B$15,Model!$B$22,0))/(1-Model!$B$9)/(1+Model!$B$18)^94))</f>
        <v/>
      </c>
      <c r="DE59" s="7">
        <f>IF(A59="","",IF((A59+95)&gt;Model!$B$4,0,MAX(0,Model!$B$6-IF((A59+95)&gt;=Model!$B$11,Model!$B$20,0)-IF(95&lt;Model!$B$15,Model!$B$22,0))/(1-Model!$B$9)/(1+Model!$B$18)^95))</f>
        <v/>
      </c>
      <c r="DF59" s="7">
        <f>IF(A59="","",IF((A59+96)&gt;Model!$B$4,0,MAX(0,Model!$B$6-IF((A59+96)&gt;=Model!$B$11,Model!$B$20,0)-IF(96&lt;Model!$B$15,Model!$B$22,0))/(1-Model!$B$9)/(1+Model!$B$18)^96))</f>
        <v/>
      </c>
      <c r="DG59" s="7">
        <f>IF(A59="","",IF((A59+97)&gt;Model!$B$4,0,MAX(0,Model!$B$6-IF((A59+97)&gt;=Model!$B$11,Model!$B$20,0)-IF(97&lt;Model!$B$15,Model!$B$22,0))/(1-Model!$B$9)/(1+Model!$B$18)^97))</f>
        <v/>
      </c>
      <c r="DH59" s="7">
        <f>IF(A59="","",IF((A59+98)&gt;Model!$B$4,0,MAX(0,Model!$B$6-IF((A59+98)&gt;=Model!$B$11,Model!$B$20,0)-IF(98&lt;Model!$B$15,Model!$B$22,0))/(1-Model!$B$9)/(1+Model!$B$18)^98))</f>
        <v/>
      </c>
      <c r="DI59" s="7">
        <f>IF(A59="","",IF((A59+99)&gt;Model!$B$4,0,MAX(0,Model!$B$6-IF((A59+99)&gt;=Model!$B$11,Model!$B$20,0)-IF(99&lt;Model!$B$15,Model!$B$22,0))/(1-Model!$B$9)/(1+Model!$B$18)^99))</f>
        <v/>
      </c>
      <c r="DJ59" s="7">
        <f>IF(A59="","",IF((A59+100)&gt;Model!$B$4,0,MAX(0,Model!$B$6-IF((A59+100)&gt;=Model!$B$11,Model!$B$20,0)-IF(100&lt;Model!$B$15,Model!$B$22,0))/(1-Model!$B$9)/(1+Model!$B$18)^100))</f>
        <v/>
      </c>
      <c r="DK59" s="7">
        <f>IF(A59="","",IF((A59+101)&gt;Model!$B$4,0,MAX(0,Model!$B$6-IF((A59+101)&gt;=Model!$B$11,Model!$B$20,0)-IF(101&lt;Model!$B$15,Model!$B$22,0))/(1-Model!$B$9)/(1+Model!$B$18)^101))</f>
        <v/>
      </c>
      <c r="DL59" s="7">
        <f>IF(A59="","",IF((A59+102)&gt;Model!$B$4,0,MAX(0,Model!$B$6-IF((A59+102)&gt;=Model!$B$11,Model!$B$20,0)-IF(102&lt;Model!$B$15,Model!$B$22,0))/(1-Model!$B$9)/(1+Model!$B$18)^102))</f>
        <v/>
      </c>
      <c r="DM59" s="7">
        <f>IF(A59="","",IF((A59+103)&gt;Model!$B$4,0,MAX(0,Model!$B$6-IF((A59+103)&gt;=Model!$B$11,Model!$B$20,0)-IF(103&lt;Model!$B$15,Model!$B$22,0))/(1-Model!$B$9)/(1+Model!$B$18)^103))</f>
        <v/>
      </c>
      <c r="DN59" s="7">
        <f>IF(A59="","",IF((A59+104)&gt;Model!$B$4,0,MAX(0,Model!$B$6-IF((A59+104)&gt;=Model!$B$11,Model!$B$20,0)-IF(104&lt;Model!$B$15,Model!$B$22,0))/(1-Model!$B$9)/(1+Model!$B$18)^104))</f>
        <v/>
      </c>
      <c r="DO59" s="7">
        <f>IF(A59="","",IF((A59+105)&gt;Model!$B$4,0,MAX(0,Model!$B$6-IF((A59+105)&gt;=Model!$B$11,Model!$B$20,0)-IF(105&lt;Model!$B$15,Model!$B$22,0))/(1-Model!$B$9)/(1+Model!$B$18)^105))</f>
        <v/>
      </c>
      <c r="DP59" s="7">
        <f>IF(A59="","",IF((A59+106)&gt;Model!$B$4,0,MAX(0,Model!$B$6-IF((A59+106)&gt;=Model!$B$11,Model!$B$20,0)-IF(106&lt;Model!$B$15,Model!$B$22,0))/(1-Model!$B$9)/(1+Model!$B$18)^106))</f>
        <v/>
      </c>
      <c r="DQ59" s="7">
        <f>IF(A59="","",IF((A59+107)&gt;Model!$B$4,0,MAX(0,Model!$B$6-IF((A59+107)&gt;=Model!$B$11,Model!$B$20,0)-IF(107&lt;Model!$B$15,Model!$B$22,0))/(1-Model!$B$9)/(1+Model!$B$18)^107))</f>
        <v/>
      </c>
      <c r="DR59" s="7">
        <f>IF(A59="","",IF((A59+108)&gt;Model!$B$4,0,MAX(0,Model!$B$6-IF((A59+108)&gt;=Model!$B$11,Model!$B$20,0)-IF(108&lt;Model!$B$15,Model!$B$22,0))/(1-Model!$B$9)/(1+Model!$B$18)^108))</f>
        <v/>
      </c>
      <c r="DS59" s="7">
        <f>IF(A59="","",IF((A59+109)&gt;Model!$B$4,0,MAX(0,Model!$B$6-IF((A59+109)&gt;=Model!$B$11,Model!$B$20,0)-IF(109&lt;Model!$B$15,Model!$B$22,0))/(1-Model!$B$9)/(1+Model!$B$18)^109))</f>
        <v/>
      </c>
      <c r="DT59" s="7">
        <f>IF(A59="","",IF((A59+110)&gt;Model!$B$4,0,MAX(0,Model!$B$6-IF((A59+110)&gt;=Model!$B$11,Model!$B$20,0)-IF(110&lt;Model!$B$15,Model!$B$22,0))/(1-Model!$B$9)/(1+Model!$B$18)^110))</f>
        <v/>
      </c>
      <c r="DU59" s="7">
        <f>IF(A59="","",IF((A59+111)&gt;Model!$B$4,0,MAX(0,Model!$B$6-IF((A59+111)&gt;=Model!$B$11,Model!$B$20,0)-IF(111&lt;Model!$B$15,Model!$B$22,0))/(1-Model!$B$9)/(1+Model!$B$18)^111))</f>
        <v/>
      </c>
      <c r="DV59" s="7">
        <f>IF(A59="","",IF((A59+112)&gt;Model!$B$4,0,MAX(0,Model!$B$6-IF((A59+112)&gt;=Model!$B$11,Model!$B$20,0)-IF(112&lt;Model!$B$15,Model!$B$22,0))/(1-Model!$B$9)/(1+Model!$B$18)^112))</f>
        <v/>
      </c>
      <c r="DW59" s="7">
        <f>IF(A59="","",IF((A59+113)&gt;Model!$B$4,0,MAX(0,Model!$B$6-IF((A59+113)&gt;=Model!$B$11,Model!$B$20,0)-IF(113&lt;Model!$B$15,Model!$B$22,0))/(1-Model!$B$9)/(1+Model!$B$18)^113))</f>
        <v/>
      </c>
      <c r="DX59" s="7">
        <f>IF(A59="","",IF((A59+114)&gt;Model!$B$4,0,MAX(0,Model!$B$6-IF((A59+114)&gt;=Model!$B$11,Model!$B$20,0)-IF(114&lt;Model!$B$15,Model!$B$22,0))/(1-Model!$B$9)/(1+Model!$B$18)^114))</f>
        <v/>
      </c>
      <c r="DY59" s="7">
        <f>IF(A59="","",IF((A59+115)&gt;Model!$B$4,0,MAX(0,Model!$B$6-IF((A59+115)&gt;=Model!$B$11,Model!$B$20,0)-IF(115&lt;Model!$B$15,Model!$B$22,0))/(1-Model!$B$9)/(1+Model!$B$18)^115))</f>
        <v/>
      </c>
      <c r="DZ59" s="7">
        <f>IF(A59="","",IF((A59+116)&gt;Model!$B$4,0,MAX(0,Model!$B$6-IF((A59+116)&gt;=Model!$B$11,Model!$B$20,0)-IF(116&lt;Model!$B$15,Model!$B$22,0))/(1-Model!$B$9)/(1+Model!$B$18)^116))</f>
        <v/>
      </c>
      <c r="EA59" s="7">
        <f>IF(A59="","",IF((A59+117)&gt;Model!$B$4,0,MAX(0,Model!$B$6-IF((A59+117)&gt;=Model!$B$11,Model!$B$20,0)-IF(117&lt;Model!$B$15,Model!$B$22,0))/(1-Model!$B$9)/(1+Model!$B$18)^117))</f>
        <v/>
      </c>
      <c r="EB59" s="7">
        <f>IF(A59="","",IF((A59+118)&gt;Model!$B$4,0,MAX(0,Model!$B$6-IF((A59+118)&gt;=Model!$B$11,Model!$B$20,0)-IF(118&lt;Model!$B$15,Model!$B$22,0))/(1-Model!$B$9)/(1+Model!$B$18)^118))</f>
        <v/>
      </c>
      <c r="EC59" s="7">
        <f>IF(A59="","",IF((A59+119)&gt;Model!$B$4,0,MAX(0,Model!$B$6-IF((A59+119)&gt;=Model!$B$11,Model!$B$20,0)-IF(119&lt;Model!$B$15,Model!$B$22,0))/(1-Model!$B$9)/(1+Model!$B$18)^119))</f>
        <v/>
      </c>
      <c r="ED59" s="7">
        <f>IF(A59="","",IF((A59+120)&gt;Model!$B$4,0,MAX(0,Model!$B$6-IF((A59+120)&gt;=Model!$B$11,Model!$B$20,0)-IF(120&lt;Model!$B$15,Model!$B$22,0))/(1-Model!$B$9)/(1+Model!$B$18)^120))</f>
        <v/>
      </c>
    </row>
    <row r="60">
      <c r="A60">
        <f>IF(Model!$B$10+ROW()-2&lt;=Model!$B$4,Model!$B$10+ROW()-2,"")</f>
        <v/>
      </c>
      <c r="B60">
        <f>IF(A60="","",A60-Model!$B$10)</f>
        <v/>
      </c>
      <c r="C60" s="7">
        <f>IF(A60="","",Model!$B$5*(1+Model!$B$18)^B60)</f>
        <v/>
      </c>
      <c r="D60" s="7">
        <f>IF(A60="","",SUM(N60:ED60))</f>
        <v/>
      </c>
      <c r="E60" s="7">
        <f>IF(A60="","",IF(A60&gt;=Model!$B$11,Model!$B$20,0))</f>
        <v/>
      </c>
      <c r="F60" s="7">
        <f>IF(A60="","",IF(Model!$B$15&gt;0,Model!$B$22,0))</f>
        <v/>
      </c>
      <c r="G60" s="7">
        <f>IF(A60="","",E60+F60)</f>
        <v/>
      </c>
      <c r="H60" s="7">
        <f>IF(A60="","",MAX(0,Model!$B$6-G60))</f>
        <v/>
      </c>
      <c r="I60" s="7">
        <f>IF(A60="","",H60/(1-Model!$B$9))</f>
        <v/>
      </c>
      <c r="J60" s="7">
        <f>IF(A60="","",C60-D60)</f>
        <v/>
      </c>
      <c r="K60">
        <f>IF(A60="","",C60&gt;=D60)</f>
        <v/>
      </c>
      <c r="L60" s="7">
        <f>IF(A60="","",IF(A60&gt;=Model!$B$11,Model!$B$19*(1+Model!$B$13)^B60,0))</f>
        <v/>
      </c>
      <c r="M60" s="7">
        <f>IF(A60="","",IF(Model!$B$15&gt;0,Model!$B$21*(1+Model!$B$13)^B60,0))</f>
        <v/>
      </c>
      <c r="N60" s="7">
        <f>IF(A60="","",IF((A60+0)&gt;Model!$B$4,0,MAX(0,Model!$B$6-IF((A60+0)&gt;=Model!$B$11,Model!$B$20,0)-IF(0&lt;Model!$B$15,Model!$B$22,0))/(1-Model!$B$9)/(1+Model!$B$18)^0))</f>
        <v/>
      </c>
      <c r="O60" s="7">
        <f>IF(A60="","",IF((A60+1)&gt;Model!$B$4,0,MAX(0,Model!$B$6-IF((A60+1)&gt;=Model!$B$11,Model!$B$20,0)-IF(1&lt;Model!$B$15,Model!$B$22,0))/(1-Model!$B$9)/(1+Model!$B$18)^1))</f>
        <v/>
      </c>
      <c r="P60" s="7">
        <f>IF(A60="","",IF((A60+2)&gt;Model!$B$4,0,MAX(0,Model!$B$6-IF((A60+2)&gt;=Model!$B$11,Model!$B$20,0)-IF(2&lt;Model!$B$15,Model!$B$22,0))/(1-Model!$B$9)/(1+Model!$B$18)^2))</f>
        <v/>
      </c>
      <c r="Q60" s="7">
        <f>IF(A60="","",IF((A60+3)&gt;Model!$B$4,0,MAX(0,Model!$B$6-IF((A60+3)&gt;=Model!$B$11,Model!$B$20,0)-IF(3&lt;Model!$B$15,Model!$B$22,0))/(1-Model!$B$9)/(1+Model!$B$18)^3))</f>
        <v/>
      </c>
      <c r="R60" s="7">
        <f>IF(A60="","",IF((A60+4)&gt;Model!$B$4,0,MAX(0,Model!$B$6-IF((A60+4)&gt;=Model!$B$11,Model!$B$20,0)-IF(4&lt;Model!$B$15,Model!$B$22,0))/(1-Model!$B$9)/(1+Model!$B$18)^4))</f>
        <v/>
      </c>
      <c r="S60" s="7">
        <f>IF(A60="","",IF((A60+5)&gt;Model!$B$4,0,MAX(0,Model!$B$6-IF((A60+5)&gt;=Model!$B$11,Model!$B$20,0)-IF(5&lt;Model!$B$15,Model!$B$22,0))/(1-Model!$B$9)/(1+Model!$B$18)^5))</f>
        <v/>
      </c>
      <c r="T60" s="7">
        <f>IF(A60="","",IF((A60+6)&gt;Model!$B$4,0,MAX(0,Model!$B$6-IF((A60+6)&gt;=Model!$B$11,Model!$B$20,0)-IF(6&lt;Model!$B$15,Model!$B$22,0))/(1-Model!$B$9)/(1+Model!$B$18)^6))</f>
        <v/>
      </c>
      <c r="U60" s="7">
        <f>IF(A60="","",IF((A60+7)&gt;Model!$B$4,0,MAX(0,Model!$B$6-IF((A60+7)&gt;=Model!$B$11,Model!$B$20,0)-IF(7&lt;Model!$B$15,Model!$B$22,0))/(1-Model!$B$9)/(1+Model!$B$18)^7))</f>
        <v/>
      </c>
      <c r="V60" s="7">
        <f>IF(A60="","",IF((A60+8)&gt;Model!$B$4,0,MAX(0,Model!$B$6-IF((A60+8)&gt;=Model!$B$11,Model!$B$20,0)-IF(8&lt;Model!$B$15,Model!$B$22,0))/(1-Model!$B$9)/(1+Model!$B$18)^8))</f>
        <v/>
      </c>
      <c r="W60" s="7">
        <f>IF(A60="","",IF((A60+9)&gt;Model!$B$4,0,MAX(0,Model!$B$6-IF((A60+9)&gt;=Model!$B$11,Model!$B$20,0)-IF(9&lt;Model!$B$15,Model!$B$22,0))/(1-Model!$B$9)/(1+Model!$B$18)^9))</f>
        <v/>
      </c>
      <c r="X60" s="7">
        <f>IF(A60="","",IF((A60+10)&gt;Model!$B$4,0,MAX(0,Model!$B$6-IF((A60+10)&gt;=Model!$B$11,Model!$B$20,0)-IF(10&lt;Model!$B$15,Model!$B$22,0))/(1-Model!$B$9)/(1+Model!$B$18)^10))</f>
        <v/>
      </c>
      <c r="Y60" s="7">
        <f>IF(A60="","",IF((A60+11)&gt;Model!$B$4,0,MAX(0,Model!$B$6-IF((A60+11)&gt;=Model!$B$11,Model!$B$20,0)-IF(11&lt;Model!$B$15,Model!$B$22,0))/(1-Model!$B$9)/(1+Model!$B$18)^11))</f>
        <v/>
      </c>
      <c r="Z60" s="7">
        <f>IF(A60="","",IF((A60+12)&gt;Model!$B$4,0,MAX(0,Model!$B$6-IF((A60+12)&gt;=Model!$B$11,Model!$B$20,0)-IF(12&lt;Model!$B$15,Model!$B$22,0))/(1-Model!$B$9)/(1+Model!$B$18)^12))</f>
        <v/>
      </c>
      <c r="AA60" s="7">
        <f>IF(A60="","",IF((A60+13)&gt;Model!$B$4,0,MAX(0,Model!$B$6-IF((A60+13)&gt;=Model!$B$11,Model!$B$20,0)-IF(13&lt;Model!$B$15,Model!$B$22,0))/(1-Model!$B$9)/(1+Model!$B$18)^13))</f>
        <v/>
      </c>
      <c r="AB60" s="7">
        <f>IF(A60="","",IF((A60+14)&gt;Model!$B$4,0,MAX(0,Model!$B$6-IF((A60+14)&gt;=Model!$B$11,Model!$B$20,0)-IF(14&lt;Model!$B$15,Model!$B$22,0))/(1-Model!$B$9)/(1+Model!$B$18)^14))</f>
        <v/>
      </c>
      <c r="AC60" s="7">
        <f>IF(A60="","",IF((A60+15)&gt;Model!$B$4,0,MAX(0,Model!$B$6-IF((A60+15)&gt;=Model!$B$11,Model!$B$20,0)-IF(15&lt;Model!$B$15,Model!$B$22,0))/(1-Model!$B$9)/(1+Model!$B$18)^15))</f>
        <v/>
      </c>
      <c r="AD60" s="7">
        <f>IF(A60="","",IF((A60+16)&gt;Model!$B$4,0,MAX(0,Model!$B$6-IF((A60+16)&gt;=Model!$B$11,Model!$B$20,0)-IF(16&lt;Model!$B$15,Model!$B$22,0))/(1-Model!$B$9)/(1+Model!$B$18)^16))</f>
        <v/>
      </c>
      <c r="AE60" s="7">
        <f>IF(A60="","",IF((A60+17)&gt;Model!$B$4,0,MAX(0,Model!$B$6-IF((A60+17)&gt;=Model!$B$11,Model!$B$20,0)-IF(17&lt;Model!$B$15,Model!$B$22,0))/(1-Model!$B$9)/(1+Model!$B$18)^17))</f>
        <v/>
      </c>
      <c r="AF60" s="7">
        <f>IF(A60="","",IF((A60+18)&gt;Model!$B$4,0,MAX(0,Model!$B$6-IF((A60+18)&gt;=Model!$B$11,Model!$B$20,0)-IF(18&lt;Model!$B$15,Model!$B$22,0))/(1-Model!$B$9)/(1+Model!$B$18)^18))</f>
        <v/>
      </c>
      <c r="AG60" s="7">
        <f>IF(A60="","",IF((A60+19)&gt;Model!$B$4,0,MAX(0,Model!$B$6-IF((A60+19)&gt;=Model!$B$11,Model!$B$20,0)-IF(19&lt;Model!$B$15,Model!$B$22,0))/(1-Model!$B$9)/(1+Model!$B$18)^19))</f>
        <v/>
      </c>
      <c r="AH60" s="7">
        <f>IF(A60="","",IF((A60+20)&gt;Model!$B$4,0,MAX(0,Model!$B$6-IF((A60+20)&gt;=Model!$B$11,Model!$B$20,0)-IF(20&lt;Model!$B$15,Model!$B$22,0))/(1-Model!$B$9)/(1+Model!$B$18)^20))</f>
        <v/>
      </c>
      <c r="AI60" s="7">
        <f>IF(A60="","",IF((A60+21)&gt;Model!$B$4,0,MAX(0,Model!$B$6-IF((A60+21)&gt;=Model!$B$11,Model!$B$20,0)-IF(21&lt;Model!$B$15,Model!$B$22,0))/(1-Model!$B$9)/(1+Model!$B$18)^21))</f>
        <v/>
      </c>
      <c r="AJ60" s="7">
        <f>IF(A60="","",IF((A60+22)&gt;Model!$B$4,0,MAX(0,Model!$B$6-IF((A60+22)&gt;=Model!$B$11,Model!$B$20,0)-IF(22&lt;Model!$B$15,Model!$B$22,0))/(1-Model!$B$9)/(1+Model!$B$18)^22))</f>
        <v/>
      </c>
      <c r="AK60" s="7">
        <f>IF(A60="","",IF((A60+23)&gt;Model!$B$4,0,MAX(0,Model!$B$6-IF((A60+23)&gt;=Model!$B$11,Model!$B$20,0)-IF(23&lt;Model!$B$15,Model!$B$22,0))/(1-Model!$B$9)/(1+Model!$B$18)^23))</f>
        <v/>
      </c>
      <c r="AL60" s="7">
        <f>IF(A60="","",IF((A60+24)&gt;Model!$B$4,0,MAX(0,Model!$B$6-IF((A60+24)&gt;=Model!$B$11,Model!$B$20,0)-IF(24&lt;Model!$B$15,Model!$B$22,0))/(1-Model!$B$9)/(1+Model!$B$18)^24))</f>
        <v/>
      </c>
      <c r="AM60" s="7">
        <f>IF(A60="","",IF((A60+25)&gt;Model!$B$4,0,MAX(0,Model!$B$6-IF((A60+25)&gt;=Model!$B$11,Model!$B$20,0)-IF(25&lt;Model!$B$15,Model!$B$22,0))/(1-Model!$B$9)/(1+Model!$B$18)^25))</f>
        <v/>
      </c>
      <c r="AN60" s="7">
        <f>IF(A60="","",IF((A60+26)&gt;Model!$B$4,0,MAX(0,Model!$B$6-IF((A60+26)&gt;=Model!$B$11,Model!$B$20,0)-IF(26&lt;Model!$B$15,Model!$B$22,0))/(1-Model!$B$9)/(1+Model!$B$18)^26))</f>
        <v/>
      </c>
      <c r="AO60" s="7">
        <f>IF(A60="","",IF((A60+27)&gt;Model!$B$4,0,MAX(0,Model!$B$6-IF((A60+27)&gt;=Model!$B$11,Model!$B$20,0)-IF(27&lt;Model!$B$15,Model!$B$22,0))/(1-Model!$B$9)/(1+Model!$B$18)^27))</f>
        <v/>
      </c>
      <c r="AP60" s="7">
        <f>IF(A60="","",IF((A60+28)&gt;Model!$B$4,0,MAX(0,Model!$B$6-IF((A60+28)&gt;=Model!$B$11,Model!$B$20,0)-IF(28&lt;Model!$B$15,Model!$B$22,0))/(1-Model!$B$9)/(1+Model!$B$18)^28))</f>
        <v/>
      </c>
      <c r="AQ60" s="7">
        <f>IF(A60="","",IF((A60+29)&gt;Model!$B$4,0,MAX(0,Model!$B$6-IF((A60+29)&gt;=Model!$B$11,Model!$B$20,0)-IF(29&lt;Model!$B$15,Model!$B$22,0))/(1-Model!$B$9)/(1+Model!$B$18)^29))</f>
        <v/>
      </c>
      <c r="AR60" s="7">
        <f>IF(A60="","",IF((A60+30)&gt;Model!$B$4,0,MAX(0,Model!$B$6-IF((A60+30)&gt;=Model!$B$11,Model!$B$20,0)-IF(30&lt;Model!$B$15,Model!$B$22,0))/(1-Model!$B$9)/(1+Model!$B$18)^30))</f>
        <v/>
      </c>
      <c r="AS60" s="7">
        <f>IF(A60="","",IF((A60+31)&gt;Model!$B$4,0,MAX(0,Model!$B$6-IF((A60+31)&gt;=Model!$B$11,Model!$B$20,0)-IF(31&lt;Model!$B$15,Model!$B$22,0))/(1-Model!$B$9)/(1+Model!$B$18)^31))</f>
        <v/>
      </c>
      <c r="AT60" s="7">
        <f>IF(A60="","",IF((A60+32)&gt;Model!$B$4,0,MAX(0,Model!$B$6-IF((A60+32)&gt;=Model!$B$11,Model!$B$20,0)-IF(32&lt;Model!$B$15,Model!$B$22,0))/(1-Model!$B$9)/(1+Model!$B$18)^32))</f>
        <v/>
      </c>
      <c r="AU60" s="7">
        <f>IF(A60="","",IF((A60+33)&gt;Model!$B$4,0,MAX(0,Model!$B$6-IF((A60+33)&gt;=Model!$B$11,Model!$B$20,0)-IF(33&lt;Model!$B$15,Model!$B$22,0))/(1-Model!$B$9)/(1+Model!$B$18)^33))</f>
        <v/>
      </c>
      <c r="AV60" s="7">
        <f>IF(A60="","",IF((A60+34)&gt;Model!$B$4,0,MAX(0,Model!$B$6-IF((A60+34)&gt;=Model!$B$11,Model!$B$20,0)-IF(34&lt;Model!$B$15,Model!$B$22,0))/(1-Model!$B$9)/(1+Model!$B$18)^34))</f>
        <v/>
      </c>
      <c r="AW60" s="7">
        <f>IF(A60="","",IF((A60+35)&gt;Model!$B$4,0,MAX(0,Model!$B$6-IF((A60+35)&gt;=Model!$B$11,Model!$B$20,0)-IF(35&lt;Model!$B$15,Model!$B$22,0))/(1-Model!$B$9)/(1+Model!$B$18)^35))</f>
        <v/>
      </c>
      <c r="AX60" s="7">
        <f>IF(A60="","",IF((A60+36)&gt;Model!$B$4,0,MAX(0,Model!$B$6-IF((A60+36)&gt;=Model!$B$11,Model!$B$20,0)-IF(36&lt;Model!$B$15,Model!$B$22,0))/(1-Model!$B$9)/(1+Model!$B$18)^36))</f>
        <v/>
      </c>
      <c r="AY60" s="7">
        <f>IF(A60="","",IF((A60+37)&gt;Model!$B$4,0,MAX(0,Model!$B$6-IF((A60+37)&gt;=Model!$B$11,Model!$B$20,0)-IF(37&lt;Model!$B$15,Model!$B$22,0))/(1-Model!$B$9)/(1+Model!$B$18)^37))</f>
        <v/>
      </c>
      <c r="AZ60" s="7">
        <f>IF(A60="","",IF((A60+38)&gt;Model!$B$4,0,MAX(0,Model!$B$6-IF((A60+38)&gt;=Model!$B$11,Model!$B$20,0)-IF(38&lt;Model!$B$15,Model!$B$22,0))/(1-Model!$B$9)/(1+Model!$B$18)^38))</f>
        <v/>
      </c>
      <c r="BA60" s="7">
        <f>IF(A60="","",IF((A60+39)&gt;Model!$B$4,0,MAX(0,Model!$B$6-IF((A60+39)&gt;=Model!$B$11,Model!$B$20,0)-IF(39&lt;Model!$B$15,Model!$B$22,0))/(1-Model!$B$9)/(1+Model!$B$18)^39))</f>
        <v/>
      </c>
      <c r="BB60" s="7">
        <f>IF(A60="","",IF((A60+40)&gt;Model!$B$4,0,MAX(0,Model!$B$6-IF((A60+40)&gt;=Model!$B$11,Model!$B$20,0)-IF(40&lt;Model!$B$15,Model!$B$22,0))/(1-Model!$B$9)/(1+Model!$B$18)^40))</f>
        <v/>
      </c>
      <c r="BC60" s="7">
        <f>IF(A60="","",IF((A60+41)&gt;Model!$B$4,0,MAX(0,Model!$B$6-IF((A60+41)&gt;=Model!$B$11,Model!$B$20,0)-IF(41&lt;Model!$B$15,Model!$B$22,0))/(1-Model!$B$9)/(1+Model!$B$18)^41))</f>
        <v/>
      </c>
      <c r="BD60" s="7">
        <f>IF(A60="","",IF((A60+42)&gt;Model!$B$4,0,MAX(0,Model!$B$6-IF((A60+42)&gt;=Model!$B$11,Model!$B$20,0)-IF(42&lt;Model!$B$15,Model!$B$22,0))/(1-Model!$B$9)/(1+Model!$B$18)^42))</f>
        <v/>
      </c>
      <c r="BE60" s="7">
        <f>IF(A60="","",IF((A60+43)&gt;Model!$B$4,0,MAX(0,Model!$B$6-IF((A60+43)&gt;=Model!$B$11,Model!$B$20,0)-IF(43&lt;Model!$B$15,Model!$B$22,0))/(1-Model!$B$9)/(1+Model!$B$18)^43))</f>
        <v/>
      </c>
      <c r="BF60" s="7">
        <f>IF(A60="","",IF((A60+44)&gt;Model!$B$4,0,MAX(0,Model!$B$6-IF((A60+44)&gt;=Model!$B$11,Model!$B$20,0)-IF(44&lt;Model!$B$15,Model!$B$22,0))/(1-Model!$B$9)/(1+Model!$B$18)^44))</f>
        <v/>
      </c>
      <c r="BG60" s="7">
        <f>IF(A60="","",IF((A60+45)&gt;Model!$B$4,0,MAX(0,Model!$B$6-IF((A60+45)&gt;=Model!$B$11,Model!$B$20,0)-IF(45&lt;Model!$B$15,Model!$B$22,0))/(1-Model!$B$9)/(1+Model!$B$18)^45))</f>
        <v/>
      </c>
      <c r="BH60" s="7">
        <f>IF(A60="","",IF((A60+46)&gt;Model!$B$4,0,MAX(0,Model!$B$6-IF((A60+46)&gt;=Model!$B$11,Model!$B$20,0)-IF(46&lt;Model!$B$15,Model!$B$22,0))/(1-Model!$B$9)/(1+Model!$B$18)^46))</f>
        <v/>
      </c>
      <c r="BI60" s="7">
        <f>IF(A60="","",IF((A60+47)&gt;Model!$B$4,0,MAX(0,Model!$B$6-IF((A60+47)&gt;=Model!$B$11,Model!$B$20,0)-IF(47&lt;Model!$B$15,Model!$B$22,0))/(1-Model!$B$9)/(1+Model!$B$18)^47))</f>
        <v/>
      </c>
      <c r="BJ60" s="7">
        <f>IF(A60="","",IF((A60+48)&gt;Model!$B$4,0,MAX(0,Model!$B$6-IF((A60+48)&gt;=Model!$B$11,Model!$B$20,0)-IF(48&lt;Model!$B$15,Model!$B$22,0))/(1-Model!$B$9)/(1+Model!$B$18)^48))</f>
        <v/>
      </c>
      <c r="BK60" s="7">
        <f>IF(A60="","",IF((A60+49)&gt;Model!$B$4,0,MAX(0,Model!$B$6-IF((A60+49)&gt;=Model!$B$11,Model!$B$20,0)-IF(49&lt;Model!$B$15,Model!$B$22,0))/(1-Model!$B$9)/(1+Model!$B$18)^49))</f>
        <v/>
      </c>
      <c r="BL60" s="7">
        <f>IF(A60="","",IF((A60+50)&gt;Model!$B$4,0,MAX(0,Model!$B$6-IF((A60+50)&gt;=Model!$B$11,Model!$B$20,0)-IF(50&lt;Model!$B$15,Model!$B$22,0))/(1-Model!$B$9)/(1+Model!$B$18)^50))</f>
        <v/>
      </c>
      <c r="BM60" s="7">
        <f>IF(A60="","",IF((A60+51)&gt;Model!$B$4,0,MAX(0,Model!$B$6-IF((A60+51)&gt;=Model!$B$11,Model!$B$20,0)-IF(51&lt;Model!$B$15,Model!$B$22,0))/(1-Model!$B$9)/(1+Model!$B$18)^51))</f>
        <v/>
      </c>
      <c r="BN60" s="7">
        <f>IF(A60="","",IF((A60+52)&gt;Model!$B$4,0,MAX(0,Model!$B$6-IF((A60+52)&gt;=Model!$B$11,Model!$B$20,0)-IF(52&lt;Model!$B$15,Model!$B$22,0))/(1-Model!$B$9)/(1+Model!$B$18)^52))</f>
        <v/>
      </c>
      <c r="BO60" s="7">
        <f>IF(A60="","",IF((A60+53)&gt;Model!$B$4,0,MAX(0,Model!$B$6-IF((A60+53)&gt;=Model!$B$11,Model!$B$20,0)-IF(53&lt;Model!$B$15,Model!$B$22,0))/(1-Model!$B$9)/(1+Model!$B$18)^53))</f>
        <v/>
      </c>
      <c r="BP60" s="7">
        <f>IF(A60="","",IF((A60+54)&gt;Model!$B$4,0,MAX(0,Model!$B$6-IF((A60+54)&gt;=Model!$B$11,Model!$B$20,0)-IF(54&lt;Model!$B$15,Model!$B$22,0))/(1-Model!$B$9)/(1+Model!$B$18)^54))</f>
        <v/>
      </c>
      <c r="BQ60" s="7">
        <f>IF(A60="","",IF((A60+55)&gt;Model!$B$4,0,MAX(0,Model!$B$6-IF((A60+55)&gt;=Model!$B$11,Model!$B$20,0)-IF(55&lt;Model!$B$15,Model!$B$22,0))/(1-Model!$B$9)/(1+Model!$B$18)^55))</f>
        <v/>
      </c>
      <c r="BR60" s="7">
        <f>IF(A60="","",IF((A60+56)&gt;Model!$B$4,0,MAX(0,Model!$B$6-IF((A60+56)&gt;=Model!$B$11,Model!$B$20,0)-IF(56&lt;Model!$B$15,Model!$B$22,0))/(1-Model!$B$9)/(1+Model!$B$18)^56))</f>
        <v/>
      </c>
      <c r="BS60" s="7">
        <f>IF(A60="","",IF((A60+57)&gt;Model!$B$4,0,MAX(0,Model!$B$6-IF((A60+57)&gt;=Model!$B$11,Model!$B$20,0)-IF(57&lt;Model!$B$15,Model!$B$22,0))/(1-Model!$B$9)/(1+Model!$B$18)^57))</f>
        <v/>
      </c>
      <c r="BT60" s="7">
        <f>IF(A60="","",IF((A60+58)&gt;Model!$B$4,0,MAX(0,Model!$B$6-IF((A60+58)&gt;=Model!$B$11,Model!$B$20,0)-IF(58&lt;Model!$B$15,Model!$B$22,0))/(1-Model!$B$9)/(1+Model!$B$18)^58))</f>
        <v/>
      </c>
      <c r="BU60" s="7">
        <f>IF(A60="","",IF((A60+59)&gt;Model!$B$4,0,MAX(0,Model!$B$6-IF((A60+59)&gt;=Model!$B$11,Model!$B$20,0)-IF(59&lt;Model!$B$15,Model!$B$22,0))/(1-Model!$B$9)/(1+Model!$B$18)^59))</f>
        <v/>
      </c>
      <c r="BV60" s="7">
        <f>IF(A60="","",IF((A60+60)&gt;Model!$B$4,0,MAX(0,Model!$B$6-IF((A60+60)&gt;=Model!$B$11,Model!$B$20,0)-IF(60&lt;Model!$B$15,Model!$B$22,0))/(1-Model!$B$9)/(1+Model!$B$18)^60))</f>
        <v/>
      </c>
      <c r="BW60" s="7">
        <f>IF(A60="","",IF((A60+61)&gt;Model!$B$4,0,MAX(0,Model!$B$6-IF((A60+61)&gt;=Model!$B$11,Model!$B$20,0)-IF(61&lt;Model!$B$15,Model!$B$22,0))/(1-Model!$B$9)/(1+Model!$B$18)^61))</f>
        <v/>
      </c>
      <c r="BX60" s="7">
        <f>IF(A60="","",IF((A60+62)&gt;Model!$B$4,0,MAX(0,Model!$B$6-IF((A60+62)&gt;=Model!$B$11,Model!$B$20,0)-IF(62&lt;Model!$B$15,Model!$B$22,0))/(1-Model!$B$9)/(1+Model!$B$18)^62))</f>
        <v/>
      </c>
      <c r="BY60" s="7">
        <f>IF(A60="","",IF((A60+63)&gt;Model!$B$4,0,MAX(0,Model!$B$6-IF((A60+63)&gt;=Model!$B$11,Model!$B$20,0)-IF(63&lt;Model!$B$15,Model!$B$22,0))/(1-Model!$B$9)/(1+Model!$B$18)^63))</f>
        <v/>
      </c>
      <c r="BZ60" s="7">
        <f>IF(A60="","",IF((A60+64)&gt;Model!$B$4,0,MAX(0,Model!$B$6-IF((A60+64)&gt;=Model!$B$11,Model!$B$20,0)-IF(64&lt;Model!$B$15,Model!$B$22,0))/(1-Model!$B$9)/(1+Model!$B$18)^64))</f>
        <v/>
      </c>
      <c r="CA60" s="7">
        <f>IF(A60="","",IF((A60+65)&gt;Model!$B$4,0,MAX(0,Model!$B$6-IF((A60+65)&gt;=Model!$B$11,Model!$B$20,0)-IF(65&lt;Model!$B$15,Model!$B$22,0))/(1-Model!$B$9)/(1+Model!$B$18)^65))</f>
        <v/>
      </c>
      <c r="CB60" s="7">
        <f>IF(A60="","",IF((A60+66)&gt;Model!$B$4,0,MAX(0,Model!$B$6-IF((A60+66)&gt;=Model!$B$11,Model!$B$20,0)-IF(66&lt;Model!$B$15,Model!$B$22,0))/(1-Model!$B$9)/(1+Model!$B$18)^66))</f>
        <v/>
      </c>
      <c r="CC60" s="7">
        <f>IF(A60="","",IF((A60+67)&gt;Model!$B$4,0,MAX(0,Model!$B$6-IF((A60+67)&gt;=Model!$B$11,Model!$B$20,0)-IF(67&lt;Model!$B$15,Model!$B$22,0))/(1-Model!$B$9)/(1+Model!$B$18)^67))</f>
        <v/>
      </c>
      <c r="CD60" s="7">
        <f>IF(A60="","",IF((A60+68)&gt;Model!$B$4,0,MAX(0,Model!$B$6-IF((A60+68)&gt;=Model!$B$11,Model!$B$20,0)-IF(68&lt;Model!$B$15,Model!$B$22,0))/(1-Model!$B$9)/(1+Model!$B$18)^68))</f>
        <v/>
      </c>
      <c r="CE60" s="7">
        <f>IF(A60="","",IF((A60+69)&gt;Model!$B$4,0,MAX(0,Model!$B$6-IF((A60+69)&gt;=Model!$B$11,Model!$B$20,0)-IF(69&lt;Model!$B$15,Model!$B$22,0))/(1-Model!$B$9)/(1+Model!$B$18)^69))</f>
        <v/>
      </c>
      <c r="CF60" s="7">
        <f>IF(A60="","",IF((A60+70)&gt;Model!$B$4,0,MAX(0,Model!$B$6-IF((A60+70)&gt;=Model!$B$11,Model!$B$20,0)-IF(70&lt;Model!$B$15,Model!$B$22,0))/(1-Model!$B$9)/(1+Model!$B$18)^70))</f>
        <v/>
      </c>
      <c r="CG60" s="7">
        <f>IF(A60="","",IF((A60+71)&gt;Model!$B$4,0,MAX(0,Model!$B$6-IF((A60+71)&gt;=Model!$B$11,Model!$B$20,0)-IF(71&lt;Model!$B$15,Model!$B$22,0))/(1-Model!$B$9)/(1+Model!$B$18)^71))</f>
        <v/>
      </c>
      <c r="CH60" s="7">
        <f>IF(A60="","",IF((A60+72)&gt;Model!$B$4,0,MAX(0,Model!$B$6-IF((A60+72)&gt;=Model!$B$11,Model!$B$20,0)-IF(72&lt;Model!$B$15,Model!$B$22,0))/(1-Model!$B$9)/(1+Model!$B$18)^72))</f>
        <v/>
      </c>
      <c r="CI60" s="7">
        <f>IF(A60="","",IF((A60+73)&gt;Model!$B$4,0,MAX(0,Model!$B$6-IF((A60+73)&gt;=Model!$B$11,Model!$B$20,0)-IF(73&lt;Model!$B$15,Model!$B$22,0))/(1-Model!$B$9)/(1+Model!$B$18)^73))</f>
        <v/>
      </c>
      <c r="CJ60" s="7">
        <f>IF(A60="","",IF((A60+74)&gt;Model!$B$4,0,MAX(0,Model!$B$6-IF((A60+74)&gt;=Model!$B$11,Model!$B$20,0)-IF(74&lt;Model!$B$15,Model!$B$22,0))/(1-Model!$B$9)/(1+Model!$B$18)^74))</f>
        <v/>
      </c>
      <c r="CK60" s="7">
        <f>IF(A60="","",IF((A60+75)&gt;Model!$B$4,0,MAX(0,Model!$B$6-IF((A60+75)&gt;=Model!$B$11,Model!$B$20,0)-IF(75&lt;Model!$B$15,Model!$B$22,0))/(1-Model!$B$9)/(1+Model!$B$18)^75))</f>
        <v/>
      </c>
      <c r="CL60" s="7">
        <f>IF(A60="","",IF((A60+76)&gt;Model!$B$4,0,MAX(0,Model!$B$6-IF((A60+76)&gt;=Model!$B$11,Model!$B$20,0)-IF(76&lt;Model!$B$15,Model!$B$22,0))/(1-Model!$B$9)/(1+Model!$B$18)^76))</f>
        <v/>
      </c>
      <c r="CM60" s="7">
        <f>IF(A60="","",IF((A60+77)&gt;Model!$B$4,0,MAX(0,Model!$B$6-IF((A60+77)&gt;=Model!$B$11,Model!$B$20,0)-IF(77&lt;Model!$B$15,Model!$B$22,0))/(1-Model!$B$9)/(1+Model!$B$18)^77))</f>
        <v/>
      </c>
      <c r="CN60" s="7">
        <f>IF(A60="","",IF((A60+78)&gt;Model!$B$4,0,MAX(0,Model!$B$6-IF((A60+78)&gt;=Model!$B$11,Model!$B$20,0)-IF(78&lt;Model!$B$15,Model!$B$22,0))/(1-Model!$B$9)/(1+Model!$B$18)^78))</f>
        <v/>
      </c>
      <c r="CO60" s="7">
        <f>IF(A60="","",IF((A60+79)&gt;Model!$B$4,0,MAX(0,Model!$B$6-IF((A60+79)&gt;=Model!$B$11,Model!$B$20,0)-IF(79&lt;Model!$B$15,Model!$B$22,0))/(1-Model!$B$9)/(1+Model!$B$18)^79))</f>
        <v/>
      </c>
      <c r="CP60" s="7">
        <f>IF(A60="","",IF((A60+80)&gt;Model!$B$4,0,MAX(0,Model!$B$6-IF((A60+80)&gt;=Model!$B$11,Model!$B$20,0)-IF(80&lt;Model!$B$15,Model!$B$22,0))/(1-Model!$B$9)/(1+Model!$B$18)^80))</f>
        <v/>
      </c>
      <c r="CQ60" s="7">
        <f>IF(A60="","",IF((A60+81)&gt;Model!$B$4,0,MAX(0,Model!$B$6-IF((A60+81)&gt;=Model!$B$11,Model!$B$20,0)-IF(81&lt;Model!$B$15,Model!$B$22,0))/(1-Model!$B$9)/(1+Model!$B$18)^81))</f>
        <v/>
      </c>
      <c r="CR60" s="7">
        <f>IF(A60="","",IF((A60+82)&gt;Model!$B$4,0,MAX(0,Model!$B$6-IF((A60+82)&gt;=Model!$B$11,Model!$B$20,0)-IF(82&lt;Model!$B$15,Model!$B$22,0))/(1-Model!$B$9)/(1+Model!$B$18)^82))</f>
        <v/>
      </c>
      <c r="CS60" s="7">
        <f>IF(A60="","",IF((A60+83)&gt;Model!$B$4,0,MAX(0,Model!$B$6-IF((A60+83)&gt;=Model!$B$11,Model!$B$20,0)-IF(83&lt;Model!$B$15,Model!$B$22,0))/(1-Model!$B$9)/(1+Model!$B$18)^83))</f>
        <v/>
      </c>
      <c r="CT60" s="7">
        <f>IF(A60="","",IF((A60+84)&gt;Model!$B$4,0,MAX(0,Model!$B$6-IF((A60+84)&gt;=Model!$B$11,Model!$B$20,0)-IF(84&lt;Model!$B$15,Model!$B$22,0))/(1-Model!$B$9)/(1+Model!$B$18)^84))</f>
        <v/>
      </c>
      <c r="CU60" s="7">
        <f>IF(A60="","",IF((A60+85)&gt;Model!$B$4,0,MAX(0,Model!$B$6-IF((A60+85)&gt;=Model!$B$11,Model!$B$20,0)-IF(85&lt;Model!$B$15,Model!$B$22,0))/(1-Model!$B$9)/(1+Model!$B$18)^85))</f>
        <v/>
      </c>
      <c r="CV60" s="7">
        <f>IF(A60="","",IF((A60+86)&gt;Model!$B$4,0,MAX(0,Model!$B$6-IF((A60+86)&gt;=Model!$B$11,Model!$B$20,0)-IF(86&lt;Model!$B$15,Model!$B$22,0))/(1-Model!$B$9)/(1+Model!$B$18)^86))</f>
        <v/>
      </c>
      <c r="CW60" s="7">
        <f>IF(A60="","",IF((A60+87)&gt;Model!$B$4,0,MAX(0,Model!$B$6-IF((A60+87)&gt;=Model!$B$11,Model!$B$20,0)-IF(87&lt;Model!$B$15,Model!$B$22,0))/(1-Model!$B$9)/(1+Model!$B$18)^87))</f>
        <v/>
      </c>
      <c r="CX60" s="7">
        <f>IF(A60="","",IF((A60+88)&gt;Model!$B$4,0,MAX(0,Model!$B$6-IF((A60+88)&gt;=Model!$B$11,Model!$B$20,0)-IF(88&lt;Model!$B$15,Model!$B$22,0))/(1-Model!$B$9)/(1+Model!$B$18)^88))</f>
        <v/>
      </c>
      <c r="CY60" s="7">
        <f>IF(A60="","",IF((A60+89)&gt;Model!$B$4,0,MAX(0,Model!$B$6-IF((A60+89)&gt;=Model!$B$11,Model!$B$20,0)-IF(89&lt;Model!$B$15,Model!$B$22,0))/(1-Model!$B$9)/(1+Model!$B$18)^89))</f>
        <v/>
      </c>
      <c r="CZ60" s="7">
        <f>IF(A60="","",IF((A60+90)&gt;Model!$B$4,0,MAX(0,Model!$B$6-IF((A60+90)&gt;=Model!$B$11,Model!$B$20,0)-IF(90&lt;Model!$B$15,Model!$B$22,0))/(1-Model!$B$9)/(1+Model!$B$18)^90))</f>
        <v/>
      </c>
      <c r="DA60" s="7">
        <f>IF(A60="","",IF((A60+91)&gt;Model!$B$4,0,MAX(0,Model!$B$6-IF((A60+91)&gt;=Model!$B$11,Model!$B$20,0)-IF(91&lt;Model!$B$15,Model!$B$22,0))/(1-Model!$B$9)/(1+Model!$B$18)^91))</f>
        <v/>
      </c>
      <c r="DB60" s="7">
        <f>IF(A60="","",IF((A60+92)&gt;Model!$B$4,0,MAX(0,Model!$B$6-IF((A60+92)&gt;=Model!$B$11,Model!$B$20,0)-IF(92&lt;Model!$B$15,Model!$B$22,0))/(1-Model!$B$9)/(1+Model!$B$18)^92))</f>
        <v/>
      </c>
      <c r="DC60" s="7">
        <f>IF(A60="","",IF((A60+93)&gt;Model!$B$4,0,MAX(0,Model!$B$6-IF((A60+93)&gt;=Model!$B$11,Model!$B$20,0)-IF(93&lt;Model!$B$15,Model!$B$22,0))/(1-Model!$B$9)/(1+Model!$B$18)^93))</f>
        <v/>
      </c>
      <c r="DD60" s="7">
        <f>IF(A60="","",IF((A60+94)&gt;Model!$B$4,0,MAX(0,Model!$B$6-IF((A60+94)&gt;=Model!$B$11,Model!$B$20,0)-IF(94&lt;Model!$B$15,Model!$B$22,0))/(1-Model!$B$9)/(1+Model!$B$18)^94))</f>
        <v/>
      </c>
      <c r="DE60" s="7">
        <f>IF(A60="","",IF((A60+95)&gt;Model!$B$4,0,MAX(0,Model!$B$6-IF((A60+95)&gt;=Model!$B$11,Model!$B$20,0)-IF(95&lt;Model!$B$15,Model!$B$22,0))/(1-Model!$B$9)/(1+Model!$B$18)^95))</f>
        <v/>
      </c>
      <c r="DF60" s="7">
        <f>IF(A60="","",IF((A60+96)&gt;Model!$B$4,0,MAX(0,Model!$B$6-IF((A60+96)&gt;=Model!$B$11,Model!$B$20,0)-IF(96&lt;Model!$B$15,Model!$B$22,0))/(1-Model!$B$9)/(1+Model!$B$18)^96))</f>
        <v/>
      </c>
      <c r="DG60" s="7">
        <f>IF(A60="","",IF((A60+97)&gt;Model!$B$4,0,MAX(0,Model!$B$6-IF((A60+97)&gt;=Model!$B$11,Model!$B$20,0)-IF(97&lt;Model!$B$15,Model!$B$22,0))/(1-Model!$B$9)/(1+Model!$B$18)^97))</f>
        <v/>
      </c>
      <c r="DH60" s="7">
        <f>IF(A60="","",IF((A60+98)&gt;Model!$B$4,0,MAX(0,Model!$B$6-IF((A60+98)&gt;=Model!$B$11,Model!$B$20,0)-IF(98&lt;Model!$B$15,Model!$B$22,0))/(1-Model!$B$9)/(1+Model!$B$18)^98))</f>
        <v/>
      </c>
      <c r="DI60" s="7">
        <f>IF(A60="","",IF((A60+99)&gt;Model!$B$4,0,MAX(0,Model!$B$6-IF((A60+99)&gt;=Model!$B$11,Model!$B$20,0)-IF(99&lt;Model!$B$15,Model!$B$22,0))/(1-Model!$B$9)/(1+Model!$B$18)^99))</f>
        <v/>
      </c>
      <c r="DJ60" s="7">
        <f>IF(A60="","",IF((A60+100)&gt;Model!$B$4,0,MAX(0,Model!$B$6-IF((A60+100)&gt;=Model!$B$11,Model!$B$20,0)-IF(100&lt;Model!$B$15,Model!$B$22,0))/(1-Model!$B$9)/(1+Model!$B$18)^100))</f>
        <v/>
      </c>
      <c r="DK60" s="7">
        <f>IF(A60="","",IF((A60+101)&gt;Model!$B$4,0,MAX(0,Model!$B$6-IF((A60+101)&gt;=Model!$B$11,Model!$B$20,0)-IF(101&lt;Model!$B$15,Model!$B$22,0))/(1-Model!$B$9)/(1+Model!$B$18)^101))</f>
        <v/>
      </c>
      <c r="DL60" s="7">
        <f>IF(A60="","",IF((A60+102)&gt;Model!$B$4,0,MAX(0,Model!$B$6-IF((A60+102)&gt;=Model!$B$11,Model!$B$20,0)-IF(102&lt;Model!$B$15,Model!$B$22,0))/(1-Model!$B$9)/(1+Model!$B$18)^102))</f>
        <v/>
      </c>
      <c r="DM60" s="7">
        <f>IF(A60="","",IF((A60+103)&gt;Model!$B$4,0,MAX(0,Model!$B$6-IF((A60+103)&gt;=Model!$B$11,Model!$B$20,0)-IF(103&lt;Model!$B$15,Model!$B$22,0))/(1-Model!$B$9)/(1+Model!$B$18)^103))</f>
        <v/>
      </c>
      <c r="DN60" s="7">
        <f>IF(A60="","",IF((A60+104)&gt;Model!$B$4,0,MAX(0,Model!$B$6-IF((A60+104)&gt;=Model!$B$11,Model!$B$20,0)-IF(104&lt;Model!$B$15,Model!$B$22,0))/(1-Model!$B$9)/(1+Model!$B$18)^104))</f>
        <v/>
      </c>
      <c r="DO60" s="7">
        <f>IF(A60="","",IF((A60+105)&gt;Model!$B$4,0,MAX(0,Model!$B$6-IF((A60+105)&gt;=Model!$B$11,Model!$B$20,0)-IF(105&lt;Model!$B$15,Model!$B$22,0))/(1-Model!$B$9)/(1+Model!$B$18)^105))</f>
        <v/>
      </c>
      <c r="DP60" s="7">
        <f>IF(A60="","",IF((A60+106)&gt;Model!$B$4,0,MAX(0,Model!$B$6-IF((A60+106)&gt;=Model!$B$11,Model!$B$20,0)-IF(106&lt;Model!$B$15,Model!$B$22,0))/(1-Model!$B$9)/(1+Model!$B$18)^106))</f>
        <v/>
      </c>
      <c r="DQ60" s="7">
        <f>IF(A60="","",IF((A60+107)&gt;Model!$B$4,0,MAX(0,Model!$B$6-IF((A60+107)&gt;=Model!$B$11,Model!$B$20,0)-IF(107&lt;Model!$B$15,Model!$B$22,0))/(1-Model!$B$9)/(1+Model!$B$18)^107))</f>
        <v/>
      </c>
      <c r="DR60" s="7">
        <f>IF(A60="","",IF((A60+108)&gt;Model!$B$4,0,MAX(0,Model!$B$6-IF((A60+108)&gt;=Model!$B$11,Model!$B$20,0)-IF(108&lt;Model!$B$15,Model!$B$22,0))/(1-Model!$B$9)/(1+Model!$B$18)^108))</f>
        <v/>
      </c>
      <c r="DS60" s="7">
        <f>IF(A60="","",IF((A60+109)&gt;Model!$B$4,0,MAX(0,Model!$B$6-IF((A60+109)&gt;=Model!$B$11,Model!$B$20,0)-IF(109&lt;Model!$B$15,Model!$B$22,0))/(1-Model!$B$9)/(1+Model!$B$18)^109))</f>
        <v/>
      </c>
      <c r="DT60" s="7">
        <f>IF(A60="","",IF((A60+110)&gt;Model!$B$4,0,MAX(0,Model!$B$6-IF((A60+110)&gt;=Model!$B$11,Model!$B$20,0)-IF(110&lt;Model!$B$15,Model!$B$22,0))/(1-Model!$B$9)/(1+Model!$B$18)^110))</f>
        <v/>
      </c>
      <c r="DU60" s="7">
        <f>IF(A60="","",IF((A60+111)&gt;Model!$B$4,0,MAX(0,Model!$B$6-IF((A60+111)&gt;=Model!$B$11,Model!$B$20,0)-IF(111&lt;Model!$B$15,Model!$B$22,0))/(1-Model!$B$9)/(1+Model!$B$18)^111))</f>
        <v/>
      </c>
      <c r="DV60" s="7">
        <f>IF(A60="","",IF((A60+112)&gt;Model!$B$4,0,MAX(0,Model!$B$6-IF((A60+112)&gt;=Model!$B$11,Model!$B$20,0)-IF(112&lt;Model!$B$15,Model!$B$22,0))/(1-Model!$B$9)/(1+Model!$B$18)^112))</f>
        <v/>
      </c>
      <c r="DW60" s="7">
        <f>IF(A60="","",IF((A60+113)&gt;Model!$B$4,0,MAX(0,Model!$B$6-IF((A60+113)&gt;=Model!$B$11,Model!$B$20,0)-IF(113&lt;Model!$B$15,Model!$B$22,0))/(1-Model!$B$9)/(1+Model!$B$18)^113))</f>
        <v/>
      </c>
      <c r="DX60" s="7">
        <f>IF(A60="","",IF((A60+114)&gt;Model!$B$4,0,MAX(0,Model!$B$6-IF((A60+114)&gt;=Model!$B$11,Model!$B$20,0)-IF(114&lt;Model!$B$15,Model!$B$22,0))/(1-Model!$B$9)/(1+Model!$B$18)^114))</f>
        <v/>
      </c>
      <c r="DY60" s="7">
        <f>IF(A60="","",IF((A60+115)&gt;Model!$B$4,0,MAX(0,Model!$B$6-IF((A60+115)&gt;=Model!$B$11,Model!$B$20,0)-IF(115&lt;Model!$B$15,Model!$B$22,0))/(1-Model!$B$9)/(1+Model!$B$18)^115))</f>
        <v/>
      </c>
      <c r="DZ60" s="7">
        <f>IF(A60="","",IF((A60+116)&gt;Model!$B$4,0,MAX(0,Model!$B$6-IF((A60+116)&gt;=Model!$B$11,Model!$B$20,0)-IF(116&lt;Model!$B$15,Model!$B$22,0))/(1-Model!$B$9)/(1+Model!$B$18)^116))</f>
        <v/>
      </c>
      <c r="EA60" s="7">
        <f>IF(A60="","",IF((A60+117)&gt;Model!$B$4,0,MAX(0,Model!$B$6-IF((A60+117)&gt;=Model!$B$11,Model!$B$20,0)-IF(117&lt;Model!$B$15,Model!$B$22,0))/(1-Model!$B$9)/(1+Model!$B$18)^117))</f>
        <v/>
      </c>
      <c r="EB60" s="7">
        <f>IF(A60="","",IF((A60+118)&gt;Model!$B$4,0,MAX(0,Model!$B$6-IF((A60+118)&gt;=Model!$B$11,Model!$B$20,0)-IF(118&lt;Model!$B$15,Model!$B$22,0))/(1-Model!$B$9)/(1+Model!$B$18)^118))</f>
        <v/>
      </c>
      <c r="EC60" s="7">
        <f>IF(A60="","",IF((A60+119)&gt;Model!$B$4,0,MAX(0,Model!$B$6-IF((A60+119)&gt;=Model!$B$11,Model!$B$20,0)-IF(119&lt;Model!$B$15,Model!$B$22,0))/(1-Model!$B$9)/(1+Model!$B$18)^119))</f>
        <v/>
      </c>
      <c r="ED60" s="7">
        <f>IF(A60="","",IF((A60+120)&gt;Model!$B$4,0,MAX(0,Model!$B$6-IF((A60+120)&gt;=Model!$B$11,Model!$B$20,0)-IF(120&lt;Model!$B$15,Model!$B$22,0))/(1-Model!$B$9)/(1+Model!$B$18)^120))</f>
        <v/>
      </c>
    </row>
    <row r="61">
      <c r="A61">
        <f>IF(Model!$B$10+ROW()-2&lt;=Model!$B$4,Model!$B$10+ROW()-2,"")</f>
        <v/>
      </c>
      <c r="B61">
        <f>IF(A61="","",A61-Model!$B$10)</f>
        <v/>
      </c>
      <c r="C61" s="7">
        <f>IF(A61="","",Model!$B$5*(1+Model!$B$18)^B61)</f>
        <v/>
      </c>
      <c r="D61" s="7">
        <f>IF(A61="","",SUM(N61:ED61))</f>
        <v/>
      </c>
      <c r="E61" s="7">
        <f>IF(A61="","",IF(A61&gt;=Model!$B$11,Model!$B$20,0))</f>
        <v/>
      </c>
      <c r="F61" s="7">
        <f>IF(A61="","",IF(Model!$B$15&gt;0,Model!$B$22,0))</f>
        <v/>
      </c>
      <c r="G61" s="7">
        <f>IF(A61="","",E61+F61)</f>
        <v/>
      </c>
      <c r="H61" s="7">
        <f>IF(A61="","",MAX(0,Model!$B$6-G61))</f>
        <v/>
      </c>
      <c r="I61" s="7">
        <f>IF(A61="","",H61/(1-Model!$B$9))</f>
        <v/>
      </c>
      <c r="J61" s="7">
        <f>IF(A61="","",C61-D61)</f>
        <v/>
      </c>
      <c r="K61">
        <f>IF(A61="","",C61&gt;=D61)</f>
        <v/>
      </c>
      <c r="L61" s="7">
        <f>IF(A61="","",IF(A61&gt;=Model!$B$11,Model!$B$19*(1+Model!$B$13)^B61,0))</f>
        <v/>
      </c>
      <c r="M61" s="7">
        <f>IF(A61="","",IF(Model!$B$15&gt;0,Model!$B$21*(1+Model!$B$13)^B61,0))</f>
        <v/>
      </c>
      <c r="N61" s="7">
        <f>IF(A61="","",IF((A61+0)&gt;Model!$B$4,0,MAX(0,Model!$B$6-IF((A61+0)&gt;=Model!$B$11,Model!$B$20,0)-IF(0&lt;Model!$B$15,Model!$B$22,0))/(1-Model!$B$9)/(1+Model!$B$18)^0))</f>
        <v/>
      </c>
      <c r="O61" s="7">
        <f>IF(A61="","",IF((A61+1)&gt;Model!$B$4,0,MAX(0,Model!$B$6-IF((A61+1)&gt;=Model!$B$11,Model!$B$20,0)-IF(1&lt;Model!$B$15,Model!$B$22,0))/(1-Model!$B$9)/(1+Model!$B$18)^1))</f>
        <v/>
      </c>
      <c r="P61" s="7">
        <f>IF(A61="","",IF((A61+2)&gt;Model!$B$4,0,MAX(0,Model!$B$6-IF((A61+2)&gt;=Model!$B$11,Model!$B$20,0)-IF(2&lt;Model!$B$15,Model!$B$22,0))/(1-Model!$B$9)/(1+Model!$B$18)^2))</f>
        <v/>
      </c>
      <c r="Q61" s="7">
        <f>IF(A61="","",IF((A61+3)&gt;Model!$B$4,0,MAX(0,Model!$B$6-IF((A61+3)&gt;=Model!$B$11,Model!$B$20,0)-IF(3&lt;Model!$B$15,Model!$B$22,0))/(1-Model!$B$9)/(1+Model!$B$18)^3))</f>
        <v/>
      </c>
      <c r="R61" s="7">
        <f>IF(A61="","",IF((A61+4)&gt;Model!$B$4,0,MAX(0,Model!$B$6-IF((A61+4)&gt;=Model!$B$11,Model!$B$20,0)-IF(4&lt;Model!$B$15,Model!$B$22,0))/(1-Model!$B$9)/(1+Model!$B$18)^4))</f>
        <v/>
      </c>
      <c r="S61" s="7">
        <f>IF(A61="","",IF((A61+5)&gt;Model!$B$4,0,MAX(0,Model!$B$6-IF((A61+5)&gt;=Model!$B$11,Model!$B$20,0)-IF(5&lt;Model!$B$15,Model!$B$22,0))/(1-Model!$B$9)/(1+Model!$B$18)^5))</f>
        <v/>
      </c>
      <c r="T61" s="7">
        <f>IF(A61="","",IF((A61+6)&gt;Model!$B$4,0,MAX(0,Model!$B$6-IF((A61+6)&gt;=Model!$B$11,Model!$B$20,0)-IF(6&lt;Model!$B$15,Model!$B$22,0))/(1-Model!$B$9)/(1+Model!$B$18)^6))</f>
        <v/>
      </c>
      <c r="U61" s="7">
        <f>IF(A61="","",IF((A61+7)&gt;Model!$B$4,0,MAX(0,Model!$B$6-IF((A61+7)&gt;=Model!$B$11,Model!$B$20,0)-IF(7&lt;Model!$B$15,Model!$B$22,0))/(1-Model!$B$9)/(1+Model!$B$18)^7))</f>
        <v/>
      </c>
      <c r="V61" s="7">
        <f>IF(A61="","",IF((A61+8)&gt;Model!$B$4,0,MAX(0,Model!$B$6-IF((A61+8)&gt;=Model!$B$11,Model!$B$20,0)-IF(8&lt;Model!$B$15,Model!$B$22,0))/(1-Model!$B$9)/(1+Model!$B$18)^8))</f>
        <v/>
      </c>
      <c r="W61" s="7">
        <f>IF(A61="","",IF((A61+9)&gt;Model!$B$4,0,MAX(0,Model!$B$6-IF((A61+9)&gt;=Model!$B$11,Model!$B$20,0)-IF(9&lt;Model!$B$15,Model!$B$22,0))/(1-Model!$B$9)/(1+Model!$B$18)^9))</f>
        <v/>
      </c>
      <c r="X61" s="7">
        <f>IF(A61="","",IF((A61+10)&gt;Model!$B$4,0,MAX(0,Model!$B$6-IF((A61+10)&gt;=Model!$B$11,Model!$B$20,0)-IF(10&lt;Model!$B$15,Model!$B$22,0))/(1-Model!$B$9)/(1+Model!$B$18)^10))</f>
        <v/>
      </c>
      <c r="Y61" s="7">
        <f>IF(A61="","",IF((A61+11)&gt;Model!$B$4,0,MAX(0,Model!$B$6-IF((A61+11)&gt;=Model!$B$11,Model!$B$20,0)-IF(11&lt;Model!$B$15,Model!$B$22,0))/(1-Model!$B$9)/(1+Model!$B$18)^11))</f>
        <v/>
      </c>
      <c r="Z61" s="7">
        <f>IF(A61="","",IF((A61+12)&gt;Model!$B$4,0,MAX(0,Model!$B$6-IF((A61+12)&gt;=Model!$B$11,Model!$B$20,0)-IF(12&lt;Model!$B$15,Model!$B$22,0))/(1-Model!$B$9)/(1+Model!$B$18)^12))</f>
        <v/>
      </c>
      <c r="AA61" s="7">
        <f>IF(A61="","",IF((A61+13)&gt;Model!$B$4,0,MAX(0,Model!$B$6-IF((A61+13)&gt;=Model!$B$11,Model!$B$20,0)-IF(13&lt;Model!$B$15,Model!$B$22,0))/(1-Model!$B$9)/(1+Model!$B$18)^13))</f>
        <v/>
      </c>
      <c r="AB61" s="7">
        <f>IF(A61="","",IF((A61+14)&gt;Model!$B$4,0,MAX(0,Model!$B$6-IF((A61+14)&gt;=Model!$B$11,Model!$B$20,0)-IF(14&lt;Model!$B$15,Model!$B$22,0))/(1-Model!$B$9)/(1+Model!$B$18)^14))</f>
        <v/>
      </c>
      <c r="AC61" s="7">
        <f>IF(A61="","",IF((A61+15)&gt;Model!$B$4,0,MAX(0,Model!$B$6-IF((A61+15)&gt;=Model!$B$11,Model!$B$20,0)-IF(15&lt;Model!$B$15,Model!$B$22,0))/(1-Model!$B$9)/(1+Model!$B$18)^15))</f>
        <v/>
      </c>
      <c r="AD61" s="7">
        <f>IF(A61="","",IF((A61+16)&gt;Model!$B$4,0,MAX(0,Model!$B$6-IF((A61+16)&gt;=Model!$B$11,Model!$B$20,0)-IF(16&lt;Model!$B$15,Model!$B$22,0))/(1-Model!$B$9)/(1+Model!$B$18)^16))</f>
        <v/>
      </c>
      <c r="AE61" s="7">
        <f>IF(A61="","",IF((A61+17)&gt;Model!$B$4,0,MAX(0,Model!$B$6-IF((A61+17)&gt;=Model!$B$11,Model!$B$20,0)-IF(17&lt;Model!$B$15,Model!$B$22,0))/(1-Model!$B$9)/(1+Model!$B$18)^17))</f>
        <v/>
      </c>
      <c r="AF61" s="7">
        <f>IF(A61="","",IF((A61+18)&gt;Model!$B$4,0,MAX(0,Model!$B$6-IF((A61+18)&gt;=Model!$B$11,Model!$B$20,0)-IF(18&lt;Model!$B$15,Model!$B$22,0))/(1-Model!$B$9)/(1+Model!$B$18)^18))</f>
        <v/>
      </c>
      <c r="AG61" s="7">
        <f>IF(A61="","",IF((A61+19)&gt;Model!$B$4,0,MAX(0,Model!$B$6-IF((A61+19)&gt;=Model!$B$11,Model!$B$20,0)-IF(19&lt;Model!$B$15,Model!$B$22,0))/(1-Model!$B$9)/(1+Model!$B$18)^19))</f>
        <v/>
      </c>
      <c r="AH61" s="7">
        <f>IF(A61="","",IF((A61+20)&gt;Model!$B$4,0,MAX(0,Model!$B$6-IF((A61+20)&gt;=Model!$B$11,Model!$B$20,0)-IF(20&lt;Model!$B$15,Model!$B$22,0))/(1-Model!$B$9)/(1+Model!$B$18)^20))</f>
        <v/>
      </c>
      <c r="AI61" s="7">
        <f>IF(A61="","",IF((A61+21)&gt;Model!$B$4,0,MAX(0,Model!$B$6-IF((A61+21)&gt;=Model!$B$11,Model!$B$20,0)-IF(21&lt;Model!$B$15,Model!$B$22,0))/(1-Model!$B$9)/(1+Model!$B$18)^21))</f>
        <v/>
      </c>
      <c r="AJ61" s="7">
        <f>IF(A61="","",IF((A61+22)&gt;Model!$B$4,0,MAX(0,Model!$B$6-IF((A61+22)&gt;=Model!$B$11,Model!$B$20,0)-IF(22&lt;Model!$B$15,Model!$B$22,0))/(1-Model!$B$9)/(1+Model!$B$18)^22))</f>
        <v/>
      </c>
      <c r="AK61" s="7">
        <f>IF(A61="","",IF((A61+23)&gt;Model!$B$4,0,MAX(0,Model!$B$6-IF((A61+23)&gt;=Model!$B$11,Model!$B$20,0)-IF(23&lt;Model!$B$15,Model!$B$22,0))/(1-Model!$B$9)/(1+Model!$B$18)^23))</f>
        <v/>
      </c>
      <c r="AL61" s="7">
        <f>IF(A61="","",IF((A61+24)&gt;Model!$B$4,0,MAX(0,Model!$B$6-IF((A61+24)&gt;=Model!$B$11,Model!$B$20,0)-IF(24&lt;Model!$B$15,Model!$B$22,0))/(1-Model!$B$9)/(1+Model!$B$18)^24))</f>
        <v/>
      </c>
      <c r="AM61" s="7">
        <f>IF(A61="","",IF((A61+25)&gt;Model!$B$4,0,MAX(0,Model!$B$6-IF((A61+25)&gt;=Model!$B$11,Model!$B$20,0)-IF(25&lt;Model!$B$15,Model!$B$22,0))/(1-Model!$B$9)/(1+Model!$B$18)^25))</f>
        <v/>
      </c>
      <c r="AN61" s="7">
        <f>IF(A61="","",IF((A61+26)&gt;Model!$B$4,0,MAX(0,Model!$B$6-IF((A61+26)&gt;=Model!$B$11,Model!$B$20,0)-IF(26&lt;Model!$B$15,Model!$B$22,0))/(1-Model!$B$9)/(1+Model!$B$18)^26))</f>
        <v/>
      </c>
      <c r="AO61" s="7">
        <f>IF(A61="","",IF((A61+27)&gt;Model!$B$4,0,MAX(0,Model!$B$6-IF((A61+27)&gt;=Model!$B$11,Model!$B$20,0)-IF(27&lt;Model!$B$15,Model!$B$22,0))/(1-Model!$B$9)/(1+Model!$B$18)^27))</f>
        <v/>
      </c>
      <c r="AP61" s="7">
        <f>IF(A61="","",IF((A61+28)&gt;Model!$B$4,0,MAX(0,Model!$B$6-IF((A61+28)&gt;=Model!$B$11,Model!$B$20,0)-IF(28&lt;Model!$B$15,Model!$B$22,0))/(1-Model!$B$9)/(1+Model!$B$18)^28))</f>
        <v/>
      </c>
      <c r="AQ61" s="7">
        <f>IF(A61="","",IF((A61+29)&gt;Model!$B$4,0,MAX(0,Model!$B$6-IF((A61+29)&gt;=Model!$B$11,Model!$B$20,0)-IF(29&lt;Model!$B$15,Model!$B$22,0))/(1-Model!$B$9)/(1+Model!$B$18)^29))</f>
        <v/>
      </c>
      <c r="AR61" s="7">
        <f>IF(A61="","",IF((A61+30)&gt;Model!$B$4,0,MAX(0,Model!$B$6-IF((A61+30)&gt;=Model!$B$11,Model!$B$20,0)-IF(30&lt;Model!$B$15,Model!$B$22,0))/(1-Model!$B$9)/(1+Model!$B$18)^30))</f>
        <v/>
      </c>
      <c r="AS61" s="7">
        <f>IF(A61="","",IF((A61+31)&gt;Model!$B$4,0,MAX(0,Model!$B$6-IF((A61+31)&gt;=Model!$B$11,Model!$B$20,0)-IF(31&lt;Model!$B$15,Model!$B$22,0))/(1-Model!$B$9)/(1+Model!$B$18)^31))</f>
        <v/>
      </c>
      <c r="AT61" s="7">
        <f>IF(A61="","",IF((A61+32)&gt;Model!$B$4,0,MAX(0,Model!$B$6-IF((A61+32)&gt;=Model!$B$11,Model!$B$20,0)-IF(32&lt;Model!$B$15,Model!$B$22,0))/(1-Model!$B$9)/(1+Model!$B$18)^32))</f>
        <v/>
      </c>
      <c r="AU61" s="7">
        <f>IF(A61="","",IF((A61+33)&gt;Model!$B$4,0,MAX(0,Model!$B$6-IF((A61+33)&gt;=Model!$B$11,Model!$B$20,0)-IF(33&lt;Model!$B$15,Model!$B$22,0))/(1-Model!$B$9)/(1+Model!$B$18)^33))</f>
        <v/>
      </c>
      <c r="AV61" s="7">
        <f>IF(A61="","",IF((A61+34)&gt;Model!$B$4,0,MAX(0,Model!$B$6-IF((A61+34)&gt;=Model!$B$11,Model!$B$20,0)-IF(34&lt;Model!$B$15,Model!$B$22,0))/(1-Model!$B$9)/(1+Model!$B$18)^34))</f>
        <v/>
      </c>
      <c r="AW61" s="7">
        <f>IF(A61="","",IF((A61+35)&gt;Model!$B$4,0,MAX(0,Model!$B$6-IF((A61+35)&gt;=Model!$B$11,Model!$B$20,0)-IF(35&lt;Model!$B$15,Model!$B$22,0))/(1-Model!$B$9)/(1+Model!$B$18)^35))</f>
        <v/>
      </c>
      <c r="AX61" s="7">
        <f>IF(A61="","",IF((A61+36)&gt;Model!$B$4,0,MAX(0,Model!$B$6-IF((A61+36)&gt;=Model!$B$11,Model!$B$20,0)-IF(36&lt;Model!$B$15,Model!$B$22,0))/(1-Model!$B$9)/(1+Model!$B$18)^36))</f>
        <v/>
      </c>
      <c r="AY61" s="7">
        <f>IF(A61="","",IF((A61+37)&gt;Model!$B$4,0,MAX(0,Model!$B$6-IF((A61+37)&gt;=Model!$B$11,Model!$B$20,0)-IF(37&lt;Model!$B$15,Model!$B$22,0))/(1-Model!$B$9)/(1+Model!$B$18)^37))</f>
        <v/>
      </c>
      <c r="AZ61" s="7">
        <f>IF(A61="","",IF((A61+38)&gt;Model!$B$4,0,MAX(0,Model!$B$6-IF((A61+38)&gt;=Model!$B$11,Model!$B$20,0)-IF(38&lt;Model!$B$15,Model!$B$22,0))/(1-Model!$B$9)/(1+Model!$B$18)^38))</f>
        <v/>
      </c>
      <c r="BA61" s="7">
        <f>IF(A61="","",IF((A61+39)&gt;Model!$B$4,0,MAX(0,Model!$B$6-IF((A61+39)&gt;=Model!$B$11,Model!$B$20,0)-IF(39&lt;Model!$B$15,Model!$B$22,0))/(1-Model!$B$9)/(1+Model!$B$18)^39))</f>
        <v/>
      </c>
      <c r="BB61" s="7">
        <f>IF(A61="","",IF((A61+40)&gt;Model!$B$4,0,MAX(0,Model!$B$6-IF((A61+40)&gt;=Model!$B$11,Model!$B$20,0)-IF(40&lt;Model!$B$15,Model!$B$22,0))/(1-Model!$B$9)/(1+Model!$B$18)^40))</f>
        <v/>
      </c>
      <c r="BC61" s="7">
        <f>IF(A61="","",IF((A61+41)&gt;Model!$B$4,0,MAX(0,Model!$B$6-IF((A61+41)&gt;=Model!$B$11,Model!$B$20,0)-IF(41&lt;Model!$B$15,Model!$B$22,0))/(1-Model!$B$9)/(1+Model!$B$18)^41))</f>
        <v/>
      </c>
      <c r="BD61" s="7">
        <f>IF(A61="","",IF((A61+42)&gt;Model!$B$4,0,MAX(0,Model!$B$6-IF((A61+42)&gt;=Model!$B$11,Model!$B$20,0)-IF(42&lt;Model!$B$15,Model!$B$22,0))/(1-Model!$B$9)/(1+Model!$B$18)^42))</f>
        <v/>
      </c>
      <c r="BE61" s="7">
        <f>IF(A61="","",IF((A61+43)&gt;Model!$B$4,0,MAX(0,Model!$B$6-IF((A61+43)&gt;=Model!$B$11,Model!$B$20,0)-IF(43&lt;Model!$B$15,Model!$B$22,0))/(1-Model!$B$9)/(1+Model!$B$18)^43))</f>
        <v/>
      </c>
      <c r="BF61" s="7">
        <f>IF(A61="","",IF((A61+44)&gt;Model!$B$4,0,MAX(0,Model!$B$6-IF((A61+44)&gt;=Model!$B$11,Model!$B$20,0)-IF(44&lt;Model!$B$15,Model!$B$22,0))/(1-Model!$B$9)/(1+Model!$B$18)^44))</f>
        <v/>
      </c>
      <c r="BG61" s="7">
        <f>IF(A61="","",IF((A61+45)&gt;Model!$B$4,0,MAX(0,Model!$B$6-IF((A61+45)&gt;=Model!$B$11,Model!$B$20,0)-IF(45&lt;Model!$B$15,Model!$B$22,0))/(1-Model!$B$9)/(1+Model!$B$18)^45))</f>
        <v/>
      </c>
      <c r="BH61" s="7">
        <f>IF(A61="","",IF((A61+46)&gt;Model!$B$4,0,MAX(0,Model!$B$6-IF((A61+46)&gt;=Model!$B$11,Model!$B$20,0)-IF(46&lt;Model!$B$15,Model!$B$22,0))/(1-Model!$B$9)/(1+Model!$B$18)^46))</f>
        <v/>
      </c>
      <c r="BI61" s="7">
        <f>IF(A61="","",IF((A61+47)&gt;Model!$B$4,0,MAX(0,Model!$B$6-IF((A61+47)&gt;=Model!$B$11,Model!$B$20,0)-IF(47&lt;Model!$B$15,Model!$B$22,0))/(1-Model!$B$9)/(1+Model!$B$18)^47))</f>
        <v/>
      </c>
      <c r="BJ61" s="7">
        <f>IF(A61="","",IF((A61+48)&gt;Model!$B$4,0,MAX(0,Model!$B$6-IF((A61+48)&gt;=Model!$B$11,Model!$B$20,0)-IF(48&lt;Model!$B$15,Model!$B$22,0))/(1-Model!$B$9)/(1+Model!$B$18)^48))</f>
        <v/>
      </c>
      <c r="BK61" s="7">
        <f>IF(A61="","",IF((A61+49)&gt;Model!$B$4,0,MAX(0,Model!$B$6-IF((A61+49)&gt;=Model!$B$11,Model!$B$20,0)-IF(49&lt;Model!$B$15,Model!$B$22,0))/(1-Model!$B$9)/(1+Model!$B$18)^49))</f>
        <v/>
      </c>
      <c r="BL61" s="7">
        <f>IF(A61="","",IF((A61+50)&gt;Model!$B$4,0,MAX(0,Model!$B$6-IF((A61+50)&gt;=Model!$B$11,Model!$B$20,0)-IF(50&lt;Model!$B$15,Model!$B$22,0))/(1-Model!$B$9)/(1+Model!$B$18)^50))</f>
        <v/>
      </c>
      <c r="BM61" s="7">
        <f>IF(A61="","",IF((A61+51)&gt;Model!$B$4,0,MAX(0,Model!$B$6-IF((A61+51)&gt;=Model!$B$11,Model!$B$20,0)-IF(51&lt;Model!$B$15,Model!$B$22,0))/(1-Model!$B$9)/(1+Model!$B$18)^51))</f>
        <v/>
      </c>
      <c r="BN61" s="7">
        <f>IF(A61="","",IF((A61+52)&gt;Model!$B$4,0,MAX(0,Model!$B$6-IF((A61+52)&gt;=Model!$B$11,Model!$B$20,0)-IF(52&lt;Model!$B$15,Model!$B$22,0))/(1-Model!$B$9)/(1+Model!$B$18)^52))</f>
        <v/>
      </c>
      <c r="BO61" s="7">
        <f>IF(A61="","",IF((A61+53)&gt;Model!$B$4,0,MAX(0,Model!$B$6-IF((A61+53)&gt;=Model!$B$11,Model!$B$20,0)-IF(53&lt;Model!$B$15,Model!$B$22,0))/(1-Model!$B$9)/(1+Model!$B$18)^53))</f>
        <v/>
      </c>
      <c r="BP61" s="7">
        <f>IF(A61="","",IF((A61+54)&gt;Model!$B$4,0,MAX(0,Model!$B$6-IF((A61+54)&gt;=Model!$B$11,Model!$B$20,0)-IF(54&lt;Model!$B$15,Model!$B$22,0))/(1-Model!$B$9)/(1+Model!$B$18)^54))</f>
        <v/>
      </c>
      <c r="BQ61" s="7">
        <f>IF(A61="","",IF((A61+55)&gt;Model!$B$4,0,MAX(0,Model!$B$6-IF((A61+55)&gt;=Model!$B$11,Model!$B$20,0)-IF(55&lt;Model!$B$15,Model!$B$22,0))/(1-Model!$B$9)/(1+Model!$B$18)^55))</f>
        <v/>
      </c>
      <c r="BR61" s="7">
        <f>IF(A61="","",IF((A61+56)&gt;Model!$B$4,0,MAX(0,Model!$B$6-IF((A61+56)&gt;=Model!$B$11,Model!$B$20,0)-IF(56&lt;Model!$B$15,Model!$B$22,0))/(1-Model!$B$9)/(1+Model!$B$18)^56))</f>
        <v/>
      </c>
      <c r="BS61" s="7">
        <f>IF(A61="","",IF((A61+57)&gt;Model!$B$4,0,MAX(0,Model!$B$6-IF((A61+57)&gt;=Model!$B$11,Model!$B$20,0)-IF(57&lt;Model!$B$15,Model!$B$22,0))/(1-Model!$B$9)/(1+Model!$B$18)^57))</f>
        <v/>
      </c>
      <c r="BT61" s="7">
        <f>IF(A61="","",IF((A61+58)&gt;Model!$B$4,0,MAX(0,Model!$B$6-IF((A61+58)&gt;=Model!$B$11,Model!$B$20,0)-IF(58&lt;Model!$B$15,Model!$B$22,0))/(1-Model!$B$9)/(1+Model!$B$18)^58))</f>
        <v/>
      </c>
      <c r="BU61" s="7">
        <f>IF(A61="","",IF((A61+59)&gt;Model!$B$4,0,MAX(0,Model!$B$6-IF((A61+59)&gt;=Model!$B$11,Model!$B$20,0)-IF(59&lt;Model!$B$15,Model!$B$22,0))/(1-Model!$B$9)/(1+Model!$B$18)^59))</f>
        <v/>
      </c>
      <c r="BV61" s="7">
        <f>IF(A61="","",IF((A61+60)&gt;Model!$B$4,0,MAX(0,Model!$B$6-IF((A61+60)&gt;=Model!$B$11,Model!$B$20,0)-IF(60&lt;Model!$B$15,Model!$B$22,0))/(1-Model!$B$9)/(1+Model!$B$18)^60))</f>
        <v/>
      </c>
      <c r="BW61" s="7">
        <f>IF(A61="","",IF((A61+61)&gt;Model!$B$4,0,MAX(0,Model!$B$6-IF((A61+61)&gt;=Model!$B$11,Model!$B$20,0)-IF(61&lt;Model!$B$15,Model!$B$22,0))/(1-Model!$B$9)/(1+Model!$B$18)^61))</f>
        <v/>
      </c>
      <c r="BX61" s="7">
        <f>IF(A61="","",IF((A61+62)&gt;Model!$B$4,0,MAX(0,Model!$B$6-IF((A61+62)&gt;=Model!$B$11,Model!$B$20,0)-IF(62&lt;Model!$B$15,Model!$B$22,0))/(1-Model!$B$9)/(1+Model!$B$18)^62))</f>
        <v/>
      </c>
      <c r="BY61" s="7">
        <f>IF(A61="","",IF((A61+63)&gt;Model!$B$4,0,MAX(0,Model!$B$6-IF((A61+63)&gt;=Model!$B$11,Model!$B$20,0)-IF(63&lt;Model!$B$15,Model!$B$22,0))/(1-Model!$B$9)/(1+Model!$B$18)^63))</f>
        <v/>
      </c>
      <c r="BZ61" s="7">
        <f>IF(A61="","",IF((A61+64)&gt;Model!$B$4,0,MAX(0,Model!$B$6-IF((A61+64)&gt;=Model!$B$11,Model!$B$20,0)-IF(64&lt;Model!$B$15,Model!$B$22,0))/(1-Model!$B$9)/(1+Model!$B$18)^64))</f>
        <v/>
      </c>
      <c r="CA61" s="7">
        <f>IF(A61="","",IF((A61+65)&gt;Model!$B$4,0,MAX(0,Model!$B$6-IF((A61+65)&gt;=Model!$B$11,Model!$B$20,0)-IF(65&lt;Model!$B$15,Model!$B$22,0))/(1-Model!$B$9)/(1+Model!$B$18)^65))</f>
        <v/>
      </c>
      <c r="CB61" s="7">
        <f>IF(A61="","",IF((A61+66)&gt;Model!$B$4,0,MAX(0,Model!$B$6-IF((A61+66)&gt;=Model!$B$11,Model!$B$20,0)-IF(66&lt;Model!$B$15,Model!$B$22,0))/(1-Model!$B$9)/(1+Model!$B$18)^66))</f>
        <v/>
      </c>
      <c r="CC61" s="7">
        <f>IF(A61="","",IF((A61+67)&gt;Model!$B$4,0,MAX(0,Model!$B$6-IF((A61+67)&gt;=Model!$B$11,Model!$B$20,0)-IF(67&lt;Model!$B$15,Model!$B$22,0))/(1-Model!$B$9)/(1+Model!$B$18)^67))</f>
        <v/>
      </c>
      <c r="CD61" s="7">
        <f>IF(A61="","",IF((A61+68)&gt;Model!$B$4,0,MAX(0,Model!$B$6-IF((A61+68)&gt;=Model!$B$11,Model!$B$20,0)-IF(68&lt;Model!$B$15,Model!$B$22,0))/(1-Model!$B$9)/(1+Model!$B$18)^68))</f>
        <v/>
      </c>
      <c r="CE61" s="7">
        <f>IF(A61="","",IF((A61+69)&gt;Model!$B$4,0,MAX(0,Model!$B$6-IF((A61+69)&gt;=Model!$B$11,Model!$B$20,0)-IF(69&lt;Model!$B$15,Model!$B$22,0))/(1-Model!$B$9)/(1+Model!$B$18)^69))</f>
        <v/>
      </c>
      <c r="CF61" s="7">
        <f>IF(A61="","",IF((A61+70)&gt;Model!$B$4,0,MAX(0,Model!$B$6-IF((A61+70)&gt;=Model!$B$11,Model!$B$20,0)-IF(70&lt;Model!$B$15,Model!$B$22,0))/(1-Model!$B$9)/(1+Model!$B$18)^70))</f>
        <v/>
      </c>
      <c r="CG61" s="7">
        <f>IF(A61="","",IF((A61+71)&gt;Model!$B$4,0,MAX(0,Model!$B$6-IF((A61+71)&gt;=Model!$B$11,Model!$B$20,0)-IF(71&lt;Model!$B$15,Model!$B$22,0))/(1-Model!$B$9)/(1+Model!$B$18)^71))</f>
        <v/>
      </c>
      <c r="CH61" s="7">
        <f>IF(A61="","",IF((A61+72)&gt;Model!$B$4,0,MAX(0,Model!$B$6-IF((A61+72)&gt;=Model!$B$11,Model!$B$20,0)-IF(72&lt;Model!$B$15,Model!$B$22,0))/(1-Model!$B$9)/(1+Model!$B$18)^72))</f>
        <v/>
      </c>
      <c r="CI61" s="7">
        <f>IF(A61="","",IF((A61+73)&gt;Model!$B$4,0,MAX(0,Model!$B$6-IF((A61+73)&gt;=Model!$B$11,Model!$B$20,0)-IF(73&lt;Model!$B$15,Model!$B$22,0))/(1-Model!$B$9)/(1+Model!$B$18)^73))</f>
        <v/>
      </c>
      <c r="CJ61" s="7">
        <f>IF(A61="","",IF((A61+74)&gt;Model!$B$4,0,MAX(0,Model!$B$6-IF((A61+74)&gt;=Model!$B$11,Model!$B$20,0)-IF(74&lt;Model!$B$15,Model!$B$22,0))/(1-Model!$B$9)/(1+Model!$B$18)^74))</f>
        <v/>
      </c>
      <c r="CK61" s="7">
        <f>IF(A61="","",IF((A61+75)&gt;Model!$B$4,0,MAX(0,Model!$B$6-IF((A61+75)&gt;=Model!$B$11,Model!$B$20,0)-IF(75&lt;Model!$B$15,Model!$B$22,0))/(1-Model!$B$9)/(1+Model!$B$18)^75))</f>
        <v/>
      </c>
      <c r="CL61" s="7">
        <f>IF(A61="","",IF((A61+76)&gt;Model!$B$4,0,MAX(0,Model!$B$6-IF((A61+76)&gt;=Model!$B$11,Model!$B$20,0)-IF(76&lt;Model!$B$15,Model!$B$22,0))/(1-Model!$B$9)/(1+Model!$B$18)^76))</f>
        <v/>
      </c>
      <c r="CM61" s="7">
        <f>IF(A61="","",IF((A61+77)&gt;Model!$B$4,0,MAX(0,Model!$B$6-IF((A61+77)&gt;=Model!$B$11,Model!$B$20,0)-IF(77&lt;Model!$B$15,Model!$B$22,0))/(1-Model!$B$9)/(1+Model!$B$18)^77))</f>
        <v/>
      </c>
      <c r="CN61" s="7">
        <f>IF(A61="","",IF((A61+78)&gt;Model!$B$4,0,MAX(0,Model!$B$6-IF((A61+78)&gt;=Model!$B$11,Model!$B$20,0)-IF(78&lt;Model!$B$15,Model!$B$22,0))/(1-Model!$B$9)/(1+Model!$B$18)^78))</f>
        <v/>
      </c>
      <c r="CO61" s="7">
        <f>IF(A61="","",IF((A61+79)&gt;Model!$B$4,0,MAX(0,Model!$B$6-IF((A61+79)&gt;=Model!$B$11,Model!$B$20,0)-IF(79&lt;Model!$B$15,Model!$B$22,0))/(1-Model!$B$9)/(1+Model!$B$18)^79))</f>
        <v/>
      </c>
      <c r="CP61" s="7">
        <f>IF(A61="","",IF((A61+80)&gt;Model!$B$4,0,MAX(0,Model!$B$6-IF((A61+80)&gt;=Model!$B$11,Model!$B$20,0)-IF(80&lt;Model!$B$15,Model!$B$22,0))/(1-Model!$B$9)/(1+Model!$B$18)^80))</f>
        <v/>
      </c>
      <c r="CQ61" s="7">
        <f>IF(A61="","",IF((A61+81)&gt;Model!$B$4,0,MAX(0,Model!$B$6-IF((A61+81)&gt;=Model!$B$11,Model!$B$20,0)-IF(81&lt;Model!$B$15,Model!$B$22,0))/(1-Model!$B$9)/(1+Model!$B$18)^81))</f>
        <v/>
      </c>
      <c r="CR61" s="7">
        <f>IF(A61="","",IF((A61+82)&gt;Model!$B$4,0,MAX(0,Model!$B$6-IF((A61+82)&gt;=Model!$B$11,Model!$B$20,0)-IF(82&lt;Model!$B$15,Model!$B$22,0))/(1-Model!$B$9)/(1+Model!$B$18)^82))</f>
        <v/>
      </c>
      <c r="CS61" s="7">
        <f>IF(A61="","",IF((A61+83)&gt;Model!$B$4,0,MAX(0,Model!$B$6-IF((A61+83)&gt;=Model!$B$11,Model!$B$20,0)-IF(83&lt;Model!$B$15,Model!$B$22,0))/(1-Model!$B$9)/(1+Model!$B$18)^83))</f>
        <v/>
      </c>
      <c r="CT61" s="7">
        <f>IF(A61="","",IF((A61+84)&gt;Model!$B$4,0,MAX(0,Model!$B$6-IF((A61+84)&gt;=Model!$B$11,Model!$B$20,0)-IF(84&lt;Model!$B$15,Model!$B$22,0))/(1-Model!$B$9)/(1+Model!$B$18)^84))</f>
        <v/>
      </c>
      <c r="CU61" s="7">
        <f>IF(A61="","",IF((A61+85)&gt;Model!$B$4,0,MAX(0,Model!$B$6-IF((A61+85)&gt;=Model!$B$11,Model!$B$20,0)-IF(85&lt;Model!$B$15,Model!$B$22,0))/(1-Model!$B$9)/(1+Model!$B$18)^85))</f>
        <v/>
      </c>
      <c r="CV61" s="7">
        <f>IF(A61="","",IF((A61+86)&gt;Model!$B$4,0,MAX(0,Model!$B$6-IF((A61+86)&gt;=Model!$B$11,Model!$B$20,0)-IF(86&lt;Model!$B$15,Model!$B$22,0))/(1-Model!$B$9)/(1+Model!$B$18)^86))</f>
        <v/>
      </c>
      <c r="CW61" s="7">
        <f>IF(A61="","",IF((A61+87)&gt;Model!$B$4,0,MAX(0,Model!$B$6-IF((A61+87)&gt;=Model!$B$11,Model!$B$20,0)-IF(87&lt;Model!$B$15,Model!$B$22,0))/(1-Model!$B$9)/(1+Model!$B$18)^87))</f>
        <v/>
      </c>
      <c r="CX61" s="7">
        <f>IF(A61="","",IF((A61+88)&gt;Model!$B$4,0,MAX(0,Model!$B$6-IF((A61+88)&gt;=Model!$B$11,Model!$B$20,0)-IF(88&lt;Model!$B$15,Model!$B$22,0))/(1-Model!$B$9)/(1+Model!$B$18)^88))</f>
        <v/>
      </c>
      <c r="CY61" s="7">
        <f>IF(A61="","",IF((A61+89)&gt;Model!$B$4,0,MAX(0,Model!$B$6-IF((A61+89)&gt;=Model!$B$11,Model!$B$20,0)-IF(89&lt;Model!$B$15,Model!$B$22,0))/(1-Model!$B$9)/(1+Model!$B$18)^89))</f>
        <v/>
      </c>
      <c r="CZ61" s="7">
        <f>IF(A61="","",IF((A61+90)&gt;Model!$B$4,0,MAX(0,Model!$B$6-IF((A61+90)&gt;=Model!$B$11,Model!$B$20,0)-IF(90&lt;Model!$B$15,Model!$B$22,0))/(1-Model!$B$9)/(1+Model!$B$18)^90))</f>
        <v/>
      </c>
      <c r="DA61" s="7">
        <f>IF(A61="","",IF((A61+91)&gt;Model!$B$4,0,MAX(0,Model!$B$6-IF((A61+91)&gt;=Model!$B$11,Model!$B$20,0)-IF(91&lt;Model!$B$15,Model!$B$22,0))/(1-Model!$B$9)/(1+Model!$B$18)^91))</f>
        <v/>
      </c>
      <c r="DB61" s="7">
        <f>IF(A61="","",IF((A61+92)&gt;Model!$B$4,0,MAX(0,Model!$B$6-IF((A61+92)&gt;=Model!$B$11,Model!$B$20,0)-IF(92&lt;Model!$B$15,Model!$B$22,0))/(1-Model!$B$9)/(1+Model!$B$18)^92))</f>
        <v/>
      </c>
      <c r="DC61" s="7">
        <f>IF(A61="","",IF((A61+93)&gt;Model!$B$4,0,MAX(0,Model!$B$6-IF((A61+93)&gt;=Model!$B$11,Model!$B$20,0)-IF(93&lt;Model!$B$15,Model!$B$22,0))/(1-Model!$B$9)/(1+Model!$B$18)^93))</f>
        <v/>
      </c>
      <c r="DD61" s="7">
        <f>IF(A61="","",IF((A61+94)&gt;Model!$B$4,0,MAX(0,Model!$B$6-IF((A61+94)&gt;=Model!$B$11,Model!$B$20,0)-IF(94&lt;Model!$B$15,Model!$B$22,0))/(1-Model!$B$9)/(1+Model!$B$18)^94))</f>
        <v/>
      </c>
      <c r="DE61" s="7">
        <f>IF(A61="","",IF((A61+95)&gt;Model!$B$4,0,MAX(0,Model!$B$6-IF((A61+95)&gt;=Model!$B$11,Model!$B$20,0)-IF(95&lt;Model!$B$15,Model!$B$22,0))/(1-Model!$B$9)/(1+Model!$B$18)^95))</f>
        <v/>
      </c>
      <c r="DF61" s="7">
        <f>IF(A61="","",IF((A61+96)&gt;Model!$B$4,0,MAX(0,Model!$B$6-IF((A61+96)&gt;=Model!$B$11,Model!$B$20,0)-IF(96&lt;Model!$B$15,Model!$B$22,0))/(1-Model!$B$9)/(1+Model!$B$18)^96))</f>
        <v/>
      </c>
      <c r="DG61" s="7">
        <f>IF(A61="","",IF((A61+97)&gt;Model!$B$4,0,MAX(0,Model!$B$6-IF((A61+97)&gt;=Model!$B$11,Model!$B$20,0)-IF(97&lt;Model!$B$15,Model!$B$22,0))/(1-Model!$B$9)/(1+Model!$B$18)^97))</f>
        <v/>
      </c>
      <c r="DH61" s="7">
        <f>IF(A61="","",IF((A61+98)&gt;Model!$B$4,0,MAX(0,Model!$B$6-IF((A61+98)&gt;=Model!$B$11,Model!$B$20,0)-IF(98&lt;Model!$B$15,Model!$B$22,0))/(1-Model!$B$9)/(1+Model!$B$18)^98))</f>
        <v/>
      </c>
      <c r="DI61" s="7">
        <f>IF(A61="","",IF((A61+99)&gt;Model!$B$4,0,MAX(0,Model!$B$6-IF((A61+99)&gt;=Model!$B$11,Model!$B$20,0)-IF(99&lt;Model!$B$15,Model!$B$22,0))/(1-Model!$B$9)/(1+Model!$B$18)^99))</f>
        <v/>
      </c>
      <c r="DJ61" s="7">
        <f>IF(A61="","",IF((A61+100)&gt;Model!$B$4,0,MAX(0,Model!$B$6-IF((A61+100)&gt;=Model!$B$11,Model!$B$20,0)-IF(100&lt;Model!$B$15,Model!$B$22,0))/(1-Model!$B$9)/(1+Model!$B$18)^100))</f>
        <v/>
      </c>
      <c r="DK61" s="7">
        <f>IF(A61="","",IF((A61+101)&gt;Model!$B$4,0,MAX(0,Model!$B$6-IF((A61+101)&gt;=Model!$B$11,Model!$B$20,0)-IF(101&lt;Model!$B$15,Model!$B$22,0))/(1-Model!$B$9)/(1+Model!$B$18)^101))</f>
        <v/>
      </c>
      <c r="DL61" s="7">
        <f>IF(A61="","",IF((A61+102)&gt;Model!$B$4,0,MAX(0,Model!$B$6-IF((A61+102)&gt;=Model!$B$11,Model!$B$20,0)-IF(102&lt;Model!$B$15,Model!$B$22,0))/(1-Model!$B$9)/(1+Model!$B$18)^102))</f>
        <v/>
      </c>
      <c r="DM61" s="7">
        <f>IF(A61="","",IF((A61+103)&gt;Model!$B$4,0,MAX(0,Model!$B$6-IF((A61+103)&gt;=Model!$B$11,Model!$B$20,0)-IF(103&lt;Model!$B$15,Model!$B$22,0))/(1-Model!$B$9)/(1+Model!$B$18)^103))</f>
        <v/>
      </c>
      <c r="DN61" s="7">
        <f>IF(A61="","",IF((A61+104)&gt;Model!$B$4,0,MAX(0,Model!$B$6-IF((A61+104)&gt;=Model!$B$11,Model!$B$20,0)-IF(104&lt;Model!$B$15,Model!$B$22,0))/(1-Model!$B$9)/(1+Model!$B$18)^104))</f>
        <v/>
      </c>
      <c r="DO61" s="7">
        <f>IF(A61="","",IF((A61+105)&gt;Model!$B$4,0,MAX(0,Model!$B$6-IF((A61+105)&gt;=Model!$B$11,Model!$B$20,0)-IF(105&lt;Model!$B$15,Model!$B$22,0))/(1-Model!$B$9)/(1+Model!$B$18)^105))</f>
        <v/>
      </c>
      <c r="DP61" s="7">
        <f>IF(A61="","",IF((A61+106)&gt;Model!$B$4,0,MAX(0,Model!$B$6-IF((A61+106)&gt;=Model!$B$11,Model!$B$20,0)-IF(106&lt;Model!$B$15,Model!$B$22,0))/(1-Model!$B$9)/(1+Model!$B$18)^106))</f>
        <v/>
      </c>
      <c r="DQ61" s="7">
        <f>IF(A61="","",IF((A61+107)&gt;Model!$B$4,0,MAX(0,Model!$B$6-IF((A61+107)&gt;=Model!$B$11,Model!$B$20,0)-IF(107&lt;Model!$B$15,Model!$B$22,0))/(1-Model!$B$9)/(1+Model!$B$18)^107))</f>
        <v/>
      </c>
      <c r="DR61" s="7">
        <f>IF(A61="","",IF((A61+108)&gt;Model!$B$4,0,MAX(0,Model!$B$6-IF((A61+108)&gt;=Model!$B$11,Model!$B$20,0)-IF(108&lt;Model!$B$15,Model!$B$22,0))/(1-Model!$B$9)/(1+Model!$B$18)^108))</f>
        <v/>
      </c>
      <c r="DS61" s="7">
        <f>IF(A61="","",IF((A61+109)&gt;Model!$B$4,0,MAX(0,Model!$B$6-IF((A61+109)&gt;=Model!$B$11,Model!$B$20,0)-IF(109&lt;Model!$B$15,Model!$B$22,0))/(1-Model!$B$9)/(1+Model!$B$18)^109))</f>
        <v/>
      </c>
      <c r="DT61" s="7">
        <f>IF(A61="","",IF((A61+110)&gt;Model!$B$4,0,MAX(0,Model!$B$6-IF((A61+110)&gt;=Model!$B$11,Model!$B$20,0)-IF(110&lt;Model!$B$15,Model!$B$22,0))/(1-Model!$B$9)/(1+Model!$B$18)^110))</f>
        <v/>
      </c>
      <c r="DU61" s="7">
        <f>IF(A61="","",IF((A61+111)&gt;Model!$B$4,0,MAX(0,Model!$B$6-IF((A61+111)&gt;=Model!$B$11,Model!$B$20,0)-IF(111&lt;Model!$B$15,Model!$B$22,0))/(1-Model!$B$9)/(1+Model!$B$18)^111))</f>
        <v/>
      </c>
      <c r="DV61" s="7">
        <f>IF(A61="","",IF((A61+112)&gt;Model!$B$4,0,MAX(0,Model!$B$6-IF((A61+112)&gt;=Model!$B$11,Model!$B$20,0)-IF(112&lt;Model!$B$15,Model!$B$22,0))/(1-Model!$B$9)/(1+Model!$B$18)^112))</f>
        <v/>
      </c>
      <c r="DW61" s="7">
        <f>IF(A61="","",IF((A61+113)&gt;Model!$B$4,0,MAX(0,Model!$B$6-IF((A61+113)&gt;=Model!$B$11,Model!$B$20,0)-IF(113&lt;Model!$B$15,Model!$B$22,0))/(1-Model!$B$9)/(1+Model!$B$18)^113))</f>
        <v/>
      </c>
      <c r="DX61" s="7">
        <f>IF(A61="","",IF((A61+114)&gt;Model!$B$4,0,MAX(0,Model!$B$6-IF((A61+114)&gt;=Model!$B$11,Model!$B$20,0)-IF(114&lt;Model!$B$15,Model!$B$22,0))/(1-Model!$B$9)/(1+Model!$B$18)^114))</f>
        <v/>
      </c>
      <c r="DY61" s="7">
        <f>IF(A61="","",IF((A61+115)&gt;Model!$B$4,0,MAX(0,Model!$B$6-IF((A61+115)&gt;=Model!$B$11,Model!$B$20,0)-IF(115&lt;Model!$B$15,Model!$B$22,0))/(1-Model!$B$9)/(1+Model!$B$18)^115))</f>
        <v/>
      </c>
      <c r="DZ61" s="7">
        <f>IF(A61="","",IF((A61+116)&gt;Model!$B$4,0,MAX(0,Model!$B$6-IF((A61+116)&gt;=Model!$B$11,Model!$B$20,0)-IF(116&lt;Model!$B$15,Model!$B$22,0))/(1-Model!$B$9)/(1+Model!$B$18)^116))</f>
        <v/>
      </c>
      <c r="EA61" s="7">
        <f>IF(A61="","",IF((A61+117)&gt;Model!$B$4,0,MAX(0,Model!$B$6-IF((A61+117)&gt;=Model!$B$11,Model!$B$20,0)-IF(117&lt;Model!$B$15,Model!$B$22,0))/(1-Model!$B$9)/(1+Model!$B$18)^117))</f>
        <v/>
      </c>
      <c r="EB61" s="7">
        <f>IF(A61="","",IF((A61+118)&gt;Model!$B$4,0,MAX(0,Model!$B$6-IF((A61+118)&gt;=Model!$B$11,Model!$B$20,0)-IF(118&lt;Model!$B$15,Model!$B$22,0))/(1-Model!$B$9)/(1+Model!$B$18)^118))</f>
        <v/>
      </c>
      <c r="EC61" s="7">
        <f>IF(A61="","",IF((A61+119)&gt;Model!$B$4,0,MAX(0,Model!$B$6-IF((A61+119)&gt;=Model!$B$11,Model!$B$20,0)-IF(119&lt;Model!$B$15,Model!$B$22,0))/(1-Model!$B$9)/(1+Model!$B$18)^119))</f>
        <v/>
      </c>
      <c r="ED61" s="7">
        <f>IF(A61="","",IF((A61+120)&gt;Model!$B$4,0,MAX(0,Model!$B$6-IF((A61+120)&gt;=Model!$B$11,Model!$B$20,0)-IF(120&lt;Model!$B$15,Model!$B$22,0))/(1-Model!$B$9)/(1+Model!$B$18)^120))</f>
        <v/>
      </c>
    </row>
    <row r="62">
      <c r="A62">
        <f>IF(Model!$B$10+ROW()-2&lt;=Model!$B$4,Model!$B$10+ROW()-2,"")</f>
        <v/>
      </c>
      <c r="B62">
        <f>IF(A62="","",A62-Model!$B$10)</f>
        <v/>
      </c>
      <c r="C62" s="7">
        <f>IF(A62="","",Model!$B$5*(1+Model!$B$18)^B62)</f>
        <v/>
      </c>
      <c r="D62" s="7">
        <f>IF(A62="","",SUM(N62:ED62))</f>
        <v/>
      </c>
      <c r="E62" s="7">
        <f>IF(A62="","",IF(A62&gt;=Model!$B$11,Model!$B$20,0))</f>
        <v/>
      </c>
      <c r="F62" s="7">
        <f>IF(A62="","",IF(Model!$B$15&gt;0,Model!$B$22,0))</f>
        <v/>
      </c>
      <c r="G62" s="7">
        <f>IF(A62="","",E62+F62)</f>
        <v/>
      </c>
      <c r="H62" s="7">
        <f>IF(A62="","",MAX(0,Model!$B$6-G62))</f>
        <v/>
      </c>
      <c r="I62" s="7">
        <f>IF(A62="","",H62/(1-Model!$B$9))</f>
        <v/>
      </c>
      <c r="J62" s="7">
        <f>IF(A62="","",C62-D62)</f>
        <v/>
      </c>
      <c r="K62">
        <f>IF(A62="","",C62&gt;=D62)</f>
        <v/>
      </c>
      <c r="L62" s="7">
        <f>IF(A62="","",IF(A62&gt;=Model!$B$11,Model!$B$19*(1+Model!$B$13)^B62,0))</f>
        <v/>
      </c>
      <c r="M62" s="7">
        <f>IF(A62="","",IF(Model!$B$15&gt;0,Model!$B$21*(1+Model!$B$13)^B62,0))</f>
        <v/>
      </c>
      <c r="N62" s="7">
        <f>IF(A62="","",IF((A62+0)&gt;Model!$B$4,0,MAX(0,Model!$B$6-IF((A62+0)&gt;=Model!$B$11,Model!$B$20,0)-IF(0&lt;Model!$B$15,Model!$B$22,0))/(1-Model!$B$9)/(1+Model!$B$18)^0))</f>
        <v/>
      </c>
      <c r="O62" s="7">
        <f>IF(A62="","",IF((A62+1)&gt;Model!$B$4,0,MAX(0,Model!$B$6-IF((A62+1)&gt;=Model!$B$11,Model!$B$20,0)-IF(1&lt;Model!$B$15,Model!$B$22,0))/(1-Model!$B$9)/(1+Model!$B$18)^1))</f>
        <v/>
      </c>
      <c r="P62" s="7">
        <f>IF(A62="","",IF((A62+2)&gt;Model!$B$4,0,MAX(0,Model!$B$6-IF((A62+2)&gt;=Model!$B$11,Model!$B$20,0)-IF(2&lt;Model!$B$15,Model!$B$22,0))/(1-Model!$B$9)/(1+Model!$B$18)^2))</f>
        <v/>
      </c>
      <c r="Q62" s="7">
        <f>IF(A62="","",IF((A62+3)&gt;Model!$B$4,0,MAX(0,Model!$B$6-IF((A62+3)&gt;=Model!$B$11,Model!$B$20,0)-IF(3&lt;Model!$B$15,Model!$B$22,0))/(1-Model!$B$9)/(1+Model!$B$18)^3))</f>
        <v/>
      </c>
      <c r="R62" s="7">
        <f>IF(A62="","",IF((A62+4)&gt;Model!$B$4,0,MAX(0,Model!$B$6-IF((A62+4)&gt;=Model!$B$11,Model!$B$20,0)-IF(4&lt;Model!$B$15,Model!$B$22,0))/(1-Model!$B$9)/(1+Model!$B$18)^4))</f>
        <v/>
      </c>
      <c r="S62" s="7">
        <f>IF(A62="","",IF((A62+5)&gt;Model!$B$4,0,MAX(0,Model!$B$6-IF((A62+5)&gt;=Model!$B$11,Model!$B$20,0)-IF(5&lt;Model!$B$15,Model!$B$22,0))/(1-Model!$B$9)/(1+Model!$B$18)^5))</f>
        <v/>
      </c>
      <c r="T62" s="7">
        <f>IF(A62="","",IF((A62+6)&gt;Model!$B$4,0,MAX(0,Model!$B$6-IF((A62+6)&gt;=Model!$B$11,Model!$B$20,0)-IF(6&lt;Model!$B$15,Model!$B$22,0))/(1-Model!$B$9)/(1+Model!$B$18)^6))</f>
        <v/>
      </c>
      <c r="U62" s="7">
        <f>IF(A62="","",IF((A62+7)&gt;Model!$B$4,0,MAX(0,Model!$B$6-IF((A62+7)&gt;=Model!$B$11,Model!$B$20,0)-IF(7&lt;Model!$B$15,Model!$B$22,0))/(1-Model!$B$9)/(1+Model!$B$18)^7))</f>
        <v/>
      </c>
      <c r="V62" s="7">
        <f>IF(A62="","",IF((A62+8)&gt;Model!$B$4,0,MAX(0,Model!$B$6-IF((A62+8)&gt;=Model!$B$11,Model!$B$20,0)-IF(8&lt;Model!$B$15,Model!$B$22,0))/(1-Model!$B$9)/(1+Model!$B$18)^8))</f>
        <v/>
      </c>
      <c r="W62" s="7">
        <f>IF(A62="","",IF((A62+9)&gt;Model!$B$4,0,MAX(0,Model!$B$6-IF((A62+9)&gt;=Model!$B$11,Model!$B$20,0)-IF(9&lt;Model!$B$15,Model!$B$22,0))/(1-Model!$B$9)/(1+Model!$B$18)^9))</f>
        <v/>
      </c>
      <c r="X62" s="7">
        <f>IF(A62="","",IF((A62+10)&gt;Model!$B$4,0,MAX(0,Model!$B$6-IF((A62+10)&gt;=Model!$B$11,Model!$B$20,0)-IF(10&lt;Model!$B$15,Model!$B$22,0))/(1-Model!$B$9)/(1+Model!$B$18)^10))</f>
        <v/>
      </c>
      <c r="Y62" s="7">
        <f>IF(A62="","",IF((A62+11)&gt;Model!$B$4,0,MAX(0,Model!$B$6-IF((A62+11)&gt;=Model!$B$11,Model!$B$20,0)-IF(11&lt;Model!$B$15,Model!$B$22,0))/(1-Model!$B$9)/(1+Model!$B$18)^11))</f>
        <v/>
      </c>
      <c r="Z62" s="7">
        <f>IF(A62="","",IF((A62+12)&gt;Model!$B$4,0,MAX(0,Model!$B$6-IF((A62+12)&gt;=Model!$B$11,Model!$B$20,0)-IF(12&lt;Model!$B$15,Model!$B$22,0))/(1-Model!$B$9)/(1+Model!$B$18)^12))</f>
        <v/>
      </c>
      <c r="AA62" s="7">
        <f>IF(A62="","",IF((A62+13)&gt;Model!$B$4,0,MAX(0,Model!$B$6-IF((A62+13)&gt;=Model!$B$11,Model!$B$20,0)-IF(13&lt;Model!$B$15,Model!$B$22,0))/(1-Model!$B$9)/(1+Model!$B$18)^13))</f>
        <v/>
      </c>
      <c r="AB62" s="7">
        <f>IF(A62="","",IF((A62+14)&gt;Model!$B$4,0,MAX(0,Model!$B$6-IF((A62+14)&gt;=Model!$B$11,Model!$B$20,0)-IF(14&lt;Model!$B$15,Model!$B$22,0))/(1-Model!$B$9)/(1+Model!$B$18)^14))</f>
        <v/>
      </c>
      <c r="AC62" s="7">
        <f>IF(A62="","",IF((A62+15)&gt;Model!$B$4,0,MAX(0,Model!$B$6-IF((A62+15)&gt;=Model!$B$11,Model!$B$20,0)-IF(15&lt;Model!$B$15,Model!$B$22,0))/(1-Model!$B$9)/(1+Model!$B$18)^15))</f>
        <v/>
      </c>
      <c r="AD62" s="7">
        <f>IF(A62="","",IF((A62+16)&gt;Model!$B$4,0,MAX(0,Model!$B$6-IF((A62+16)&gt;=Model!$B$11,Model!$B$20,0)-IF(16&lt;Model!$B$15,Model!$B$22,0))/(1-Model!$B$9)/(1+Model!$B$18)^16))</f>
        <v/>
      </c>
      <c r="AE62" s="7">
        <f>IF(A62="","",IF((A62+17)&gt;Model!$B$4,0,MAX(0,Model!$B$6-IF((A62+17)&gt;=Model!$B$11,Model!$B$20,0)-IF(17&lt;Model!$B$15,Model!$B$22,0))/(1-Model!$B$9)/(1+Model!$B$18)^17))</f>
        <v/>
      </c>
      <c r="AF62" s="7">
        <f>IF(A62="","",IF((A62+18)&gt;Model!$B$4,0,MAX(0,Model!$B$6-IF((A62+18)&gt;=Model!$B$11,Model!$B$20,0)-IF(18&lt;Model!$B$15,Model!$B$22,0))/(1-Model!$B$9)/(1+Model!$B$18)^18))</f>
        <v/>
      </c>
      <c r="AG62" s="7">
        <f>IF(A62="","",IF((A62+19)&gt;Model!$B$4,0,MAX(0,Model!$B$6-IF((A62+19)&gt;=Model!$B$11,Model!$B$20,0)-IF(19&lt;Model!$B$15,Model!$B$22,0))/(1-Model!$B$9)/(1+Model!$B$18)^19))</f>
        <v/>
      </c>
      <c r="AH62" s="7">
        <f>IF(A62="","",IF((A62+20)&gt;Model!$B$4,0,MAX(0,Model!$B$6-IF((A62+20)&gt;=Model!$B$11,Model!$B$20,0)-IF(20&lt;Model!$B$15,Model!$B$22,0))/(1-Model!$B$9)/(1+Model!$B$18)^20))</f>
        <v/>
      </c>
      <c r="AI62" s="7">
        <f>IF(A62="","",IF((A62+21)&gt;Model!$B$4,0,MAX(0,Model!$B$6-IF((A62+21)&gt;=Model!$B$11,Model!$B$20,0)-IF(21&lt;Model!$B$15,Model!$B$22,0))/(1-Model!$B$9)/(1+Model!$B$18)^21))</f>
        <v/>
      </c>
      <c r="AJ62" s="7">
        <f>IF(A62="","",IF((A62+22)&gt;Model!$B$4,0,MAX(0,Model!$B$6-IF((A62+22)&gt;=Model!$B$11,Model!$B$20,0)-IF(22&lt;Model!$B$15,Model!$B$22,0))/(1-Model!$B$9)/(1+Model!$B$18)^22))</f>
        <v/>
      </c>
      <c r="AK62" s="7">
        <f>IF(A62="","",IF((A62+23)&gt;Model!$B$4,0,MAX(0,Model!$B$6-IF((A62+23)&gt;=Model!$B$11,Model!$B$20,0)-IF(23&lt;Model!$B$15,Model!$B$22,0))/(1-Model!$B$9)/(1+Model!$B$18)^23))</f>
        <v/>
      </c>
      <c r="AL62" s="7">
        <f>IF(A62="","",IF((A62+24)&gt;Model!$B$4,0,MAX(0,Model!$B$6-IF((A62+24)&gt;=Model!$B$11,Model!$B$20,0)-IF(24&lt;Model!$B$15,Model!$B$22,0))/(1-Model!$B$9)/(1+Model!$B$18)^24))</f>
        <v/>
      </c>
      <c r="AM62" s="7">
        <f>IF(A62="","",IF((A62+25)&gt;Model!$B$4,0,MAX(0,Model!$B$6-IF((A62+25)&gt;=Model!$B$11,Model!$B$20,0)-IF(25&lt;Model!$B$15,Model!$B$22,0))/(1-Model!$B$9)/(1+Model!$B$18)^25))</f>
        <v/>
      </c>
      <c r="AN62" s="7">
        <f>IF(A62="","",IF((A62+26)&gt;Model!$B$4,0,MAX(0,Model!$B$6-IF((A62+26)&gt;=Model!$B$11,Model!$B$20,0)-IF(26&lt;Model!$B$15,Model!$B$22,0))/(1-Model!$B$9)/(1+Model!$B$18)^26))</f>
        <v/>
      </c>
      <c r="AO62" s="7">
        <f>IF(A62="","",IF((A62+27)&gt;Model!$B$4,0,MAX(0,Model!$B$6-IF((A62+27)&gt;=Model!$B$11,Model!$B$20,0)-IF(27&lt;Model!$B$15,Model!$B$22,0))/(1-Model!$B$9)/(1+Model!$B$18)^27))</f>
        <v/>
      </c>
      <c r="AP62" s="7">
        <f>IF(A62="","",IF((A62+28)&gt;Model!$B$4,0,MAX(0,Model!$B$6-IF((A62+28)&gt;=Model!$B$11,Model!$B$20,0)-IF(28&lt;Model!$B$15,Model!$B$22,0))/(1-Model!$B$9)/(1+Model!$B$18)^28))</f>
        <v/>
      </c>
      <c r="AQ62" s="7">
        <f>IF(A62="","",IF((A62+29)&gt;Model!$B$4,0,MAX(0,Model!$B$6-IF((A62+29)&gt;=Model!$B$11,Model!$B$20,0)-IF(29&lt;Model!$B$15,Model!$B$22,0))/(1-Model!$B$9)/(1+Model!$B$18)^29))</f>
        <v/>
      </c>
      <c r="AR62" s="7">
        <f>IF(A62="","",IF((A62+30)&gt;Model!$B$4,0,MAX(0,Model!$B$6-IF((A62+30)&gt;=Model!$B$11,Model!$B$20,0)-IF(30&lt;Model!$B$15,Model!$B$22,0))/(1-Model!$B$9)/(1+Model!$B$18)^30))</f>
        <v/>
      </c>
      <c r="AS62" s="7">
        <f>IF(A62="","",IF((A62+31)&gt;Model!$B$4,0,MAX(0,Model!$B$6-IF((A62+31)&gt;=Model!$B$11,Model!$B$20,0)-IF(31&lt;Model!$B$15,Model!$B$22,0))/(1-Model!$B$9)/(1+Model!$B$18)^31))</f>
        <v/>
      </c>
      <c r="AT62" s="7">
        <f>IF(A62="","",IF((A62+32)&gt;Model!$B$4,0,MAX(0,Model!$B$6-IF((A62+32)&gt;=Model!$B$11,Model!$B$20,0)-IF(32&lt;Model!$B$15,Model!$B$22,0))/(1-Model!$B$9)/(1+Model!$B$18)^32))</f>
        <v/>
      </c>
      <c r="AU62" s="7">
        <f>IF(A62="","",IF((A62+33)&gt;Model!$B$4,0,MAX(0,Model!$B$6-IF((A62+33)&gt;=Model!$B$11,Model!$B$20,0)-IF(33&lt;Model!$B$15,Model!$B$22,0))/(1-Model!$B$9)/(1+Model!$B$18)^33))</f>
        <v/>
      </c>
      <c r="AV62" s="7">
        <f>IF(A62="","",IF((A62+34)&gt;Model!$B$4,0,MAX(0,Model!$B$6-IF((A62+34)&gt;=Model!$B$11,Model!$B$20,0)-IF(34&lt;Model!$B$15,Model!$B$22,0))/(1-Model!$B$9)/(1+Model!$B$18)^34))</f>
        <v/>
      </c>
      <c r="AW62" s="7">
        <f>IF(A62="","",IF((A62+35)&gt;Model!$B$4,0,MAX(0,Model!$B$6-IF((A62+35)&gt;=Model!$B$11,Model!$B$20,0)-IF(35&lt;Model!$B$15,Model!$B$22,0))/(1-Model!$B$9)/(1+Model!$B$18)^35))</f>
        <v/>
      </c>
      <c r="AX62" s="7">
        <f>IF(A62="","",IF((A62+36)&gt;Model!$B$4,0,MAX(0,Model!$B$6-IF((A62+36)&gt;=Model!$B$11,Model!$B$20,0)-IF(36&lt;Model!$B$15,Model!$B$22,0))/(1-Model!$B$9)/(1+Model!$B$18)^36))</f>
        <v/>
      </c>
      <c r="AY62" s="7">
        <f>IF(A62="","",IF((A62+37)&gt;Model!$B$4,0,MAX(0,Model!$B$6-IF((A62+37)&gt;=Model!$B$11,Model!$B$20,0)-IF(37&lt;Model!$B$15,Model!$B$22,0))/(1-Model!$B$9)/(1+Model!$B$18)^37))</f>
        <v/>
      </c>
      <c r="AZ62" s="7">
        <f>IF(A62="","",IF((A62+38)&gt;Model!$B$4,0,MAX(0,Model!$B$6-IF((A62+38)&gt;=Model!$B$11,Model!$B$20,0)-IF(38&lt;Model!$B$15,Model!$B$22,0))/(1-Model!$B$9)/(1+Model!$B$18)^38))</f>
        <v/>
      </c>
      <c r="BA62" s="7">
        <f>IF(A62="","",IF((A62+39)&gt;Model!$B$4,0,MAX(0,Model!$B$6-IF((A62+39)&gt;=Model!$B$11,Model!$B$20,0)-IF(39&lt;Model!$B$15,Model!$B$22,0))/(1-Model!$B$9)/(1+Model!$B$18)^39))</f>
        <v/>
      </c>
      <c r="BB62" s="7">
        <f>IF(A62="","",IF((A62+40)&gt;Model!$B$4,0,MAX(0,Model!$B$6-IF((A62+40)&gt;=Model!$B$11,Model!$B$20,0)-IF(40&lt;Model!$B$15,Model!$B$22,0))/(1-Model!$B$9)/(1+Model!$B$18)^40))</f>
        <v/>
      </c>
      <c r="BC62" s="7">
        <f>IF(A62="","",IF((A62+41)&gt;Model!$B$4,0,MAX(0,Model!$B$6-IF((A62+41)&gt;=Model!$B$11,Model!$B$20,0)-IF(41&lt;Model!$B$15,Model!$B$22,0))/(1-Model!$B$9)/(1+Model!$B$18)^41))</f>
        <v/>
      </c>
      <c r="BD62" s="7">
        <f>IF(A62="","",IF((A62+42)&gt;Model!$B$4,0,MAX(0,Model!$B$6-IF((A62+42)&gt;=Model!$B$11,Model!$B$20,0)-IF(42&lt;Model!$B$15,Model!$B$22,0))/(1-Model!$B$9)/(1+Model!$B$18)^42))</f>
        <v/>
      </c>
      <c r="BE62" s="7">
        <f>IF(A62="","",IF((A62+43)&gt;Model!$B$4,0,MAX(0,Model!$B$6-IF((A62+43)&gt;=Model!$B$11,Model!$B$20,0)-IF(43&lt;Model!$B$15,Model!$B$22,0))/(1-Model!$B$9)/(1+Model!$B$18)^43))</f>
        <v/>
      </c>
      <c r="BF62" s="7">
        <f>IF(A62="","",IF((A62+44)&gt;Model!$B$4,0,MAX(0,Model!$B$6-IF((A62+44)&gt;=Model!$B$11,Model!$B$20,0)-IF(44&lt;Model!$B$15,Model!$B$22,0))/(1-Model!$B$9)/(1+Model!$B$18)^44))</f>
        <v/>
      </c>
      <c r="BG62" s="7">
        <f>IF(A62="","",IF((A62+45)&gt;Model!$B$4,0,MAX(0,Model!$B$6-IF((A62+45)&gt;=Model!$B$11,Model!$B$20,0)-IF(45&lt;Model!$B$15,Model!$B$22,0))/(1-Model!$B$9)/(1+Model!$B$18)^45))</f>
        <v/>
      </c>
      <c r="BH62" s="7">
        <f>IF(A62="","",IF((A62+46)&gt;Model!$B$4,0,MAX(0,Model!$B$6-IF((A62+46)&gt;=Model!$B$11,Model!$B$20,0)-IF(46&lt;Model!$B$15,Model!$B$22,0))/(1-Model!$B$9)/(1+Model!$B$18)^46))</f>
        <v/>
      </c>
      <c r="BI62" s="7">
        <f>IF(A62="","",IF((A62+47)&gt;Model!$B$4,0,MAX(0,Model!$B$6-IF((A62+47)&gt;=Model!$B$11,Model!$B$20,0)-IF(47&lt;Model!$B$15,Model!$B$22,0))/(1-Model!$B$9)/(1+Model!$B$18)^47))</f>
        <v/>
      </c>
      <c r="BJ62" s="7">
        <f>IF(A62="","",IF((A62+48)&gt;Model!$B$4,0,MAX(0,Model!$B$6-IF((A62+48)&gt;=Model!$B$11,Model!$B$20,0)-IF(48&lt;Model!$B$15,Model!$B$22,0))/(1-Model!$B$9)/(1+Model!$B$18)^48))</f>
        <v/>
      </c>
      <c r="BK62" s="7">
        <f>IF(A62="","",IF((A62+49)&gt;Model!$B$4,0,MAX(0,Model!$B$6-IF((A62+49)&gt;=Model!$B$11,Model!$B$20,0)-IF(49&lt;Model!$B$15,Model!$B$22,0))/(1-Model!$B$9)/(1+Model!$B$18)^49))</f>
        <v/>
      </c>
      <c r="BL62" s="7">
        <f>IF(A62="","",IF((A62+50)&gt;Model!$B$4,0,MAX(0,Model!$B$6-IF((A62+50)&gt;=Model!$B$11,Model!$B$20,0)-IF(50&lt;Model!$B$15,Model!$B$22,0))/(1-Model!$B$9)/(1+Model!$B$18)^50))</f>
        <v/>
      </c>
      <c r="BM62" s="7">
        <f>IF(A62="","",IF((A62+51)&gt;Model!$B$4,0,MAX(0,Model!$B$6-IF((A62+51)&gt;=Model!$B$11,Model!$B$20,0)-IF(51&lt;Model!$B$15,Model!$B$22,0))/(1-Model!$B$9)/(1+Model!$B$18)^51))</f>
        <v/>
      </c>
      <c r="BN62" s="7">
        <f>IF(A62="","",IF((A62+52)&gt;Model!$B$4,0,MAX(0,Model!$B$6-IF((A62+52)&gt;=Model!$B$11,Model!$B$20,0)-IF(52&lt;Model!$B$15,Model!$B$22,0))/(1-Model!$B$9)/(1+Model!$B$18)^52))</f>
        <v/>
      </c>
      <c r="BO62" s="7">
        <f>IF(A62="","",IF((A62+53)&gt;Model!$B$4,0,MAX(0,Model!$B$6-IF((A62+53)&gt;=Model!$B$11,Model!$B$20,0)-IF(53&lt;Model!$B$15,Model!$B$22,0))/(1-Model!$B$9)/(1+Model!$B$18)^53))</f>
        <v/>
      </c>
      <c r="BP62" s="7">
        <f>IF(A62="","",IF((A62+54)&gt;Model!$B$4,0,MAX(0,Model!$B$6-IF((A62+54)&gt;=Model!$B$11,Model!$B$20,0)-IF(54&lt;Model!$B$15,Model!$B$22,0))/(1-Model!$B$9)/(1+Model!$B$18)^54))</f>
        <v/>
      </c>
      <c r="BQ62" s="7">
        <f>IF(A62="","",IF((A62+55)&gt;Model!$B$4,0,MAX(0,Model!$B$6-IF((A62+55)&gt;=Model!$B$11,Model!$B$20,0)-IF(55&lt;Model!$B$15,Model!$B$22,0))/(1-Model!$B$9)/(1+Model!$B$18)^55))</f>
        <v/>
      </c>
      <c r="BR62" s="7">
        <f>IF(A62="","",IF((A62+56)&gt;Model!$B$4,0,MAX(0,Model!$B$6-IF((A62+56)&gt;=Model!$B$11,Model!$B$20,0)-IF(56&lt;Model!$B$15,Model!$B$22,0))/(1-Model!$B$9)/(1+Model!$B$18)^56))</f>
        <v/>
      </c>
      <c r="BS62" s="7">
        <f>IF(A62="","",IF((A62+57)&gt;Model!$B$4,0,MAX(0,Model!$B$6-IF((A62+57)&gt;=Model!$B$11,Model!$B$20,0)-IF(57&lt;Model!$B$15,Model!$B$22,0))/(1-Model!$B$9)/(1+Model!$B$18)^57))</f>
        <v/>
      </c>
      <c r="BT62" s="7">
        <f>IF(A62="","",IF((A62+58)&gt;Model!$B$4,0,MAX(0,Model!$B$6-IF((A62+58)&gt;=Model!$B$11,Model!$B$20,0)-IF(58&lt;Model!$B$15,Model!$B$22,0))/(1-Model!$B$9)/(1+Model!$B$18)^58))</f>
        <v/>
      </c>
      <c r="BU62" s="7">
        <f>IF(A62="","",IF((A62+59)&gt;Model!$B$4,0,MAX(0,Model!$B$6-IF((A62+59)&gt;=Model!$B$11,Model!$B$20,0)-IF(59&lt;Model!$B$15,Model!$B$22,0))/(1-Model!$B$9)/(1+Model!$B$18)^59))</f>
        <v/>
      </c>
      <c r="BV62" s="7">
        <f>IF(A62="","",IF((A62+60)&gt;Model!$B$4,0,MAX(0,Model!$B$6-IF((A62+60)&gt;=Model!$B$11,Model!$B$20,0)-IF(60&lt;Model!$B$15,Model!$B$22,0))/(1-Model!$B$9)/(1+Model!$B$18)^60))</f>
        <v/>
      </c>
      <c r="BW62" s="7">
        <f>IF(A62="","",IF((A62+61)&gt;Model!$B$4,0,MAX(0,Model!$B$6-IF((A62+61)&gt;=Model!$B$11,Model!$B$20,0)-IF(61&lt;Model!$B$15,Model!$B$22,0))/(1-Model!$B$9)/(1+Model!$B$18)^61))</f>
        <v/>
      </c>
      <c r="BX62" s="7">
        <f>IF(A62="","",IF((A62+62)&gt;Model!$B$4,0,MAX(0,Model!$B$6-IF((A62+62)&gt;=Model!$B$11,Model!$B$20,0)-IF(62&lt;Model!$B$15,Model!$B$22,0))/(1-Model!$B$9)/(1+Model!$B$18)^62))</f>
        <v/>
      </c>
      <c r="BY62" s="7">
        <f>IF(A62="","",IF((A62+63)&gt;Model!$B$4,0,MAX(0,Model!$B$6-IF((A62+63)&gt;=Model!$B$11,Model!$B$20,0)-IF(63&lt;Model!$B$15,Model!$B$22,0))/(1-Model!$B$9)/(1+Model!$B$18)^63))</f>
        <v/>
      </c>
      <c r="BZ62" s="7">
        <f>IF(A62="","",IF((A62+64)&gt;Model!$B$4,0,MAX(0,Model!$B$6-IF((A62+64)&gt;=Model!$B$11,Model!$B$20,0)-IF(64&lt;Model!$B$15,Model!$B$22,0))/(1-Model!$B$9)/(1+Model!$B$18)^64))</f>
        <v/>
      </c>
      <c r="CA62" s="7">
        <f>IF(A62="","",IF((A62+65)&gt;Model!$B$4,0,MAX(0,Model!$B$6-IF((A62+65)&gt;=Model!$B$11,Model!$B$20,0)-IF(65&lt;Model!$B$15,Model!$B$22,0))/(1-Model!$B$9)/(1+Model!$B$18)^65))</f>
        <v/>
      </c>
      <c r="CB62" s="7">
        <f>IF(A62="","",IF((A62+66)&gt;Model!$B$4,0,MAX(0,Model!$B$6-IF((A62+66)&gt;=Model!$B$11,Model!$B$20,0)-IF(66&lt;Model!$B$15,Model!$B$22,0))/(1-Model!$B$9)/(1+Model!$B$18)^66))</f>
        <v/>
      </c>
      <c r="CC62" s="7">
        <f>IF(A62="","",IF((A62+67)&gt;Model!$B$4,0,MAX(0,Model!$B$6-IF((A62+67)&gt;=Model!$B$11,Model!$B$20,0)-IF(67&lt;Model!$B$15,Model!$B$22,0))/(1-Model!$B$9)/(1+Model!$B$18)^67))</f>
        <v/>
      </c>
      <c r="CD62" s="7">
        <f>IF(A62="","",IF((A62+68)&gt;Model!$B$4,0,MAX(0,Model!$B$6-IF((A62+68)&gt;=Model!$B$11,Model!$B$20,0)-IF(68&lt;Model!$B$15,Model!$B$22,0))/(1-Model!$B$9)/(1+Model!$B$18)^68))</f>
        <v/>
      </c>
      <c r="CE62" s="7">
        <f>IF(A62="","",IF((A62+69)&gt;Model!$B$4,0,MAX(0,Model!$B$6-IF((A62+69)&gt;=Model!$B$11,Model!$B$20,0)-IF(69&lt;Model!$B$15,Model!$B$22,0))/(1-Model!$B$9)/(1+Model!$B$18)^69))</f>
        <v/>
      </c>
      <c r="CF62" s="7">
        <f>IF(A62="","",IF((A62+70)&gt;Model!$B$4,0,MAX(0,Model!$B$6-IF((A62+70)&gt;=Model!$B$11,Model!$B$20,0)-IF(70&lt;Model!$B$15,Model!$B$22,0))/(1-Model!$B$9)/(1+Model!$B$18)^70))</f>
        <v/>
      </c>
      <c r="CG62" s="7">
        <f>IF(A62="","",IF((A62+71)&gt;Model!$B$4,0,MAX(0,Model!$B$6-IF((A62+71)&gt;=Model!$B$11,Model!$B$20,0)-IF(71&lt;Model!$B$15,Model!$B$22,0))/(1-Model!$B$9)/(1+Model!$B$18)^71))</f>
        <v/>
      </c>
      <c r="CH62" s="7">
        <f>IF(A62="","",IF((A62+72)&gt;Model!$B$4,0,MAX(0,Model!$B$6-IF((A62+72)&gt;=Model!$B$11,Model!$B$20,0)-IF(72&lt;Model!$B$15,Model!$B$22,0))/(1-Model!$B$9)/(1+Model!$B$18)^72))</f>
        <v/>
      </c>
      <c r="CI62" s="7">
        <f>IF(A62="","",IF((A62+73)&gt;Model!$B$4,0,MAX(0,Model!$B$6-IF((A62+73)&gt;=Model!$B$11,Model!$B$20,0)-IF(73&lt;Model!$B$15,Model!$B$22,0))/(1-Model!$B$9)/(1+Model!$B$18)^73))</f>
        <v/>
      </c>
      <c r="CJ62" s="7">
        <f>IF(A62="","",IF((A62+74)&gt;Model!$B$4,0,MAX(0,Model!$B$6-IF((A62+74)&gt;=Model!$B$11,Model!$B$20,0)-IF(74&lt;Model!$B$15,Model!$B$22,0))/(1-Model!$B$9)/(1+Model!$B$18)^74))</f>
        <v/>
      </c>
      <c r="CK62" s="7">
        <f>IF(A62="","",IF((A62+75)&gt;Model!$B$4,0,MAX(0,Model!$B$6-IF((A62+75)&gt;=Model!$B$11,Model!$B$20,0)-IF(75&lt;Model!$B$15,Model!$B$22,0))/(1-Model!$B$9)/(1+Model!$B$18)^75))</f>
        <v/>
      </c>
      <c r="CL62" s="7">
        <f>IF(A62="","",IF((A62+76)&gt;Model!$B$4,0,MAX(0,Model!$B$6-IF((A62+76)&gt;=Model!$B$11,Model!$B$20,0)-IF(76&lt;Model!$B$15,Model!$B$22,0))/(1-Model!$B$9)/(1+Model!$B$18)^76))</f>
        <v/>
      </c>
      <c r="CM62" s="7">
        <f>IF(A62="","",IF((A62+77)&gt;Model!$B$4,0,MAX(0,Model!$B$6-IF((A62+77)&gt;=Model!$B$11,Model!$B$20,0)-IF(77&lt;Model!$B$15,Model!$B$22,0))/(1-Model!$B$9)/(1+Model!$B$18)^77))</f>
        <v/>
      </c>
      <c r="CN62" s="7">
        <f>IF(A62="","",IF((A62+78)&gt;Model!$B$4,0,MAX(0,Model!$B$6-IF((A62+78)&gt;=Model!$B$11,Model!$B$20,0)-IF(78&lt;Model!$B$15,Model!$B$22,0))/(1-Model!$B$9)/(1+Model!$B$18)^78))</f>
        <v/>
      </c>
      <c r="CO62" s="7">
        <f>IF(A62="","",IF((A62+79)&gt;Model!$B$4,0,MAX(0,Model!$B$6-IF((A62+79)&gt;=Model!$B$11,Model!$B$20,0)-IF(79&lt;Model!$B$15,Model!$B$22,0))/(1-Model!$B$9)/(1+Model!$B$18)^79))</f>
        <v/>
      </c>
      <c r="CP62" s="7">
        <f>IF(A62="","",IF((A62+80)&gt;Model!$B$4,0,MAX(0,Model!$B$6-IF((A62+80)&gt;=Model!$B$11,Model!$B$20,0)-IF(80&lt;Model!$B$15,Model!$B$22,0))/(1-Model!$B$9)/(1+Model!$B$18)^80))</f>
        <v/>
      </c>
      <c r="CQ62" s="7">
        <f>IF(A62="","",IF((A62+81)&gt;Model!$B$4,0,MAX(0,Model!$B$6-IF((A62+81)&gt;=Model!$B$11,Model!$B$20,0)-IF(81&lt;Model!$B$15,Model!$B$22,0))/(1-Model!$B$9)/(1+Model!$B$18)^81))</f>
        <v/>
      </c>
      <c r="CR62" s="7">
        <f>IF(A62="","",IF((A62+82)&gt;Model!$B$4,0,MAX(0,Model!$B$6-IF((A62+82)&gt;=Model!$B$11,Model!$B$20,0)-IF(82&lt;Model!$B$15,Model!$B$22,0))/(1-Model!$B$9)/(1+Model!$B$18)^82))</f>
        <v/>
      </c>
      <c r="CS62" s="7">
        <f>IF(A62="","",IF((A62+83)&gt;Model!$B$4,0,MAX(0,Model!$B$6-IF((A62+83)&gt;=Model!$B$11,Model!$B$20,0)-IF(83&lt;Model!$B$15,Model!$B$22,0))/(1-Model!$B$9)/(1+Model!$B$18)^83))</f>
        <v/>
      </c>
      <c r="CT62" s="7">
        <f>IF(A62="","",IF((A62+84)&gt;Model!$B$4,0,MAX(0,Model!$B$6-IF((A62+84)&gt;=Model!$B$11,Model!$B$20,0)-IF(84&lt;Model!$B$15,Model!$B$22,0))/(1-Model!$B$9)/(1+Model!$B$18)^84))</f>
        <v/>
      </c>
      <c r="CU62" s="7">
        <f>IF(A62="","",IF((A62+85)&gt;Model!$B$4,0,MAX(0,Model!$B$6-IF((A62+85)&gt;=Model!$B$11,Model!$B$20,0)-IF(85&lt;Model!$B$15,Model!$B$22,0))/(1-Model!$B$9)/(1+Model!$B$18)^85))</f>
        <v/>
      </c>
      <c r="CV62" s="7">
        <f>IF(A62="","",IF((A62+86)&gt;Model!$B$4,0,MAX(0,Model!$B$6-IF((A62+86)&gt;=Model!$B$11,Model!$B$20,0)-IF(86&lt;Model!$B$15,Model!$B$22,0))/(1-Model!$B$9)/(1+Model!$B$18)^86))</f>
        <v/>
      </c>
      <c r="CW62" s="7">
        <f>IF(A62="","",IF((A62+87)&gt;Model!$B$4,0,MAX(0,Model!$B$6-IF((A62+87)&gt;=Model!$B$11,Model!$B$20,0)-IF(87&lt;Model!$B$15,Model!$B$22,0))/(1-Model!$B$9)/(1+Model!$B$18)^87))</f>
        <v/>
      </c>
      <c r="CX62" s="7">
        <f>IF(A62="","",IF((A62+88)&gt;Model!$B$4,0,MAX(0,Model!$B$6-IF((A62+88)&gt;=Model!$B$11,Model!$B$20,0)-IF(88&lt;Model!$B$15,Model!$B$22,0))/(1-Model!$B$9)/(1+Model!$B$18)^88))</f>
        <v/>
      </c>
      <c r="CY62" s="7">
        <f>IF(A62="","",IF((A62+89)&gt;Model!$B$4,0,MAX(0,Model!$B$6-IF((A62+89)&gt;=Model!$B$11,Model!$B$20,0)-IF(89&lt;Model!$B$15,Model!$B$22,0))/(1-Model!$B$9)/(1+Model!$B$18)^89))</f>
        <v/>
      </c>
      <c r="CZ62" s="7">
        <f>IF(A62="","",IF((A62+90)&gt;Model!$B$4,0,MAX(0,Model!$B$6-IF((A62+90)&gt;=Model!$B$11,Model!$B$20,0)-IF(90&lt;Model!$B$15,Model!$B$22,0))/(1-Model!$B$9)/(1+Model!$B$18)^90))</f>
        <v/>
      </c>
      <c r="DA62" s="7">
        <f>IF(A62="","",IF((A62+91)&gt;Model!$B$4,0,MAX(0,Model!$B$6-IF((A62+91)&gt;=Model!$B$11,Model!$B$20,0)-IF(91&lt;Model!$B$15,Model!$B$22,0))/(1-Model!$B$9)/(1+Model!$B$18)^91))</f>
        <v/>
      </c>
      <c r="DB62" s="7">
        <f>IF(A62="","",IF((A62+92)&gt;Model!$B$4,0,MAX(0,Model!$B$6-IF((A62+92)&gt;=Model!$B$11,Model!$B$20,0)-IF(92&lt;Model!$B$15,Model!$B$22,0))/(1-Model!$B$9)/(1+Model!$B$18)^92))</f>
        <v/>
      </c>
      <c r="DC62" s="7">
        <f>IF(A62="","",IF((A62+93)&gt;Model!$B$4,0,MAX(0,Model!$B$6-IF((A62+93)&gt;=Model!$B$11,Model!$B$20,0)-IF(93&lt;Model!$B$15,Model!$B$22,0))/(1-Model!$B$9)/(1+Model!$B$18)^93))</f>
        <v/>
      </c>
      <c r="DD62" s="7">
        <f>IF(A62="","",IF((A62+94)&gt;Model!$B$4,0,MAX(0,Model!$B$6-IF((A62+94)&gt;=Model!$B$11,Model!$B$20,0)-IF(94&lt;Model!$B$15,Model!$B$22,0))/(1-Model!$B$9)/(1+Model!$B$18)^94))</f>
        <v/>
      </c>
      <c r="DE62" s="7">
        <f>IF(A62="","",IF((A62+95)&gt;Model!$B$4,0,MAX(0,Model!$B$6-IF((A62+95)&gt;=Model!$B$11,Model!$B$20,0)-IF(95&lt;Model!$B$15,Model!$B$22,0))/(1-Model!$B$9)/(1+Model!$B$18)^95))</f>
        <v/>
      </c>
      <c r="DF62" s="7">
        <f>IF(A62="","",IF((A62+96)&gt;Model!$B$4,0,MAX(0,Model!$B$6-IF((A62+96)&gt;=Model!$B$11,Model!$B$20,0)-IF(96&lt;Model!$B$15,Model!$B$22,0))/(1-Model!$B$9)/(1+Model!$B$18)^96))</f>
        <v/>
      </c>
      <c r="DG62" s="7">
        <f>IF(A62="","",IF((A62+97)&gt;Model!$B$4,0,MAX(0,Model!$B$6-IF((A62+97)&gt;=Model!$B$11,Model!$B$20,0)-IF(97&lt;Model!$B$15,Model!$B$22,0))/(1-Model!$B$9)/(1+Model!$B$18)^97))</f>
        <v/>
      </c>
      <c r="DH62" s="7">
        <f>IF(A62="","",IF((A62+98)&gt;Model!$B$4,0,MAX(0,Model!$B$6-IF((A62+98)&gt;=Model!$B$11,Model!$B$20,0)-IF(98&lt;Model!$B$15,Model!$B$22,0))/(1-Model!$B$9)/(1+Model!$B$18)^98))</f>
        <v/>
      </c>
      <c r="DI62" s="7">
        <f>IF(A62="","",IF((A62+99)&gt;Model!$B$4,0,MAX(0,Model!$B$6-IF((A62+99)&gt;=Model!$B$11,Model!$B$20,0)-IF(99&lt;Model!$B$15,Model!$B$22,0))/(1-Model!$B$9)/(1+Model!$B$18)^99))</f>
        <v/>
      </c>
      <c r="DJ62" s="7">
        <f>IF(A62="","",IF((A62+100)&gt;Model!$B$4,0,MAX(0,Model!$B$6-IF((A62+100)&gt;=Model!$B$11,Model!$B$20,0)-IF(100&lt;Model!$B$15,Model!$B$22,0))/(1-Model!$B$9)/(1+Model!$B$18)^100))</f>
        <v/>
      </c>
      <c r="DK62" s="7">
        <f>IF(A62="","",IF((A62+101)&gt;Model!$B$4,0,MAX(0,Model!$B$6-IF((A62+101)&gt;=Model!$B$11,Model!$B$20,0)-IF(101&lt;Model!$B$15,Model!$B$22,0))/(1-Model!$B$9)/(1+Model!$B$18)^101))</f>
        <v/>
      </c>
      <c r="DL62" s="7">
        <f>IF(A62="","",IF((A62+102)&gt;Model!$B$4,0,MAX(0,Model!$B$6-IF((A62+102)&gt;=Model!$B$11,Model!$B$20,0)-IF(102&lt;Model!$B$15,Model!$B$22,0))/(1-Model!$B$9)/(1+Model!$B$18)^102))</f>
        <v/>
      </c>
      <c r="DM62" s="7">
        <f>IF(A62="","",IF((A62+103)&gt;Model!$B$4,0,MAX(0,Model!$B$6-IF((A62+103)&gt;=Model!$B$11,Model!$B$20,0)-IF(103&lt;Model!$B$15,Model!$B$22,0))/(1-Model!$B$9)/(1+Model!$B$18)^103))</f>
        <v/>
      </c>
      <c r="DN62" s="7">
        <f>IF(A62="","",IF((A62+104)&gt;Model!$B$4,0,MAX(0,Model!$B$6-IF((A62+104)&gt;=Model!$B$11,Model!$B$20,0)-IF(104&lt;Model!$B$15,Model!$B$22,0))/(1-Model!$B$9)/(1+Model!$B$18)^104))</f>
        <v/>
      </c>
      <c r="DO62" s="7">
        <f>IF(A62="","",IF((A62+105)&gt;Model!$B$4,0,MAX(0,Model!$B$6-IF((A62+105)&gt;=Model!$B$11,Model!$B$20,0)-IF(105&lt;Model!$B$15,Model!$B$22,0))/(1-Model!$B$9)/(1+Model!$B$18)^105))</f>
        <v/>
      </c>
      <c r="DP62" s="7">
        <f>IF(A62="","",IF((A62+106)&gt;Model!$B$4,0,MAX(0,Model!$B$6-IF((A62+106)&gt;=Model!$B$11,Model!$B$20,0)-IF(106&lt;Model!$B$15,Model!$B$22,0))/(1-Model!$B$9)/(1+Model!$B$18)^106))</f>
        <v/>
      </c>
      <c r="DQ62" s="7">
        <f>IF(A62="","",IF((A62+107)&gt;Model!$B$4,0,MAX(0,Model!$B$6-IF((A62+107)&gt;=Model!$B$11,Model!$B$20,0)-IF(107&lt;Model!$B$15,Model!$B$22,0))/(1-Model!$B$9)/(1+Model!$B$18)^107))</f>
        <v/>
      </c>
      <c r="DR62" s="7">
        <f>IF(A62="","",IF((A62+108)&gt;Model!$B$4,0,MAX(0,Model!$B$6-IF((A62+108)&gt;=Model!$B$11,Model!$B$20,0)-IF(108&lt;Model!$B$15,Model!$B$22,0))/(1-Model!$B$9)/(1+Model!$B$18)^108))</f>
        <v/>
      </c>
      <c r="DS62" s="7">
        <f>IF(A62="","",IF((A62+109)&gt;Model!$B$4,0,MAX(0,Model!$B$6-IF((A62+109)&gt;=Model!$B$11,Model!$B$20,0)-IF(109&lt;Model!$B$15,Model!$B$22,0))/(1-Model!$B$9)/(1+Model!$B$18)^109))</f>
        <v/>
      </c>
      <c r="DT62" s="7">
        <f>IF(A62="","",IF((A62+110)&gt;Model!$B$4,0,MAX(0,Model!$B$6-IF((A62+110)&gt;=Model!$B$11,Model!$B$20,0)-IF(110&lt;Model!$B$15,Model!$B$22,0))/(1-Model!$B$9)/(1+Model!$B$18)^110))</f>
        <v/>
      </c>
      <c r="DU62" s="7">
        <f>IF(A62="","",IF((A62+111)&gt;Model!$B$4,0,MAX(0,Model!$B$6-IF((A62+111)&gt;=Model!$B$11,Model!$B$20,0)-IF(111&lt;Model!$B$15,Model!$B$22,0))/(1-Model!$B$9)/(1+Model!$B$18)^111))</f>
        <v/>
      </c>
      <c r="DV62" s="7">
        <f>IF(A62="","",IF((A62+112)&gt;Model!$B$4,0,MAX(0,Model!$B$6-IF((A62+112)&gt;=Model!$B$11,Model!$B$20,0)-IF(112&lt;Model!$B$15,Model!$B$22,0))/(1-Model!$B$9)/(1+Model!$B$18)^112))</f>
        <v/>
      </c>
      <c r="DW62" s="7">
        <f>IF(A62="","",IF((A62+113)&gt;Model!$B$4,0,MAX(0,Model!$B$6-IF((A62+113)&gt;=Model!$B$11,Model!$B$20,0)-IF(113&lt;Model!$B$15,Model!$B$22,0))/(1-Model!$B$9)/(1+Model!$B$18)^113))</f>
        <v/>
      </c>
      <c r="DX62" s="7">
        <f>IF(A62="","",IF((A62+114)&gt;Model!$B$4,0,MAX(0,Model!$B$6-IF((A62+114)&gt;=Model!$B$11,Model!$B$20,0)-IF(114&lt;Model!$B$15,Model!$B$22,0))/(1-Model!$B$9)/(1+Model!$B$18)^114))</f>
        <v/>
      </c>
      <c r="DY62" s="7">
        <f>IF(A62="","",IF((A62+115)&gt;Model!$B$4,0,MAX(0,Model!$B$6-IF((A62+115)&gt;=Model!$B$11,Model!$B$20,0)-IF(115&lt;Model!$B$15,Model!$B$22,0))/(1-Model!$B$9)/(1+Model!$B$18)^115))</f>
        <v/>
      </c>
      <c r="DZ62" s="7">
        <f>IF(A62="","",IF((A62+116)&gt;Model!$B$4,0,MAX(0,Model!$B$6-IF((A62+116)&gt;=Model!$B$11,Model!$B$20,0)-IF(116&lt;Model!$B$15,Model!$B$22,0))/(1-Model!$B$9)/(1+Model!$B$18)^116))</f>
        <v/>
      </c>
      <c r="EA62" s="7">
        <f>IF(A62="","",IF((A62+117)&gt;Model!$B$4,0,MAX(0,Model!$B$6-IF((A62+117)&gt;=Model!$B$11,Model!$B$20,0)-IF(117&lt;Model!$B$15,Model!$B$22,0))/(1-Model!$B$9)/(1+Model!$B$18)^117))</f>
        <v/>
      </c>
      <c r="EB62" s="7">
        <f>IF(A62="","",IF((A62+118)&gt;Model!$B$4,0,MAX(0,Model!$B$6-IF((A62+118)&gt;=Model!$B$11,Model!$B$20,0)-IF(118&lt;Model!$B$15,Model!$B$22,0))/(1-Model!$B$9)/(1+Model!$B$18)^118))</f>
        <v/>
      </c>
      <c r="EC62" s="7">
        <f>IF(A62="","",IF((A62+119)&gt;Model!$B$4,0,MAX(0,Model!$B$6-IF((A62+119)&gt;=Model!$B$11,Model!$B$20,0)-IF(119&lt;Model!$B$15,Model!$B$22,0))/(1-Model!$B$9)/(1+Model!$B$18)^119))</f>
        <v/>
      </c>
      <c r="ED62" s="7">
        <f>IF(A62="","",IF((A62+120)&gt;Model!$B$4,0,MAX(0,Model!$B$6-IF((A62+120)&gt;=Model!$B$11,Model!$B$20,0)-IF(120&lt;Model!$B$15,Model!$B$22,0))/(1-Model!$B$9)/(1+Model!$B$18)^120))</f>
        <v/>
      </c>
    </row>
    <row r="63">
      <c r="A63">
        <f>IF(Model!$B$10+ROW()-2&lt;=Model!$B$4,Model!$B$10+ROW()-2,"")</f>
        <v/>
      </c>
      <c r="B63">
        <f>IF(A63="","",A63-Model!$B$10)</f>
        <v/>
      </c>
      <c r="C63" s="7">
        <f>IF(A63="","",Model!$B$5*(1+Model!$B$18)^B63)</f>
        <v/>
      </c>
      <c r="D63" s="7">
        <f>IF(A63="","",SUM(N63:ED63))</f>
        <v/>
      </c>
      <c r="E63" s="7">
        <f>IF(A63="","",IF(A63&gt;=Model!$B$11,Model!$B$20,0))</f>
        <v/>
      </c>
      <c r="F63" s="7">
        <f>IF(A63="","",IF(Model!$B$15&gt;0,Model!$B$22,0))</f>
        <v/>
      </c>
      <c r="G63" s="7">
        <f>IF(A63="","",E63+F63)</f>
        <v/>
      </c>
      <c r="H63" s="7">
        <f>IF(A63="","",MAX(0,Model!$B$6-G63))</f>
        <v/>
      </c>
      <c r="I63" s="7">
        <f>IF(A63="","",H63/(1-Model!$B$9))</f>
        <v/>
      </c>
      <c r="J63" s="7">
        <f>IF(A63="","",C63-D63)</f>
        <v/>
      </c>
      <c r="K63">
        <f>IF(A63="","",C63&gt;=D63)</f>
        <v/>
      </c>
      <c r="L63" s="7">
        <f>IF(A63="","",IF(A63&gt;=Model!$B$11,Model!$B$19*(1+Model!$B$13)^B63,0))</f>
        <v/>
      </c>
      <c r="M63" s="7">
        <f>IF(A63="","",IF(Model!$B$15&gt;0,Model!$B$21*(1+Model!$B$13)^B63,0))</f>
        <v/>
      </c>
      <c r="N63" s="7">
        <f>IF(A63="","",IF((A63+0)&gt;Model!$B$4,0,MAX(0,Model!$B$6-IF((A63+0)&gt;=Model!$B$11,Model!$B$20,0)-IF(0&lt;Model!$B$15,Model!$B$22,0))/(1-Model!$B$9)/(1+Model!$B$18)^0))</f>
        <v/>
      </c>
      <c r="O63" s="7">
        <f>IF(A63="","",IF((A63+1)&gt;Model!$B$4,0,MAX(0,Model!$B$6-IF((A63+1)&gt;=Model!$B$11,Model!$B$20,0)-IF(1&lt;Model!$B$15,Model!$B$22,0))/(1-Model!$B$9)/(1+Model!$B$18)^1))</f>
        <v/>
      </c>
      <c r="P63" s="7">
        <f>IF(A63="","",IF((A63+2)&gt;Model!$B$4,0,MAX(0,Model!$B$6-IF((A63+2)&gt;=Model!$B$11,Model!$B$20,0)-IF(2&lt;Model!$B$15,Model!$B$22,0))/(1-Model!$B$9)/(1+Model!$B$18)^2))</f>
        <v/>
      </c>
      <c r="Q63" s="7">
        <f>IF(A63="","",IF((A63+3)&gt;Model!$B$4,0,MAX(0,Model!$B$6-IF((A63+3)&gt;=Model!$B$11,Model!$B$20,0)-IF(3&lt;Model!$B$15,Model!$B$22,0))/(1-Model!$B$9)/(1+Model!$B$18)^3))</f>
        <v/>
      </c>
      <c r="R63" s="7">
        <f>IF(A63="","",IF((A63+4)&gt;Model!$B$4,0,MAX(0,Model!$B$6-IF((A63+4)&gt;=Model!$B$11,Model!$B$20,0)-IF(4&lt;Model!$B$15,Model!$B$22,0))/(1-Model!$B$9)/(1+Model!$B$18)^4))</f>
        <v/>
      </c>
      <c r="S63" s="7">
        <f>IF(A63="","",IF((A63+5)&gt;Model!$B$4,0,MAX(0,Model!$B$6-IF((A63+5)&gt;=Model!$B$11,Model!$B$20,0)-IF(5&lt;Model!$B$15,Model!$B$22,0))/(1-Model!$B$9)/(1+Model!$B$18)^5))</f>
        <v/>
      </c>
      <c r="T63" s="7">
        <f>IF(A63="","",IF((A63+6)&gt;Model!$B$4,0,MAX(0,Model!$B$6-IF((A63+6)&gt;=Model!$B$11,Model!$B$20,0)-IF(6&lt;Model!$B$15,Model!$B$22,0))/(1-Model!$B$9)/(1+Model!$B$18)^6))</f>
        <v/>
      </c>
      <c r="U63" s="7">
        <f>IF(A63="","",IF((A63+7)&gt;Model!$B$4,0,MAX(0,Model!$B$6-IF((A63+7)&gt;=Model!$B$11,Model!$B$20,0)-IF(7&lt;Model!$B$15,Model!$B$22,0))/(1-Model!$B$9)/(1+Model!$B$18)^7))</f>
        <v/>
      </c>
      <c r="V63" s="7">
        <f>IF(A63="","",IF((A63+8)&gt;Model!$B$4,0,MAX(0,Model!$B$6-IF((A63+8)&gt;=Model!$B$11,Model!$B$20,0)-IF(8&lt;Model!$B$15,Model!$B$22,0))/(1-Model!$B$9)/(1+Model!$B$18)^8))</f>
        <v/>
      </c>
      <c r="W63" s="7">
        <f>IF(A63="","",IF((A63+9)&gt;Model!$B$4,0,MAX(0,Model!$B$6-IF((A63+9)&gt;=Model!$B$11,Model!$B$20,0)-IF(9&lt;Model!$B$15,Model!$B$22,0))/(1-Model!$B$9)/(1+Model!$B$18)^9))</f>
        <v/>
      </c>
      <c r="X63" s="7">
        <f>IF(A63="","",IF((A63+10)&gt;Model!$B$4,0,MAX(0,Model!$B$6-IF((A63+10)&gt;=Model!$B$11,Model!$B$20,0)-IF(10&lt;Model!$B$15,Model!$B$22,0))/(1-Model!$B$9)/(1+Model!$B$18)^10))</f>
        <v/>
      </c>
      <c r="Y63" s="7">
        <f>IF(A63="","",IF((A63+11)&gt;Model!$B$4,0,MAX(0,Model!$B$6-IF((A63+11)&gt;=Model!$B$11,Model!$B$20,0)-IF(11&lt;Model!$B$15,Model!$B$22,0))/(1-Model!$B$9)/(1+Model!$B$18)^11))</f>
        <v/>
      </c>
      <c r="Z63" s="7">
        <f>IF(A63="","",IF((A63+12)&gt;Model!$B$4,0,MAX(0,Model!$B$6-IF((A63+12)&gt;=Model!$B$11,Model!$B$20,0)-IF(12&lt;Model!$B$15,Model!$B$22,0))/(1-Model!$B$9)/(1+Model!$B$18)^12))</f>
        <v/>
      </c>
      <c r="AA63" s="7">
        <f>IF(A63="","",IF((A63+13)&gt;Model!$B$4,0,MAX(0,Model!$B$6-IF((A63+13)&gt;=Model!$B$11,Model!$B$20,0)-IF(13&lt;Model!$B$15,Model!$B$22,0))/(1-Model!$B$9)/(1+Model!$B$18)^13))</f>
        <v/>
      </c>
      <c r="AB63" s="7">
        <f>IF(A63="","",IF((A63+14)&gt;Model!$B$4,0,MAX(0,Model!$B$6-IF((A63+14)&gt;=Model!$B$11,Model!$B$20,0)-IF(14&lt;Model!$B$15,Model!$B$22,0))/(1-Model!$B$9)/(1+Model!$B$18)^14))</f>
        <v/>
      </c>
      <c r="AC63" s="7">
        <f>IF(A63="","",IF((A63+15)&gt;Model!$B$4,0,MAX(0,Model!$B$6-IF((A63+15)&gt;=Model!$B$11,Model!$B$20,0)-IF(15&lt;Model!$B$15,Model!$B$22,0))/(1-Model!$B$9)/(1+Model!$B$18)^15))</f>
        <v/>
      </c>
      <c r="AD63" s="7">
        <f>IF(A63="","",IF((A63+16)&gt;Model!$B$4,0,MAX(0,Model!$B$6-IF((A63+16)&gt;=Model!$B$11,Model!$B$20,0)-IF(16&lt;Model!$B$15,Model!$B$22,0))/(1-Model!$B$9)/(1+Model!$B$18)^16))</f>
        <v/>
      </c>
      <c r="AE63" s="7">
        <f>IF(A63="","",IF((A63+17)&gt;Model!$B$4,0,MAX(0,Model!$B$6-IF((A63+17)&gt;=Model!$B$11,Model!$B$20,0)-IF(17&lt;Model!$B$15,Model!$B$22,0))/(1-Model!$B$9)/(1+Model!$B$18)^17))</f>
        <v/>
      </c>
      <c r="AF63" s="7">
        <f>IF(A63="","",IF((A63+18)&gt;Model!$B$4,0,MAX(0,Model!$B$6-IF((A63+18)&gt;=Model!$B$11,Model!$B$20,0)-IF(18&lt;Model!$B$15,Model!$B$22,0))/(1-Model!$B$9)/(1+Model!$B$18)^18))</f>
        <v/>
      </c>
      <c r="AG63" s="7">
        <f>IF(A63="","",IF((A63+19)&gt;Model!$B$4,0,MAX(0,Model!$B$6-IF((A63+19)&gt;=Model!$B$11,Model!$B$20,0)-IF(19&lt;Model!$B$15,Model!$B$22,0))/(1-Model!$B$9)/(1+Model!$B$18)^19))</f>
        <v/>
      </c>
      <c r="AH63" s="7">
        <f>IF(A63="","",IF((A63+20)&gt;Model!$B$4,0,MAX(0,Model!$B$6-IF((A63+20)&gt;=Model!$B$11,Model!$B$20,0)-IF(20&lt;Model!$B$15,Model!$B$22,0))/(1-Model!$B$9)/(1+Model!$B$18)^20))</f>
        <v/>
      </c>
      <c r="AI63" s="7">
        <f>IF(A63="","",IF((A63+21)&gt;Model!$B$4,0,MAX(0,Model!$B$6-IF((A63+21)&gt;=Model!$B$11,Model!$B$20,0)-IF(21&lt;Model!$B$15,Model!$B$22,0))/(1-Model!$B$9)/(1+Model!$B$18)^21))</f>
        <v/>
      </c>
      <c r="AJ63" s="7">
        <f>IF(A63="","",IF((A63+22)&gt;Model!$B$4,0,MAX(0,Model!$B$6-IF((A63+22)&gt;=Model!$B$11,Model!$B$20,0)-IF(22&lt;Model!$B$15,Model!$B$22,0))/(1-Model!$B$9)/(1+Model!$B$18)^22))</f>
        <v/>
      </c>
      <c r="AK63" s="7">
        <f>IF(A63="","",IF((A63+23)&gt;Model!$B$4,0,MAX(0,Model!$B$6-IF((A63+23)&gt;=Model!$B$11,Model!$B$20,0)-IF(23&lt;Model!$B$15,Model!$B$22,0))/(1-Model!$B$9)/(1+Model!$B$18)^23))</f>
        <v/>
      </c>
      <c r="AL63" s="7">
        <f>IF(A63="","",IF((A63+24)&gt;Model!$B$4,0,MAX(0,Model!$B$6-IF((A63+24)&gt;=Model!$B$11,Model!$B$20,0)-IF(24&lt;Model!$B$15,Model!$B$22,0))/(1-Model!$B$9)/(1+Model!$B$18)^24))</f>
        <v/>
      </c>
      <c r="AM63" s="7">
        <f>IF(A63="","",IF((A63+25)&gt;Model!$B$4,0,MAX(0,Model!$B$6-IF((A63+25)&gt;=Model!$B$11,Model!$B$20,0)-IF(25&lt;Model!$B$15,Model!$B$22,0))/(1-Model!$B$9)/(1+Model!$B$18)^25))</f>
        <v/>
      </c>
      <c r="AN63" s="7">
        <f>IF(A63="","",IF((A63+26)&gt;Model!$B$4,0,MAX(0,Model!$B$6-IF((A63+26)&gt;=Model!$B$11,Model!$B$20,0)-IF(26&lt;Model!$B$15,Model!$B$22,0))/(1-Model!$B$9)/(1+Model!$B$18)^26))</f>
        <v/>
      </c>
      <c r="AO63" s="7">
        <f>IF(A63="","",IF((A63+27)&gt;Model!$B$4,0,MAX(0,Model!$B$6-IF((A63+27)&gt;=Model!$B$11,Model!$B$20,0)-IF(27&lt;Model!$B$15,Model!$B$22,0))/(1-Model!$B$9)/(1+Model!$B$18)^27))</f>
        <v/>
      </c>
      <c r="AP63" s="7">
        <f>IF(A63="","",IF((A63+28)&gt;Model!$B$4,0,MAX(0,Model!$B$6-IF((A63+28)&gt;=Model!$B$11,Model!$B$20,0)-IF(28&lt;Model!$B$15,Model!$B$22,0))/(1-Model!$B$9)/(1+Model!$B$18)^28))</f>
        <v/>
      </c>
      <c r="AQ63" s="7">
        <f>IF(A63="","",IF((A63+29)&gt;Model!$B$4,0,MAX(0,Model!$B$6-IF((A63+29)&gt;=Model!$B$11,Model!$B$20,0)-IF(29&lt;Model!$B$15,Model!$B$22,0))/(1-Model!$B$9)/(1+Model!$B$18)^29))</f>
        <v/>
      </c>
      <c r="AR63" s="7">
        <f>IF(A63="","",IF((A63+30)&gt;Model!$B$4,0,MAX(0,Model!$B$6-IF((A63+30)&gt;=Model!$B$11,Model!$B$20,0)-IF(30&lt;Model!$B$15,Model!$B$22,0))/(1-Model!$B$9)/(1+Model!$B$18)^30))</f>
        <v/>
      </c>
      <c r="AS63" s="7">
        <f>IF(A63="","",IF((A63+31)&gt;Model!$B$4,0,MAX(0,Model!$B$6-IF((A63+31)&gt;=Model!$B$11,Model!$B$20,0)-IF(31&lt;Model!$B$15,Model!$B$22,0))/(1-Model!$B$9)/(1+Model!$B$18)^31))</f>
        <v/>
      </c>
      <c r="AT63" s="7">
        <f>IF(A63="","",IF((A63+32)&gt;Model!$B$4,0,MAX(0,Model!$B$6-IF((A63+32)&gt;=Model!$B$11,Model!$B$20,0)-IF(32&lt;Model!$B$15,Model!$B$22,0))/(1-Model!$B$9)/(1+Model!$B$18)^32))</f>
        <v/>
      </c>
      <c r="AU63" s="7">
        <f>IF(A63="","",IF((A63+33)&gt;Model!$B$4,0,MAX(0,Model!$B$6-IF((A63+33)&gt;=Model!$B$11,Model!$B$20,0)-IF(33&lt;Model!$B$15,Model!$B$22,0))/(1-Model!$B$9)/(1+Model!$B$18)^33))</f>
        <v/>
      </c>
      <c r="AV63" s="7">
        <f>IF(A63="","",IF((A63+34)&gt;Model!$B$4,0,MAX(0,Model!$B$6-IF((A63+34)&gt;=Model!$B$11,Model!$B$20,0)-IF(34&lt;Model!$B$15,Model!$B$22,0))/(1-Model!$B$9)/(1+Model!$B$18)^34))</f>
        <v/>
      </c>
      <c r="AW63" s="7">
        <f>IF(A63="","",IF((A63+35)&gt;Model!$B$4,0,MAX(0,Model!$B$6-IF((A63+35)&gt;=Model!$B$11,Model!$B$20,0)-IF(35&lt;Model!$B$15,Model!$B$22,0))/(1-Model!$B$9)/(1+Model!$B$18)^35))</f>
        <v/>
      </c>
      <c r="AX63" s="7">
        <f>IF(A63="","",IF((A63+36)&gt;Model!$B$4,0,MAX(0,Model!$B$6-IF((A63+36)&gt;=Model!$B$11,Model!$B$20,0)-IF(36&lt;Model!$B$15,Model!$B$22,0))/(1-Model!$B$9)/(1+Model!$B$18)^36))</f>
        <v/>
      </c>
      <c r="AY63" s="7">
        <f>IF(A63="","",IF((A63+37)&gt;Model!$B$4,0,MAX(0,Model!$B$6-IF((A63+37)&gt;=Model!$B$11,Model!$B$20,0)-IF(37&lt;Model!$B$15,Model!$B$22,0))/(1-Model!$B$9)/(1+Model!$B$18)^37))</f>
        <v/>
      </c>
      <c r="AZ63" s="7">
        <f>IF(A63="","",IF((A63+38)&gt;Model!$B$4,0,MAX(0,Model!$B$6-IF((A63+38)&gt;=Model!$B$11,Model!$B$20,0)-IF(38&lt;Model!$B$15,Model!$B$22,0))/(1-Model!$B$9)/(1+Model!$B$18)^38))</f>
        <v/>
      </c>
      <c r="BA63" s="7">
        <f>IF(A63="","",IF((A63+39)&gt;Model!$B$4,0,MAX(0,Model!$B$6-IF((A63+39)&gt;=Model!$B$11,Model!$B$20,0)-IF(39&lt;Model!$B$15,Model!$B$22,0))/(1-Model!$B$9)/(1+Model!$B$18)^39))</f>
        <v/>
      </c>
      <c r="BB63" s="7">
        <f>IF(A63="","",IF((A63+40)&gt;Model!$B$4,0,MAX(0,Model!$B$6-IF((A63+40)&gt;=Model!$B$11,Model!$B$20,0)-IF(40&lt;Model!$B$15,Model!$B$22,0))/(1-Model!$B$9)/(1+Model!$B$18)^40))</f>
        <v/>
      </c>
      <c r="BC63" s="7">
        <f>IF(A63="","",IF((A63+41)&gt;Model!$B$4,0,MAX(0,Model!$B$6-IF((A63+41)&gt;=Model!$B$11,Model!$B$20,0)-IF(41&lt;Model!$B$15,Model!$B$22,0))/(1-Model!$B$9)/(1+Model!$B$18)^41))</f>
        <v/>
      </c>
      <c r="BD63" s="7">
        <f>IF(A63="","",IF((A63+42)&gt;Model!$B$4,0,MAX(0,Model!$B$6-IF((A63+42)&gt;=Model!$B$11,Model!$B$20,0)-IF(42&lt;Model!$B$15,Model!$B$22,0))/(1-Model!$B$9)/(1+Model!$B$18)^42))</f>
        <v/>
      </c>
      <c r="BE63" s="7">
        <f>IF(A63="","",IF((A63+43)&gt;Model!$B$4,0,MAX(0,Model!$B$6-IF((A63+43)&gt;=Model!$B$11,Model!$B$20,0)-IF(43&lt;Model!$B$15,Model!$B$22,0))/(1-Model!$B$9)/(1+Model!$B$18)^43))</f>
        <v/>
      </c>
      <c r="BF63" s="7">
        <f>IF(A63="","",IF((A63+44)&gt;Model!$B$4,0,MAX(0,Model!$B$6-IF((A63+44)&gt;=Model!$B$11,Model!$B$20,0)-IF(44&lt;Model!$B$15,Model!$B$22,0))/(1-Model!$B$9)/(1+Model!$B$18)^44))</f>
        <v/>
      </c>
      <c r="BG63" s="7">
        <f>IF(A63="","",IF((A63+45)&gt;Model!$B$4,0,MAX(0,Model!$B$6-IF((A63+45)&gt;=Model!$B$11,Model!$B$20,0)-IF(45&lt;Model!$B$15,Model!$B$22,0))/(1-Model!$B$9)/(1+Model!$B$18)^45))</f>
        <v/>
      </c>
      <c r="BH63" s="7">
        <f>IF(A63="","",IF((A63+46)&gt;Model!$B$4,0,MAX(0,Model!$B$6-IF((A63+46)&gt;=Model!$B$11,Model!$B$20,0)-IF(46&lt;Model!$B$15,Model!$B$22,0))/(1-Model!$B$9)/(1+Model!$B$18)^46))</f>
        <v/>
      </c>
      <c r="BI63" s="7">
        <f>IF(A63="","",IF((A63+47)&gt;Model!$B$4,0,MAX(0,Model!$B$6-IF((A63+47)&gt;=Model!$B$11,Model!$B$20,0)-IF(47&lt;Model!$B$15,Model!$B$22,0))/(1-Model!$B$9)/(1+Model!$B$18)^47))</f>
        <v/>
      </c>
      <c r="BJ63" s="7">
        <f>IF(A63="","",IF((A63+48)&gt;Model!$B$4,0,MAX(0,Model!$B$6-IF((A63+48)&gt;=Model!$B$11,Model!$B$20,0)-IF(48&lt;Model!$B$15,Model!$B$22,0))/(1-Model!$B$9)/(1+Model!$B$18)^48))</f>
        <v/>
      </c>
      <c r="BK63" s="7">
        <f>IF(A63="","",IF((A63+49)&gt;Model!$B$4,0,MAX(0,Model!$B$6-IF((A63+49)&gt;=Model!$B$11,Model!$B$20,0)-IF(49&lt;Model!$B$15,Model!$B$22,0))/(1-Model!$B$9)/(1+Model!$B$18)^49))</f>
        <v/>
      </c>
      <c r="BL63" s="7">
        <f>IF(A63="","",IF((A63+50)&gt;Model!$B$4,0,MAX(0,Model!$B$6-IF((A63+50)&gt;=Model!$B$11,Model!$B$20,0)-IF(50&lt;Model!$B$15,Model!$B$22,0))/(1-Model!$B$9)/(1+Model!$B$18)^50))</f>
        <v/>
      </c>
      <c r="BM63" s="7">
        <f>IF(A63="","",IF((A63+51)&gt;Model!$B$4,0,MAX(0,Model!$B$6-IF((A63+51)&gt;=Model!$B$11,Model!$B$20,0)-IF(51&lt;Model!$B$15,Model!$B$22,0))/(1-Model!$B$9)/(1+Model!$B$18)^51))</f>
        <v/>
      </c>
      <c r="BN63" s="7">
        <f>IF(A63="","",IF((A63+52)&gt;Model!$B$4,0,MAX(0,Model!$B$6-IF((A63+52)&gt;=Model!$B$11,Model!$B$20,0)-IF(52&lt;Model!$B$15,Model!$B$22,0))/(1-Model!$B$9)/(1+Model!$B$18)^52))</f>
        <v/>
      </c>
      <c r="BO63" s="7">
        <f>IF(A63="","",IF((A63+53)&gt;Model!$B$4,0,MAX(0,Model!$B$6-IF((A63+53)&gt;=Model!$B$11,Model!$B$20,0)-IF(53&lt;Model!$B$15,Model!$B$22,0))/(1-Model!$B$9)/(1+Model!$B$18)^53))</f>
        <v/>
      </c>
      <c r="BP63" s="7">
        <f>IF(A63="","",IF((A63+54)&gt;Model!$B$4,0,MAX(0,Model!$B$6-IF((A63+54)&gt;=Model!$B$11,Model!$B$20,0)-IF(54&lt;Model!$B$15,Model!$B$22,0))/(1-Model!$B$9)/(1+Model!$B$18)^54))</f>
        <v/>
      </c>
      <c r="BQ63" s="7">
        <f>IF(A63="","",IF((A63+55)&gt;Model!$B$4,0,MAX(0,Model!$B$6-IF((A63+55)&gt;=Model!$B$11,Model!$B$20,0)-IF(55&lt;Model!$B$15,Model!$B$22,0))/(1-Model!$B$9)/(1+Model!$B$18)^55))</f>
        <v/>
      </c>
      <c r="BR63" s="7">
        <f>IF(A63="","",IF((A63+56)&gt;Model!$B$4,0,MAX(0,Model!$B$6-IF((A63+56)&gt;=Model!$B$11,Model!$B$20,0)-IF(56&lt;Model!$B$15,Model!$B$22,0))/(1-Model!$B$9)/(1+Model!$B$18)^56))</f>
        <v/>
      </c>
      <c r="BS63" s="7">
        <f>IF(A63="","",IF((A63+57)&gt;Model!$B$4,0,MAX(0,Model!$B$6-IF((A63+57)&gt;=Model!$B$11,Model!$B$20,0)-IF(57&lt;Model!$B$15,Model!$B$22,0))/(1-Model!$B$9)/(1+Model!$B$18)^57))</f>
        <v/>
      </c>
      <c r="BT63" s="7">
        <f>IF(A63="","",IF((A63+58)&gt;Model!$B$4,0,MAX(0,Model!$B$6-IF((A63+58)&gt;=Model!$B$11,Model!$B$20,0)-IF(58&lt;Model!$B$15,Model!$B$22,0))/(1-Model!$B$9)/(1+Model!$B$18)^58))</f>
        <v/>
      </c>
      <c r="BU63" s="7">
        <f>IF(A63="","",IF((A63+59)&gt;Model!$B$4,0,MAX(0,Model!$B$6-IF((A63+59)&gt;=Model!$B$11,Model!$B$20,0)-IF(59&lt;Model!$B$15,Model!$B$22,0))/(1-Model!$B$9)/(1+Model!$B$18)^59))</f>
        <v/>
      </c>
      <c r="BV63" s="7">
        <f>IF(A63="","",IF((A63+60)&gt;Model!$B$4,0,MAX(0,Model!$B$6-IF((A63+60)&gt;=Model!$B$11,Model!$B$20,0)-IF(60&lt;Model!$B$15,Model!$B$22,0))/(1-Model!$B$9)/(1+Model!$B$18)^60))</f>
        <v/>
      </c>
      <c r="BW63" s="7">
        <f>IF(A63="","",IF((A63+61)&gt;Model!$B$4,0,MAX(0,Model!$B$6-IF((A63+61)&gt;=Model!$B$11,Model!$B$20,0)-IF(61&lt;Model!$B$15,Model!$B$22,0))/(1-Model!$B$9)/(1+Model!$B$18)^61))</f>
        <v/>
      </c>
      <c r="BX63" s="7">
        <f>IF(A63="","",IF((A63+62)&gt;Model!$B$4,0,MAX(0,Model!$B$6-IF((A63+62)&gt;=Model!$B$11,Model!$B$20,0)-IF(62&lt;Model!$B$15,Model!$B$22,0))/(1-Model!$B$9)/(1+Model!$B$18)^62))</f>
        <v/>
      </c>
      <c r="BY63" s="7">
        <f>IF(A63="","",IF((A63+63)&gt;Model!$B$4,0,MAX(0,Model!$B$6-IF((A63+63)&gt;=Model!$B$11,Model!$B$20,0)-IF(63&lt;Model!$B$15,Model!$B$22,0))/(1-Model!$B$9)/(1+Model!$B$18)^63))</f>
        <v/>
      </c>
      <c r="BZ63" s="7">
        <f>IF(A63="","",IF((A63+64)&gt;Model!$B$4,0,MAX(0,Model!$B$6-IF((A63+64)&gt;=Model!$B$11,Model!$B$20,0)-IF(64&lt;Model!$B$15,Model!$B$22,0))/(1-Model!$B$9)/(1+Model!$B$18)^64))</f>
        <v/>
      </c>
      <c r="CA63" s="7">
        <f>IF(A63="","",IF((A63+65)&gt;Model!$B$4,0,MAX(0,Model!$B$6-IF((A63+65)&gt;=Model!$B$11,Model!$B$20,0)-IF(65&lt;Model!$B$15,Model!$B$22,0))/(1-Model!$B$9)/(1+Model!$B$18)^65))</f>
        <v/>
      </c>
      <c r="CB63" s="7">
        <f>IF(A63="","",IF((A63+66)&gt;Model!$B$4,0,MAX(0,Model!$B$6-IF((A63+66)&gt;=Model!$B$11,Model!$B$20,0)-IF(66&lt;Model!$B$15,Model!$B$22,0))/(1-Model!$B$9)/(1+Model!$B$18)^66))</f>
        <v/>
      </c>
      <c r="CC63" s="7">
        <f>IF(A63="","",IF((A63+67)&gt;Model!$B$4,0,MAX(0,Model!$B$6-IF((A63+67)&gt;=Model!$B$11,Model!$B$20,0)-IF(67&lt;Model!$B$15,Model!$B$22,0))/(1-Model!$B$9)/(1+Model!$B$18)^67))</f>
        <v/>
      </c>
      <c r="CD63" s="7">
        <f>IF(A63="","",IF((A63+68)&gt;Model!$B$4,0,MAX(0,Model!$B$6-IF((A63+68)&gt;=Model!$B$11,Model!$B$20,0)-IF(68&lt;Model!$B$15,Model!$B$22,0))/(1-Model!$B$9)/(1+Model!$B$18)^68))</f>
        <v/>
      </c>
      <c r="CE63" s="7">
        <f>IF(A63="","",IF((A63+69)&gt;Model!$B$4,0,MAX(0,Model!$B$6-IF((A63+69)&gt;=Model!$B$11,Model!$B$20,0)-IF(69&lt;Model!$B$15,Model!$B$22,0))/(1-Model!$B$9)/(1+Model!$B$18)^69))</f>
        <v/>
      </c>
      <c r="CF63" s="7">
        <f>IF(A63="","",IF((A63+70)&gt;Model!$B$4,0,MAX(0,Model!$B$6-IF((A63+70)&gt;=Model!$B$11,Model!$B$20,0)-IF(70&lt;Model!$B$15,Model!$B$22,0))/(1-Model!$B$9)/(1+Model!$B$18)^70))</f>
        <v/>
      </c>
      <c r="CG63" s="7">
        <f>IF(A63="","",IF((A63+71)&gt;Model!$B$4,0,MAX(0,Model!$B$6-IF((A63+71)&gt;=Model!$B$11,Model!$B$20,0)-IF(71&lt;Model!$B$15,Model!$B$22,0))/(1-Model!$B$9)/(1+Model!$B$18)^71))</f>
        <v/>
      </c>
      <c r="CH63" s="7">
        <f>IF(A63="","",IF((A63+72)&gt;Model!$B$4,0,MAX(0,Model!$B$6-IF((A63+72)&gt;=Model!$B$11,Model!$B$20,0)-IF(72&lt;Model!$B$15,Model!$B$22,0))/(1-Model!$B$9)/(1+Model!$B$18)^72))</f>
        <v/>
      </c>
      <c r="CI63" s="7">
        <f>IF(A63="","",IF((A63+73)&gt;Model!$B$4,0,MAX(0,Model!$B$6-IF((A63+73)&gt;=Model!$B$11,Model!$B$20,0)-IF(73&lt;Model!$B$15,Model!$B$22,0))/(1-Model!$B$9)/(1+Model!$B$18)^73))</f>
        <v/>
      </c>
      <c r="CJ63" s="7">
        <f>IF(A63="","",IF((A63+74)&gt;Model!$B$4,0,MAX(0,Model!$B$6-IF((A63+74)&gt;=Model!$B$11,Model!$B$20,0)-IF(74&lt;Model!$B$15,Model!$B$22,0))/(1-Model!$B$9)/(1+Model!$B$18)^74))</f>
        <v/>
      </c>
      <c r="CK63" s="7">
        <f>IF(A63="","",IF((A63+75)&gt;Model!$B$4,0,MAX(0,Model!$B$6-IF((A63+75)&gt;=Model!$B$11,Model!$B$20,0)-IF(75&lt;Model!$B$15,Model!$B$22,0))/(1-Model!$B$9)/(1+Model!$B$18)^75))</f>
        <v/>
      </c>
      <c r="CL63" s="7">
        <f>IF(A63="","",IF((A63+76)&gt;Model!$B$4,0,MAX(0,Model!$B$6-IF((A63+76)&gt;=Model!$B$11,Model!$B$20,0)-IF(76&lt;Model!$B$15,Model!$B$22,0))/(1-Model!$B$9)/(1+Model!$B$18)^76))</f>
        <v/>
      </c>
      <c r="CM63" s="7">
        <f>IF(A63="","",IF((A63+77)&gt;Model!$B$4,0,MAX(0,Model!$B$6-IF((A63+77)&gt;=Model!$B$11,Model!$B$20,0)-IF(77&lt;Model!$B$15,Model!$B$22,0))/(1-Model!$B$9)/(1+Model!$B$18)^77))</f>
        <v/>
      </c>
      <c r="CN63" s="7">
        <f>IF(A63="","",IF((A63+78)&gt;Model!$B$4,0,MAX(0,Model!$B$6-IF((A63+78)&gt;=Model!$B$11,Model!$B$20,0)-IF(78&lt;Model!$B$15,Model!$B$22,0))/(1-Model!$B$9)/(1+Model!$B$18)^78))</f>
        <v/>
      </c>
      <c r="CO63" s="7">
        <f>IF(A63="","",IF((A63+79)&gt;Model!$B$4,0,MAX(0,Model!$B$6-IF((A63+79)&gt;=Model!$B$11,Model!$B$20,0)-IF(79&lt;Model!$B$15,Model!$B$22,0))/(1-Model!$B$9)/(1+Model!$B$18)^79))</f>
        <v/>
      </c>
      <c r="CP63" s="7">
        <f>IF(A63="","",IF((A63+80)&gt;Model!$B$4,0,MAX(0,Model!$B$6-IF((A63+80)&gt;=Model!$B$11,Model!$B$20,0)-IF(80&lt;Model!$B$15,Model!$B$22,0))/(1-Model!$B$9)/(1+Model!$B$18)^80))</f>
        <v/>
      </c>
      <c r="CQ63" s="7">
        <f>IF(A63="","",IF((A63+81)&gt;Model!$B$4,0,MAX(0,Model!$B$6-IF((A63+81)&gt;=Model!$B$11,Model!$B$20,0)-IF(81&lt;Model!$B$15,Model!$B$22,0))/(1-Model!$B$9)/(1+Model!$B$18)^81))</f>
        <v/>
      </c>
      <c r="CR63" s="7">
        <f>IF(A63="","",IF((A63+82)&gt;Model!$B$4,0,MAX(0,Model!$B$6-IF((A63+82)&gt;=Model!$B$11,Model!$B$20,0)-IF(82&lt;Model!$B$15,Model!$B$22,0))/(1-Model!$B$9)/(1+Model!$B$18)^82))</f>
        <v/>
      </c>
      <c r="CS63" s="7">
        <f>IF(A63="","",IF((A63+83)&gt;Model!$B$4,0,MAX(0,Model!$B$6-IF((A63+83)&gt;=Model!$B$11,Model!$B$20,0)-IF(83&lt;Model!$B$15,Model!$B$22,0))/(1-Model!$B$9)/(1+Model!$B$18)^83))</f>
        <v/>
      </c>
      <c r="CT63" s="7">
        <f>IF(A63="","",IF((A63+84)&gt;Model!$B$4,0,MAX(0,Model!$B$6-IF((A63+84)&gt;=Model!$B$11,Model!$B$20,0)-IF(84&lt;Model!$B$15,Model!$B$22,0))/(1-Model!$B$9)/(1+Model!$B$18)^84))</f>
        <v/>
      </c>
      <c r="CU63" s="7">
        <f>IF(A63="","",IF((A63+85)&gt;Model!$B$4,0,MAX(0,Model!$B$6-IF((A63+85)&gt;=Model!$B$11,Model!$B$20,0)-IF(85&lt;Model!$B$15,Model!$B$22,0))/(1-Model!$B$9)/(1+Model!$B$18)^85))</f>
        <v/>
      </c>
      <c r="CV63" s="7">
        <f>IF(A63="","",IF((A63+86)&gt;Model!$B$4,0,MAX(0,Model!$B$6-IF((A63+86)&gt;=Model!$B$11,Model!$B$20,0)-IF(86&lt;Model!$B$15,Model!$B$22,0))/(1-Model!$B$9)/(1+Model!$B$18)^86))</f>
        <v/>
      </c>
      <c r="CW63" s="7">
        <f>IF(A63="","",IF((A63+87)&gt;Model!$B$4,0,MAX(0,Model!$B$6-IF((A63+87)&gt;=Model!$B$11,Model!$B$20,0)-IF(87&lt;Model!$B$15,Model!$B$22,0))/(1-Model!$B$9)/(1+Model!$B$18)^87))</f>
        <v/>
      </c>
      <c r="CX63" s="7">
        <f>IF(A63="","",IF((A63+88)&gt;Model!$B$4,0,MAX(0,Model!$B$6-IF((A63+88)&gt;=Model!$B$11,Model!$B$20,0)-IF(88&lt;Model!$B$15,Model!$B$22,0))/(1-Model!$B$9)/(1+Model!$B$18)^88))</f>
        <v/>
      </c>
      <c r="CY63" s="7">
        <f>IF(A63="","",IF((A63+89)&gt;Model!$B$4,0,MAX(0,Model!$B$6-IF((A63+89)&gt;=Model!$B$11,Model!$B$20,0)-IF(89&lt;Model!$B$15,Model!$B$22,0))/(1-Model!$B$9)/(1+Model!$B$18)^89))</f>
        <v/>
      </c>
      <c r="CZ63" s="7">
        <f>IF(A63="","",IF((A63+90)&gt;Model!$B$4,0,MAX(0,Model!$B$6-IF((A63+90)&gt;=Model!$B$11,Model!$B$20,0)-IF(90&lt;Model!$B$15,Model!$B$22,0))/(1-Model!$B$9)/(1+Model!$B$18)^90))</f>
        <v/>
      </c>
      <c r="DA63" s="7">
        <f>IF(A63="","",IF((A63+91)&gt;Model!$B$4,0,MAX(0,Model!$B$6-IF((A63+91)&gt;=Model!$B$11,Model!$B$20,0)-IF(91&lt;Model!$B$15,Model!$B$22,0))/(1-Model!$B$9)/(1+Model!$B$18)^91))</f>
        <v/>
      </c>
      <c r="DB63" s="7">
        <f>IF(A63="","",IF((A63+92)&gt;Model!$B$4,0,MAX(0,Model!$B$6-IF((A63+92)&gt;=Model!$B$11,Model!$B$20,0)-IF(92&lt;Model!$B$15,Model!$B$22,0))/(1-Model!$B$9)/(1+Model!$B$18)^92))</f>
        <v/>
      </c>
      <c r="DC63" s="7">
        <f>IF(A63="","",IF((A63+93)&gt;Model!$B$4,0,MAX(0,Model!$B$6-IF((A63+93)&gt;=Model!$B$11,Model!$B$20,0)-IF(93&lt;Model!$B$15,Model!$B$22,0))/(1-Model!$B$9)/(1+Model!$B$18)^93))</f>
        <v/>
      </c>
      <c r="DD63" s="7">
        <f>IF(A63="","",IF((A63+94)&gt;Model!$B$4,0,MAX(0,Model!$B$6-IF((A63+94)&gt;=Model!$B$11,Model!$B$20,0)-IF(94&lt;Model!$B$15,Model!$B$22,0))/(1-Model!$B$9)/(1+Model!$B$18)^94))</f>
        <v/>
      </c>
      <c r="DE63" s="7">
        <f>IF(A63="","",IF((A63+95)&gt;Model!$B$4,0,MAX(0,Model!$B$6-IF((A63+95)&gt;=Model!$B$11,Model!$B$20,0)-IF(95&lt;Model!$B$15,Model!$B$22,0))/(1-Model!$B$9)/(1+Model!$B$18)^95))</f>
        <v/>
      </c>
      <c r="DF63" s="7">
        <f>IF(A63="","",IF((A63+96)&gt;Model!$B$4,0,MAX(0,Model!$B$6-IF((A63+96)&gt;=Model!$B$11,Model!$B$20,0)-IF(96&lt;Model!$B$15,Model!$B$22,0))/(1-Model!$B$9)/(1+Model!$B$18)^96))</f>
        <v/>
      </c>
      <c r="DG63" s="7">
        <f>IF(A63="","",IF((A63+97)&gt;Model!$B$4,0,MAX(0,Model!$B$6-IF((A63+97)&gt;=Model!$B$11,Model!$B$20,0)-IF(97&lt;Model!$B$15,Model!$B$22,0))/(1-Model!$B$9)/(1+Model!$B$18)^97))</f>
        <v/>
      </c>
      <c r="DH63" s="7">
        <f>IF(A63="","",IF((A63+98)&gt;Model!$B$4,0,MAX(0,Model!$B$6-IF((A63+98)&gt;=Model!$B$11,Model!$B$20,0)-IF(98&lt;Model!$B$15,Model!$B$22,0))/(1-Model!$B$9)/(1+Model!$B$18)^98))</f>
        <v/>
      </c>
      <c r="DI63" s="7">
        <f>IF(A63="","",IF((A63+99)&gt;Model!$B$4,0,MAX(0,Model!$B$6-IF((A63+99)&gt;=Model!$B$11,Model!$B$20,0)-IF(99&lt;Model!$B$15,Model!$B$22,0))/(1-Model!$B$9)/(1+Model!$B$18)^99))</f>
        <v/>
      </c>
      <c r="DJ63" s="7">
        <f>IF(A63="","",IF((A63+100)&gt;Model!$B$4,0,MAX(0,Model!$B$6-IF((A63+100)&gt;=Model!$B$11,Model!$B$20,0)-IF(100&lt;Model!$B$15,Model!$B$22,0))/(1-Model!$B$9)/(1+Model!$B$18)^100))</f>
        <v/>
      </c>
      <c r="DK63" s="7">
        <f>IF(A63="","",IF((A63+101)&gt;Model!$B$4,0,MAX(0,Model!$B$6-IF((A63+101)&gt;=Model!$B$11,Model!$B$20,0)-IF(101&lt;Model!$B$15,Model!$B$22,0))/(1-Model!$B$9)/(1+Model!$B$18)^101))</f>
        <v/>
      </c>
      <c r="DL63" s="7">
        <f>IF(A63="","",IF((A63+102)&gt;Model!$B$4,0,MAX(0,Model!$B$6-IF((A63+102)&gt;=Model!$B$11,Model!$B$20,0)-IF(102&lt;Model!$B$15,Model!$B$22,0))/(1-Model!$B$9)/(1+Model!$B$18)^102))</f>
        <v/>
      </c>
      <c r="DM63" s="7">
        <f>IF(A63="","",IF((A63+103)&gt;Model!$B$4,0,MAX(0,Model!$B$6-IF((A63+103)&gt;=Model!$B$11,Model!$B$20,0)-IF(103&lt;Model!$B$15,Model!$B$22,0))/(1-Model!$B$9)/(1+Model!$B$18)^103))</f>
        <v/>
      </c>
      <c r="DN63" s="7">
        <f>IF(A63="","",IF((A63+104)&gt;Model!$B$4,0,MAX(0,Model!$B$6-IF((A63+104)&gt;=Model!$B$11,Model!$B$20,0)-IF(104&lt;Model!$B$15,Model!$B$22,0))/(1-Model!$B$9)/(1+Model!$B$18)^104))</f>
        <v/>
      </c>
      <c r="DO63" s="7">
        <f>IF(A63="","",IF((A63+105)&gt;Model!$B$4,0,MAX(0,Model!$B$6-IF((A63+105)&gt;=Model!$B$11,Model!$B$20,0)-IF(105&lt;Model!$B$15,Model!$B$22,0))/(1-Model!$B$9)/(1+Model!$B$18)^105))</f>
        <v/>
      </c>
      <c r="DP63" s="7">
        <f>IF(A63="","",IF((A63+106)&gt;Model!$B$4,0,MAX(0,Model!$B$6-IF((A63+106)&gt;=Model!$B$11,Model!$B$20,0)-IF(106&lt;Model!$B$15,Model!$B$22,0))/(1-Model!$B$9)/(1+Model!$B$18)^106))</f>
        <v/>
      </c>
      <c r="DQ63" s="7">
        <f>IF(A63="","",IF((A63+107)&gt;Model!$B$4,0,MAX(0,Model!$B$6-IF((A63+107)&gt;=Model!$B$11,Model!$B$20,0)-IF(107&lt;Model!$B$15,Model!$B$22,0))/(1-Model!$B$9)/(1+Model!$B$18)^107))</f>
        <v/>
      </c>
      <c r="DR63" s="7">
        <f>IF(A63="","",IF((A63+108)&gt;Model!$B$4,0,MAX(0,Model!$B$6-IF((A63+108)&gt;=Model!$B$11,Model!$B$20,0)-IF(108&lt;Model!$B$15,Model!$B$22,0))/(1-Model!$B$9)/(1+Model!$B$18)^108))</f>
        <v/>
      </c>
      <c r="DS63" s="7">
        <f>IF(A63="","",IF((A63+109)&gt;Model!$B$4,0,MAX(0,Model!$B$6-IF((A63+109)&gt;=Model!$B$11,Model!$B$20,0)-IF(109&lt;Model!$B$15,Model!$B$22,0))/(1-Model!$B$9)/(1+Model!$B$18)^109))</f>
        <v/>
      </c>
      <c r="DT63" s="7">
        <f>IF(A63="","",IF((A63+110)&gt;Model!$B$4,0,MAX(0,Model!$B$6-IF((A63+110)&gt;=Model!$B$11,Model!$B$20,0)-IF(110&lt;Model!$B$15,Model!$B$22,0))/(1-Model!$B$9)/(1+Model!$B$18)^110))</f>
        <v/>
      </c>
      <c r="DU63" s="7">
        <f>IF(A63="","",IF((A63+111)&gt;Model!$B$4,0,MAX(0,Model!$B$6-IF((A63+111)&gt;=Model!$B$11,Model!$B$20,0)-IF(111&lt;Model!$B$15,Model!$B$22,0))/(1-Model!$B$9)/(1+Model!$B$18)^111))</f>
        <v/>
      </c>
      <c r="DV63" s="7">
        <f>IF(A63="","",IF((A63+112)&gt;Model!$B$4,0,MAX(0,Model!$B$6-IF((A63+112)&gt;=Model!$B$11,Model!$B$20,0)-IF(112&lt;Model!$B$15,Model!$B$22,0))/(1-Model!$B$9)/(1+Model!$B$18)^112))</f>
        <v/>
      </c>
      <c r="DW63" s="7">
        <f>IF(A63="","",IF((A63+113)&gt;Model!$B$4,0,MAX(0,Model!$B$6-IF((A63+113)&gt;=Model!$B$11,Model!$B$20,0)-IF(113&lt;Model!$B$15,Model!$B$22,0))/(1-Model!$B$9)/(1+Model!$B$18)^113))</f>
        <v/>
      </c>
      <c r="DX63" s="7">
        <f>IF(A63="","",IF((A63+114)&gt;Model!$B$4,0,MAX(0,Model!$B$6-IF((A63+114)&gt;=Model!$B$11,Model!$B$20,0)-IF(114&lt;Model!$B$15,Model!$B$22,0))/(1-Model!$B$9)/(1+Model!$B$18)^114))</f>
        <v/>
      </c>
      <c r="DY63" s="7">
        <f>IF(A63="","",IF((A63+115)&gt;Model!$B$4,0,MAX(0,Model!$B$6-IF((A63+115)&gt;=Model!$B$11,Model!$B$20,0)-IF(115&lt;Model!$B$15,Model!$B$22,0))/(1-Model!$B$9)/(1+Model!$B$18)^115))</f>
        <v/>
      </c>
      <c r="DZ63" s="7">
        <f>IF(A63="","",IF((A63+116)&gt;Model!$B$4,0,MAX(0,Model!$B$6-IF((A63+116)&gt;=Model!$B$11,Model!$B$20,0)-IF(116&lt;Model!$B$15,Model!$B$22,0))/(1-Model!$B$9)/(1+Model!$B$18)^116))</f>
        <v/>
      </c>
      <c r="EA63" s="7">
        <f>IF(A63="","",IF((A63+117)&gt;Model!$B$4,0,MAX(0,Model!$B$6-IF((A63+117)&gt;=Model!$B$11,Model!$B$20,0)-IF(117&lt;Model!$B$15,Model!$B$22,0))/(1-Model!$B$9)/(1+Model!$B$18)^117))</f>
        <v/>
      </c>
      <c r="EB63" s="7">
        <f>IF(A63="","",IF((A63+118)&gt;Model!$B$4,0,MAX(0,Model!$B$6-IF((A63+118)&gt;=Model!$B$11,Model!$B$20,0)-IF(118&lt;Model!$B$15,Model!$B$22,0))/(1-Model!$B$9)/(1+Model!$B$18)^118))</f>
        <v/>
      </c>
      <c r="EC63" s="7">
        <f>IF(A63="","",IF((A63+119)&gt;Model!$B$4,0,MAX(0,Model!$B$6-IF((A63+119)&gt;=Model!$B$11,Model!$B$20,0)-IF(119&lt;Model!$B$15,Model!$B$22,0))/(1-Model!$B$9)/(1+Model!$B$18)^119))</f>
        <v/>
      </c>
      <c r="ED63" s="7">
        <f>IF(A63="","",IF((A63+120)&gt;Model!$B$4,0,MAX(0,Model!$B$6-IF((A63+120)&gt;=Model!$B$11,Model!$B$20,0)-IF(120&lt;Model!$B$15,Model!$B$22,0))/(1-Model!$B$9)/(1+Model!$B$18)^120))</f>
        <v/>
      </c>
    </row>
    <row r="64">
      <c r="A64">
        <f>IF(Model!$B$10+ROW()-2&lt;=Model!$B$4,Model!$B$10+ROW()-2,"")</f>
        <v/>
      </c>
      <c r="B64">
        <f>IF(A64="","",A64-Model!$B$10)</f>
        <v/>
      </c>
      <c r="C64" s="7">
        <f>IF(A64="","",Model!$B$5*(1+Model!$B$18)^B64)</f>
        <v/>
      </c>
      <c r="D64" s="7">
        <f>IF(A64="","",SUM(N64:ED64))</f>
        <v/>
      </c>
      <c r="E64" s="7">
        <f>IF(A64="","",IF(A64&gt;=Model!$B$11,Model!$B$20,0))</f>
        <v/>
      </c>
      <c r="F64" s="7">
        <f>IF(A64="","",IF(Model!$B$15&gt;0,Model!$B$22,0))</f>
        <v/>
      </c>
      <c r="G64" s="7">
        <f>IF(A64="","",E64+F64)</f>
        <v/>
      </c>
      <c r="H64" s="7">
        <f>IF(A64="","",MAX(0,Model!$B$6-G64))</f>
        <v/>
      </c>
      <c r="I64" s="7">
        <f>IF(A64="","",H64/(1-Model!$B$9))</f>
        <v/>
      </c>
      <c r="J64" s="7">
        <f>IF(A64="","",C64-D64)</f>
        <v/>
      </c>
      <c r="K64">
        <f>IF(A64="","",C64&gt;=D64)</f>
        <v/>
      </c>
      <c r="L64" s="7">
        <f>IF(A64="","",IF(A64&gt;=Model!$B$11,Model!$B$19*(1+Model!$B$13)^B64,0))</f>
        <v/>
      </c>
      <c r="M64" s="7">
        <f>IF(A64="","",IF(Model!$B$15&gt;0,Model!$B$21*(1+Model!$B$13)^B64,0))</f>
        <v/>
      </c>
      <c r="N64" s="7">
        <f>IF(A64="","",IF((A64+0)&gt;Model!$B$4,0,MAX(0,Model!$B$6-IF((A64+0)&gt;=Model!$B$11,Model!$B$20,0)-IF(0&lt;Model!$B$15,Model!$B$22,0))/(1-Model!$B$9)/(1+Model!$B$18)^0))</f>
        <v/>
      </c>
      <c r="O64" s="7">
        <f>IF(A64="","",IF((A64+1)&gt;Model!$B$4,0,MAX(0,Model!$B$6-IF((A64+1)&gt;=Model!$B$11,Model!$B$20,0)-IF(1&lt;Model!$B$15,Model!$B$22,0))/(1-Model!$B$9)/(1+Model!$B$18)^1))</f>
        <v/>
      </c>
      <c r="P64" s="7">
        <f>IF(A64="","",IF((A64+2)&gt;Model!$B$4,0,MAX(0,Model!$B$6-IF((A64+2)&gt;=Model!$B$11,Model!$B$20,0)-IF(2&lt;Model!$B$15,Model!$B$22,0))/(1-Model!$B$9)/(1+Model!$B$18)^2))</f>
        <v/>
      </c>
      <c r="Q64" s="7">
        <f>IF(A64="","",IF((A64+3)&gt;Model!$B$4,0,MAX(0,Model!$B$6-IF((A64+3)&gt;=Model!$B$11,Model!$B$20,0)-IF(3&lt;Model!$B$15,Model!$B$22,0))/(1-Model!$B$9)/(1+Model!$B$18)^3))</f>
        <v/>
      </c>
      <c r="R64" s="7">
        <f>IF(A64="","",IF((A64+4)&gt;Model!$B$4,0,MAX(0,Model!$B$6-IF((A64+4)&gt;=Model!$B$11,Model!$B$20,0)-IF(4&lt;Model!$B$15,Model!$B$22,0))/(1-Model!$B$9)/(1+Model!$B$18)^4))</f>
        <v/>
      </c>
      <c r="S64" s="7">
        <f>IF(A64="","",IF((A64+5)&gt;Model!$B$4,0,MAX(0,Model!$B$6-IF((A64+5)&gt;=Model!$B$11,Model!$B$20,0)-IF(5&lt;Model!$B$15,Model!$B$22,0))/(1-Model!$B$9)/(1+Model!$B$18)^5))</f>
        <v/>
      </c>
      <c r="T64" s="7">
        <f>IF(A64="","",IF((A64+6)&gt;Model!$B$4,0,MAX(0,Model!$B$6-IF((A64+6)&gt;=Model!$B$11,Model!$B$20,0)-IF(6&lt;Model!$B$15,Model!$B$22,0))/(1-Model!$B$9)/(1+Model!$B$18)^6))</f>
        <v/>
      </c>
      <c r="U64" s="7">
        <f>IF(A64="","",IF((A64+7)&gt;Model!$B$4,0,MAX(0,Model!$B$6-IF((A64+7)&gt;=Model!$B$11,Model!$B$20,0)-IF(7&lt;Model!$B$15,Model!$B$22,0))/(1-Model!$B$9)/(1+Model!$B$18)^7))</f>
        <v/>
      </c>
      <c r="V64" s="7">
        <f>IF(A64="","",IF((A64+8)&gt;Model!$B$4,0,MAX(0,Model!$B$6-IF((A64+8)&gt;=Model!$B$11,Model!$B$20,0)-IF(8&lt;Model!$B$15,Model!$B$22,0))/(1-Model!$B$9)/(1+Model!$B$18)^8))</f>
        <v/>
      </c>
      <c r="W64" s="7">
        <f>IF(A64="","",IF((A64+9)&gt;Model!$B$4,0,MAX(0,Model!$B$6-IF((A64+9)&gt;=Model!$B$11,Model!$B$20,0)-IF(9&lt;Model!$B$15,Model!$B$22,0))/(1-Model!$B$9)/(1+Model!$B$18)^9))</f>
        <v/>
      </c>
      <c r="X64" s="7">
        <f>IF(A64="","",IF((A64+10)&gt;Model!$B$4,0,MAX(0,Model!$B$6-IF((A64+10)&gt;=Model!$B$11,Model!$B$20,0)-IF(10&lt;Model!$B$15,Model!$B$22,0))/(1-Model!$B$9)/(1+Model!$B$18)^10))</f>
        <v/>
      </c>
      <c r="Y64" s="7">
        <f>IF(A64="","",IF((A64+11)&gt;Model!$B$4,0,MAX(0,Model!$B$6-IF((A64+11)&gt;=Model!$B$11,Model!$B$20,0)-IF(11&lt;Model!$B$15,Model!$B$22,0))/(1-Model!$B$9)/(1+Model!$B$18)^11))</f>
        <v/>
      </c>
      <c r="Z64" s="7">
        <f>IF(A64="","",IF((A64+12)&gt;Model!$B$4,0,MAX(0,Model!$B$6-IF((A64+12)&gt;=Model!$B$11,Model!$B$20,0)-IF(12&lt;Model!$B$15,Model!$B$22,0))/(1-Model!$B$9)/(1+Model!$B$18)^12))</f>
        <v/>
      </c>
      <c r="AA64" s="7">
        <f>IF(A64="","",IF((A64+13)&gt;Model!$B$4,0,MAX(0,Model!$B$6-IF((A64+13)&gt;=Model!$B$11,Model!$B$20,0)-IF(13&lt;Model!$B$15,Model!$B$22,0))/(1-Model!$B$9)/(1+Model!$B$18)^13))</f>
        <v/>
      </c>
      <c r="AB64" s="7">
        <f>IF(A64="","",IF((A64+14)&gt;Model!$B$4,0,MAX(0,Model!$B$6-IF((A64+14)&gt;=Model!$B$11,Model!$B$20,0)-IF(14&lt;Model!$B$15,Model!$B$22,0))/(1-Model!$B$9)/(1+Model!$B$18)^14))</f>
        <v/>
      </c>
      <c r="AC64" s="7">
        <f>IF(A64="","",IF((A64+15)&gt;Model!$B$4,0,MAX(0,Model!$B$6-IF((A64+15)&gt;=Model!$B$11,Model!$B$20,0)-IF(15&lt;Model!$B$15,Model!$B$22,0))/(1-Model!$B$9)/(1+Model!$B$18)^15))</f>
        <v/>
      </c>
      <c r="AD64" s="7">
        <f>IF(A64="","",IF((A64+16)&gt;Model!$B$4,0,MAX(0,Model!$B$6-IF((A64+16)&gt;=Model!$B$11,Model!$B$20,0)-IF(16&lt;Model!$B$15,Model!$B$22,0))/(1-Model!$B$9)/(1+Model!$B$18)^16))</f>
        <v/>
      </c>
      <c r="AE64" s="7">
        <f>IF(A64="","",IF((A64+17)&gt;Model!$B$4,0,MAX(0,Model!$B$6-IF((A64+17)&gt;=Model!$B$11,Model!$B$20,0)-IF(17&lt;Model!$B$15,Model!$B$22,0))/(1-Model!$B$9)/(1+Model!$B$18)^17))</f>
        <v/>
      </c>
      <c r="AF64" s="7">
        <f>IF(A64="","",IF((A64+18)&gt;Model!$B$4,0,MAX(0,Model!$B$6-IF((A64+18)&gt;=Model!$B$11,Model!$B$20,0)-IF(18&lt;Model!$B$15,Model!$B$22,0))/(1-Model!$B$9)/(1+Model!$B$18)^18))</f>
        <v/>
      </c>
      <c r="AG64" s="7">
        <f>IF(A64="","",IF((A64+19)&gt;Model!$B$4,0,MAX(0,Model!$B$6-IF((A64+19)&gt;=Model!$B$11,Model!$B$20,0)-IF(19&lt;Model!$B$15,Model!$B$22,0))/(1-Model!$B$9)/(1+Model!$B$18)^19))</f>
        <v/>
      </c>
      <c r="AH64" s="7">
        <f>IF(A64="","",IF((A64+20)&gt;Model!$B$4,0,MAX(0,Model!$B$6-IF((A64+20)&gt;=Model!$B$11,Model!$B$20,0)-IF(20&lt;Model!$B$15,Model!$B$22,0))/(1-Model!$B$9)/(1+Model!$B$18)^20))</f>
        <v/>
      </c>
      <c r="AI64" s="7">
        <f>IF(A64="","",IF((A64+21)&gt;Model!$B$4,0,MAX(0,Model!$B$6-IF((A64+21)&gt;=Model!$B$11,Model!$B$20,0)-IF(21&lt;Model!$B$15,Model!$B$22,0))/(1-Model!$B$9)/(1+Model!$B$18)^21))</f>
        <v/>
      </c>
      <c r="AJ64" s="7">
        <f>IF(A64="","",IF((A64+22)&gt;Model!$B$4,0,MAX(0,Model!$B$6-IF((A64+22)&gt;=Model!$B$11,Model!$B$20,0)-IF(22&lt;Model!$B$15,Model!$B$22,0))/(1-Model!$B$9)/(1+Model!$B$18)^22))</f>
        <v/>
      </c>
      <c r="AK64" s="7">
        <f>IF(A64="","",IF((A64+23)&gt;Model!$B$4,0,MAX(0,Model!$B$6-IF((A64+23)&gt;=Model!$B$11,Model!$B$20,0)-IF(23&lt;Model!$B$15,Model!$B$22,0))/(1-Model!$B$9)/(1+Model!$B$18)^23))</f>
        <v/>
      </c>
      <c r="AL64" s="7">
        <f>IF(A64="","",IF((A64+24)&gt;Model!$B$4,0,MAX(0,Model!$B$6-IF((A64+24)&gt;=Model!$B$11,Model!$B$20,0)-IF(24&lt;Model!$B$15,Model!$B$22,0))/(1-Model!$B$9)/(1+Model!$B$18)^24))</f>
        <v/>
      </c>
      <c r="AM64" s="7">
        <f>IF(A64="","",IF((A64+25)&gt;Model!$B$4,0,MAX(0,Model!$B$6-IF((A64+25)&gt;=Model!$B$11,Model!$B$20,0)-IF(25&lt;Model!$B$15,Model!$B$22,0))/(1-Model!$B$9)/(1+Model!$B$18)^25))</f>
        <v/>
      </c>
      <c r="AN64" s="7">
        <f>IF(A64="","",IF((A64+26)&gt;Model!$B$4,0,MAX(0,Model!$B$6-IF((A64+26)&gt;=Model!$B$11,Model!$B$20,0)-IF(26&lt;Model!$B$15,Model!$B$22,0))/(1-Model!$B$9)/(1+Model!$B$18)^26))</f>
        <v/>
      </c>
      <c r="AO64" s="7">
        <f>IF(A64="","",IF((A64+27)&gt;Model!$B$4,0,MAX(0,Model!$B$6-IF((A64+27)&gt;=Model!$B$11,Model!$B$20,0)-IF(27&lt;Model!$B$15,Model!$B$22,0))/(1-Model!$B$9)/(1+Model!$B$18)^27))</f>
        <v/>
      </c>
      <c r="AP64" s="7">
        <f>IF(A64="","",IF((A64+28)&gt;Model!$B$4,0,MAX(0,Model!$B$6-IF((A64+28)&gt;=Model!$B$11,Model!$B$20,0)-IF(28&lt;Model!$B$15,Model!$B$22,0))/(1-Model!$B$9)/(1+Model!$B$18)^28))</f>
        <v/>
      </c>
      <c r="AQ64" s="7">
        <f>IF(A64="","",IF((A64+29)&gt;Model!$B$4,0,MAX(0,Model!$B$6-IF((A64+29)&gt;=Model!$B$11,Model!$B$20,0)-IF(29&lt;Model!$B$15,Model!$B$22,0))/(1-Model!$B$9)/(1+Model!$B$18)^29))</f>
        <v/>
      </c>
      <c r="AR64" s="7">
        <f>IF(A64="","",IF((A64+30)&gt;Model!$B$4,0,MAX(0,Model!$B$6-IF((A64+30)&gt;=Model!$B$11,Model!$B$20,0)-IF(30&lt;Model!$B$15,Model!$B$22,0))/(1-Model!$B$9)/(1+Model!$B$18)^30))</f>
        <v/>
      </c>
      <c r="AS64" s="7">
        <f>IF(A64="","",IF((A64+31)&gt;Model!$B$4,0,MAX(0,Model!$B$6-IF((A64+31)&gt;=Model!$B$11,Model!$B$20,0)-IF(31&lt;Model!$B$15,Model!$B$22,0))/(1-Model!$B$9)/(1+Model!$B$18)^31))</f>
        <v/>
      </c>
      <c r="AT64" s="7">
        <f>IF(A64="","",IF((A64+32)&gt;Model!$B$4,0,MAX(0,Model!$B$6-IF((A64+32)&gt;=Model!$B$11,Model!$B$20,0)-IF(32&lt;Model!$B$15,Model!$B$22,0))/(1-Model!$B$9)/(1+Model!$B$18)^32))</f>
        <v/>
      </c>
      <c r="AU64" s="7">
        <f>IF(A64="","",IF((A64+33)&gt;Model!$B$4,0,MAX(0,Model!$B$6-IF((A64+33)&gt;=Model!$B$11,Model!$B$20,0)-IF(33&lt;Model!$B$15,Model!$B$22,0))/(1-Model!$B$9)/(1+Model!$B$18)^33))</f>
        <v/>
      </c>
      <c r="AV64" s="7">
        <f>IF(A64="","",IF((A64+34)&gt;Model!$B$4,0,MAX(0,Model!$B$6-IF((A64+34)&gt;=Model!$B$11,Model!$B$20,0)-IF(34&lt;Model!$B$15,Model!$B$22,0))/(1-Model!$B$9)/(1+Model!$B$18)^34))</f>
        <v/>
      </c>
      <c r="AW64" s="7">
        <f>IF(A64="","",IF((A64+35)&gt;Model!$B$4,0,MAX(0,Model!$B$6-IF((A64+35)&gt;=Model!$B$11,Model!$B$20,0)-IF(35&lt;Model!$B$15,Model!$B$22,0))/(1-Model!$B$9)/(1+Model!$B$18)^35))</f>
        <v/>
      </c>
      <c r="AX64" s="7">
        <f>IF(A64="","",IF((A64+36)&gt;Model!$B$4,0,MAX(0,Model!$B$6-IF((A64+36)&gt;=Model!$B$11,Model!$B$20,0)-IF(36&lt;Model!$B$15,Model!$B$22,0))/(1-Model!$B$9)/(1+Model!$B$18)^36))</f>
        <v/>
      </c>
      <c r="AY64" s="7">
        <f>IF(A64="","",IF((A64+37)&gt;Model!$B$4,0,MAX(0,Model!$B$6-IF((A64+37)&gt;=Model!$B$11,Model!$B$20,0)-IF(37&lt;Model!$B$15,Model!$B$22,0))/(1-Model!$B$9)/(1+Model!$B$18)^37))</f>
        <v/>
      </c>
      <c r="AZ64" s="7">
        <f>IF(A64="","",IF((A64+38)&gt;Model!$B$4,0,MAX(0,Model!$B$6-IF((A64+38)&gt;=Model!$B$11,Model!$B$20,0)-IF(38&lt;Model!$B$15,Model!$B$22,0))/(1-Model!$B$9)/(1+Model!$B$18)^38))</f>
        <v/>
      </c>
      <c r="BA64" s="7">
        <f>IF(A64="","",IF((A64+39)&gt;Model!$B$4,0,MAX(0,Model!$B$6-IF((A64+39)&gt;=Model!$B$11,Model!$B$20,0)-IF(39&lt;Model!$B$15,Model!$B$22,0))/(1-Model!$B$9)/(1+Model!$B$18)^39))</f>
        <v/>
      </c>
      <c r="BB64" s="7">
        <f>IF(A64="","",IF((A64+40)&gt;Model!$B$4,0,MAX(0,Model!$B$6-IF((A64+40)&gt;=Model!$B$11,Model!$B$20,0)-IF(40&lt;Model!$B$15,Model!$B$22,0))/(1-Model!$B$9)/(1+Model!$B$18)^40))</f>
        <v/>
      </c>
      <c r="BC64" s="7">
        <f>IF(A64="","",IF((A64+41)&gt;Model!$B$4,0,MAX(0,Model!$B$6-IF((A64+41)&gt;=Model!$B$11,Model!$B$20,0)-IF(41&lt;Model!$B$15,Model!$B$22,0))/(1-Model!$B$9)/(1+Model!$B$18)^41))</f>
        <v/>
      </c>
      <c r="BD64" s="7">
        <f>IF(A64="","",IF((A64+42)&gt;Model!$B$4,0,MAX(0,Model!$B$6-IF((A64+42)&gt;=Model!$B$11,Model!$B$20,0)-IF(42&lt;Model!$B$15,Model!$B$22,0))/(1-Model!$B$9)/(1+Model!$B$18)^42))</f>
        <v/>
      </c>
      <c r="BE64" s="7">
        <f>IF(A64="","",IF((A64+43)&gt;Model!$B$4,0,MAX(0,Model!$B$6-IF((A64+43)&gt;=Model!$B$11,Model!$B$20,0)-IF(43&lt;Model!$B$15,Model!$B$22,0))/(1-Model!$B$9)/(1+Model!$B$18)^43))</f>
        <v/>
      </c>
      <c r="BF64" s="7">
        <f>IF(A64="","",IF((A64+44)&gt;Model!$B$4,0,MAX(0,Model!$B$6-IF((A64+44)&gt;=Model!$B$11,Model!$B$20,0)-IF(44&lt;Model!$B$15,Model!$B$22,0))/(1-Model!$B$9)/(1+Model!$B$18)^44))</f>
        <v/>
      </c>
      <c r="BG64" s="7">
        <f>IF(A64="","",IF((A64+45)&gt;Model!$B$4,0,MAX(0,Model!$B$6-IF((A64+45)&gt;=Model!$B$11,Model!$B$20,0)-IF(45&lt;Model!$B$15,Model!$B$22,0))/(1-Model!$B$9)/(1+Model!$B$18)^45))</f>
        <v/>
      </c>
      <c r="BH64" s="7">
        <f>IF(A64="","",IF((A64+46)&gt;Model!$B$4,0,MAX(0,Model!$B$6-IF((A64+46)&gt;=Model!$B$11,Model!$B$20,0)-IF(46&lt;Model!$B$15,Model!$B$22,0))/(1-Model!$B$9)/(1+Model!$B$18)^46))</f>
        <v/>
      </c>
      <c r="BI64" s="7">
        <f>IF(A64="","",IF((A64+47)&gt;Model!$B$4,0,MAX(0,Model!$B$6-IF((A64+47)&gt;=Model!$B$11,Model!$B$20,0)-IF(47&lt;Model!$B$15,Model!$B$22,0))/(1-Model!$B$9)/(1+Model!$B$18)^47))</f>
        <v/>
      </c>
      <c r="BJ64" s="7">
        <f>IF(A64="","",IF((A64+48)&gt;Model!$B$4,0,MAX(0,Model!$B$6-IF((A64+48)&gt;=Model!$B$11,Model!$B$20,0)-IF(48&lt;Model!$B$15,Model!$B$22,0))/(1-Model!$B$9)/(1+Model!$B$18)^48))</f>
        <v/>
      </c>
      <c r="BK64" s="7">
        <f>IF(A64="","",IF((A64+49)&gt;Model!$B$4,0,MAX(0,Model!$B$6-IF((A64+49)&gt;=Model!$B$11,Model!$B$20,0)-IF(49&lt;Model!$B$15,Model!$B$22,0))/(1-Model!$B$9)/(1+Model!$B$18)^49))</f>
        <v/>
      </c>
      <c r="BL64" s="7">
        <f>IF(A64="","",IF((A64+50)&gt;Model!$B$4,0,MAX(0,Model!$B$6-IF((A64+50)&gt;=Model!$B$11,Model!$B$20,0)-IF(50&lt;Model!$B$15,Model!$B$22,0))/(1-Model!$B$9)/(1+Model!$B$18)^50))</f>
        <v/>
      </c>
      <c r="BM64" s="7">
        <f>IF(A64="","",IF((A64+51)&gt;Model!$B$4,0,MAX(0,Model!$B$6-IF((A64+51)&gt;=Model!$B$11,Model!$B$20,0)-IF(51&lt;Model!$B$15,Model!$B$22,0))/(1-Model!$B$9)/(1+Model!$B$18)^51))</f>
        <v/>
      </c>
      <c r="BN64" s="7">
        <f>IF(A64="","",IF((A64+52)&gt;Model!$B$4,0,MAX(0,Model!$B$6-IF((A64+52)&gt;=Model!$B$11,Model!$B$20,0)-IF(52&lt;Model!$B$15,Model!$B$22,0))/(1-Model!$B$9)/(1+Model!$B$18)^52))</f>
        <v/>
      </c>
      <c r="BO64" s="7">
        <f>IF(A64="","",IF((A64+53)&gt;Model!$B$4,0,MAX(0,Model!$B$6-IF((A64+53)&gt;=Model!$B$11,Model!$B$20,0)-IF(53&lt;Model!$B$15,Model!$B$22,0))/(1-Model!$B$9)/(1+Model!$B$18)^53))</f>
        <v/>
      </c>
      <c r="BP64" s="7">
        <f>IF(A64="","",IF((A64+54)&gt;Model!$B$4,0,MAX(0,Model!$B$6-IF((A64+54)&gt;=Model!$B$11,Model!$B$20,0)-IF(54&lt;Model!$B$15,Model!$B$22,0))/(1-Model!$B$9)/(1+Model!$B$18)^54))</f>
        <v/>
      </c>
      <c r="BQ64" s="7">
        <f>IF(A64="","",IF((A64+55)&gt;Model!$B$4,0,MAX(0,Model!$B$6-IF((A64+55)&gt;=Model!$B$11,Model!$B$20,0)-IF(55&lt;Model!$B$15,Model!$B$22,0))/(1-Model!$B$9)/(1+Model!$B$18)^55))</f>
        <v/>
      </c>
      <c r="BR64" s="7">
        <f>IF(A64="","",IF((A64+56)&gt;Model!$B$4,0,MAX(0,Model!$B$6-IF((A64+56)&gt;=Model!$B$11,Model!$B$20,0)-IF(56&lt;Model!$B$15,Model!$B$22,0))/(1-Model!$B$9)/(1+Model!$B$18)^56))</f>
        <v/>
      </c>
      <c r="BS64" s="7">
        <f>IF(A64="","",IF((A64+57)&gt;Model!$B$4,0,MAX(0,Model!$B$6-IF((A64+57)&gt;=Model!$B$11,Model!$B$20,0)-IF(57&lt;Model!$B$15,Model!$B$22,0))/(1-Model!$B$9)/(1+Model!$B$18)^57))</f>
        <v/>
      </c>
      <c r="BT64" s="7">
        <f>IF(A64="","",IF((A64+58)&gt;Model!$B$4,0,MAX(0,Model!$B$6-IF((A64+58)&gt;=Model!$B$11,Model!$B$20,0)-IF(58&lt;Model!$B$15,Model!$B$22,0))/(1-Model!$B$9)/(1+Model!$B$18)^58))</f>
        <v/>
      </c>
      <c r="BU64" s="7">
        <f>IF(A64="","",IF((A64+59)&gt;Model!$B$4,0,MAX(0,Model!$B$6-IF((A64+59)&gt;=Model!$B$11,Model!$B$20,0)-IF(59&lt;Model!$B$15,Model!$B$22,0))/(1-Model!$B$9)/(1+Model!$B$18)^59))</f>
        <v/>
      </c>
      <c r="BV64" s="7">
        <f>IF(A64="","",IF((A64+60)&gt;Model!$B$4,0,MAX(0,Model!$B$6-IF((A64+60)&gt;=Model!$B$11,Model!$B$20,0)-IF(60&lt;Model!$B$15,Model!$B$22,0))/(1-Model!$B$9)/(1+Model!$B$18)^60))</f>
        <v/>
      </c>
      <c r="BW64" s="7">
        <f>IF(A64="","",IF((A64+61)&gt;Model!$B$4,0,MAX(0,Model!$B$6-IF((A64+61)&gt;=Model!$B$11,Model!$B$20,0)-IF(61&lt;Model!$B$15,Model!$B$22,0))/(1-Model!$B$9)/(1+Model!$B$18)^61))</f>
        <v/>
      </c>
      <c r="BX64" s="7">
        <f>IF(A64="","",IF((A64+62)&gt;Model!$B$4,0,MAX(0,Model!$B$6-IF((A64+62)&gt;=Model!$B$11,Model!$B$20,0)-IF(62&lt;Model!$B$15,Model!$B$22,0))/(1-Model!$B$9)/(1+Model!$B$18)^62))</f>
        <v/>
      </c>
      <c r="BY64" s="7">
        <f>IF(A64="","",IF((A64+63)&gt;Model!$B$4,0,MAX(0,Model!$B$6-IF((A64+63)&gt;=Model!$B$11,Model!$B$20,0)-IF(63&lt;Model!$B$15,Model!$B$22,0))/(1-Model!$B$9)/(1+Model!$B$18)^63))</f>
        <v/>
      </c>
      <c r="BZ64" s="7">
        <f>IF(A64="","",IF((A64+64)&gt;Model!$B$4,0,MAX(0,Model!$B$6-IF((A64+64)&gt;=Model!$B$11,Model!$B$20,0)-IF(64&lt;Model!$B$15,Model!$B$22,0))/(1-Model!$B$9)/(1+Model!$B$18)^64))</f>
        <v/>
      </c>
      <c r="CA64" s="7">
        <f>IF(A64="","",IF((A64+65)&gt;Model!$B$4,0,MAX(0,Model!$B$6-IF((A64+65)&gt;=Model!$B$11,Model!$B$20,0)-IF(65&lt;Model!$B$15,Model!$B$22,0))/(1-Model!$B$9)/(1+Model!$B$18)^65))</f>
        <v/>
      </c>
      <c r="CB64" s="7">
        <f>IF(A64="","",IF((A64+66)&gt;Model!$B$4,0,MAX(0,Model!$B$6-IF((A64+66)&gt;=Model!$B$11,Model!$B$20,0)-IF(66&lt;Model!$B$15,Model!$B$22,0))/(1-Model!$B$9)/(1+Model!$B$18)^66))</f>
        <v/>
      </c>
      <c r="CC64" s="7">
        <f>IF(A64="","",IF((A64+67)&gt;Model!$B$4,0,MAX(0,Model!$B$6-IF((A64+67)&gt;=Model!$B$11,Model!$B$20,0)-IF(67&lt;Model!$B$15,Model!$B$22,0))/(1-Model!$B$9)/(1+Model!$B$18)^67))</f>
        <v/>
      </c>
      <c r="CD64" s="7">
        <f>IF(A64="","",IF((A64+68)&gt;Model!$B$4,0,MAX(0,Model!$B$6-IF((A64+68)&gt;=Model!$B$11,Model!$B$20,0)-IF(68&lt;Model!$B$15,Model!$B$22,0))/(1-Model!$B$9)/(1+Model!$B$18)^68))</f>
        <v/>
      </c>
      <c r="CE64" s="7">
        <f>IF(A64="","",IF((A64+69)&gt;Model!$B$4,0,MAX(0,Model!$B$6-IF((A64+69)&gt;=Model!$B$11,Model!$B$20,0)-IF(69&lt;Model!$B$15,Model!$B$22,0))/(1-Model!$B$9)/(1+Model!$B$18)^69))</f>
        <v/>
      </c>
      <c r="CF64" s="7">
        <f>IF(A64="","",IF((A64+70)&gt;Model!$B$4,0,MAX(0,Model!$B$6-IF((A64+70)&gt;=Model!$B$11,Model!$B$20,0)-IF(70&lt;Model!$B$15,Model!$B$22,0))/(1-Model!$B$9)/(1+Model!$B$18)^70))</f>
        <v/>
      </c>
      <c r="CG64" s="7">
        <f>IF(A64="","",IF((A64+71)&gt;Model!$B$4,0,MAX(0,Model!$B$6-IF((A64+71)&gt;=Model!$B$11,Model!$B$20,0)-IF(71&lt;Model!$B$15,Model!$B$22,0))/(1-Model!$B$9)/(1+Model!$B$18)^71))</f>
        <v/>
      </c>
      <c r="CH64" s="7">
        <f>IF(A64="","",IF((A64+72)&gt;Model!$B$4,0,MAX(0,Model!$B$6-IF((A64+72)&gt;=Model!$B$11,Model!$B$20,0)-IF(72&lt;Model!$B$15,Model!$B$22,0))/(1-Model!$B$9)/(1+Model!$B$18)^72))</f>
        <v/>
      </c>
      <c r="CI64" s="7">
        <f>IF(A64="","",IF((A64+73)&gt;Model!$B$4,0,MAX(0,Model!$B$6-IF((A64+73)&gt;=Model!$B$11,Model!$B$20,0)-IF(73&lt;Model!$B$15,Model!$B$22,0))/(1-Model!$B$9)/(1+Model!$B$18)^73))</f>
        <v/>
      </c>
      <c r="CJ64" s="7">
        <f>IF(A64="","",IF((A64+74)&gt;Model!$B$4,0,MAX(0,Model!$B$6-IF((A64+74)&gt;=Model!$B$11,Model!$B$20,0)-IF(74&lt;Model!$B$15,Model!$B$22,0))/(1-Model!$B$9)/(1+Model!$B$18)^74))</f>
        <v/>
      </c>
      <c r="CK64" s="7">
        <f>IF(A64="","",IF((A64+75)&gt;Model!$B$4,0,MAX(0,Model!$B$6-IF((A64+75)&gt;=Model!$B$11,Model!$B$20,0)-IF(75&lt;Model!$B$15,Model!$B$22,0))/(1-Model!$B$9)/(1+Model!$B$18)^75))</f>
        <v/>
      </c>
      <c r="CL64" s="7">
        <f>IF(A64="","",IF((A64+76)&gt;Model!$B$4,0,MAX(0,Model!$B$6-IF((A64+76)&gt;=Model!$B$11,Model!$B$20,0)-IF(76&lt;Model!$B$15,Model!$B$22,0))/(1-Model!$B$9)/(1+Model!$B$18)^76))</f>
        <v/>
      </c>
      <c r="CM64" s="7">
        <f>IF(A64="","",IF((A64+77)&gt;Model!$B$4,0,MAX(0,Model!$B$6-IF((A64+77)&gt;=Model!$B$11,Model!$B$20,0)-IF(77&lt;Model!$B$15,Model!$B$22,0))/(1-Model!$B$9)/(1+Model!$B$18)^77))</f>
        <v/>
      </c>
      <c r="CN64" s="7">
        <f>IF(A64="","",IF((A64+78)&gt;Model!$B$4,0,MAX(0,Model!$B$6-IF((A64+78)&gt;=Model!$B$11,Model!$B$20,0)-IF(78&lt;Model!$B$15,Model!$B$22,0))/(1-Model!$B$9)/(1+Model!$B$18)^78))</f>
        <v/>
      </c>
      <c r="CO64" s="7">
        <f>IF(A64="","",IF((A64+79)&gt;Model!$B$4,0,MAX(0,Model!$B$6-IF((A64+79)&gt;=Model!$B$11,Model!$B$20,0)-IF(79&lt;Model!$B$15,Model!$B$22,0))/(1-Model!$B$9)/(1+Model!$B$18)^79))</f>
        <v/>
      </c>
      <c r="CP64" s="7">
        <f>IF(A64="","",IF((A64+80)&gt;Model!$B$4,0,MAX(0,Model!$B$6-IF((A64+80)&gt;=Model!$B$11,Model!$B$20,0)-IF(80&lt;Model!$B$15,Model!$B$22,0))/(1-Model!$B$9)/(1+Model!$B$18)^80))</f>
        <v/>
      </c>
      <c r="CQ64" s="7">
        <f>IF(A64="","",IF((A64+81)&gt;Model!$B$4,0,MAX(0,Model!$B$6-IF((A64+81)&gt;=Model!$B$11,Model!$B$20,0)-IF(81&lt;Model!$B$15,Model!$B$22,0))/(1-Model!$B$9)/(1+Model!$B$18)^81))</f>
        <v/>
      </c>
      <c r="CR64" s="7">
        <f>IF(A64="","",IF((A64+82)&gt;Model!$B$4,0,MAX(0,Model!$B$6-IF((A64+82)&gt;=Model!$B$11,Model!$B$20,0)-IF(82&lt;Model!$B$15,Model!$B$22,0))/(1-Model!$B$9)/(1+Model!$B$18)^82))</f>
        <v/>
      </c>
      <c r="CS64" s="7">
        <f>IF(A64="","",IF((A64+83)&gt;Model!$B$4,0,MAX(0,Model!$B$6-IF((A64+83)&gt;=Model!$B$11,Model!$B$20,0)-IF(83&lt;Model!$B$15,Model!$B$22,0))/(1-Model!$B$9)/(1+Model!$B$18)^83))</f>
        <v/>
      </c>
      <c r="CT64" s="7">
        <f>IF(A64="","",IF((A64+84)&gt;Model!$B$4,0,MAX(0,Model!$B$6-IF((A64+84)&gt;=Model!$B$11,Model!$B$20,0)-IF(84&lt;Model!$B$15,Model!$B$22,0))/(1-Model!$B$9)/(1+Model!$B$18)^84))</f>
        <v/>
      </c>
      <c r="CU64" s="7">
        <f>IF(A64="","",IF((A64+85)&gt;Model!$B$4,0,MAX(0,Model!$B$6-IF((A64+85)&gt;=Model!$B$11,Model!$B$20,0)-IF(85&lt;Model!$B$15,Model!$B$22,0))/(1-Model!$B$9)/(1+Model!$B$18)^85))</f>
        <v/>
      </c>
      <c r="CV64" s="7">
        <f>IF(A64="","",IF((A64+86)&gt;Model!$B$4,0,MAX(0,Model!$B$6-IF((A64+86)&gt;=Model!$B$11,Model!$B$20,0)-IF(86&lt;Model!$B$15,Model!$B$22,0))/(1-Model!$B$9)/(1+Model!$B$18)^86))</f>
        <v/>
      </c>
      <c r="CW64" s="7">
        <f>IF(A64="","",IF((A64+87)&gt;Model!$B$4,0,MAX(0,Model!$B$6-IF((A64+87)&gt;=Model!$B$11,Model!$B$20,0)-IF(87&lt;Model!$B$15,Model!$B$22,0))/(1-Model!$B$9)/(1+Model!$B$18)^87))</f>
        <v/>
      </c>
      <c r="CX64" s="7">
        <f>IF(A64="","",IF((A64+88)&gt;Model!$B$4,0,MAX(0,Model!$B$6-IF((A64+88)&gt;=Model!$B$11,Model!$B$20,0)-IF(88&lt;Model!$B$15,Model!$B$22,0))/(1-Model!$B$9)/(1+Model!$B$18)^88))</f>
        <v/>
      </c>
      <c r="CY64" s="7">
        <f>IF(A64="","",IF((A64+89)&gt;Model!$B$4,0,MAX(0,Model!$B$6-IF((A64+89)&gt;=Model!$B$11,Model!$B$20,0)-IF(89&lt;Model!$B$15,Model!$B$22,0))/(1-Model!$B$9)/(1+Model!$B$18)^89))</f>
        <v/>
      </c>
      <c r="CZ64" s="7">
        <f>IF(A64="","",IF((A64+90)&gt;Model!$B$4,0,MAX(0,Model!$B$6-IF((A64+90)&gt;=Model!$B$11,Model!$B$20,0)-IF(90&lt;Model!$B$15,Model!$B$22,0))/(1-Model!$B$9)/(1+Model!$B$18)^90))</f>
        <v/>
      </c>
      <c r="DA64" s="7">
        <f>IF(A64="","",IF((A64+91)&gt;Model!$B$4,0,MAX(0,Model!$B$6-IF((A64+91)&gt;=Model!$B$11,Model!$B$20,0)-IF(91&lt;Model!$B$15,Model!$B$22,0))/(1-Model!$B$9)/(1+Model!$B$18)^91))</f>
        <v/>
      </c>
      <c r="DB64" s="7">
        <f>IF(A64="","",IF((A64+92)&gt;Model!$B$4,0,MAX(0,Model!$B$6-IF((A64+92)&gt;=Model!$B$11,Model!$B$20,0)-IF(92&lt;Model!$B$15,Model!$B$22,0))/(1-Model!$B$9)/(1+Model!$B$18)^92))</f>
        <v/>
      </c>
      <c r="DC64" s="7">
        <f>IF(A64="","",IF((A64+93)&gt;Model!$B$4,0,MAX(0,Model!$B$6-IF((A64+93)&gt;=Model!$B$11,Model!$B$20,0)-IF(93&lt;Model!$B$15,Model!$B$22,0))/(1-Model!$B$9)/(1+Model!$B$18)^93))</f>
        <v/>
      </c>
      <c r="DD64" s="7">
        <f>IF(A64="","",IF((A64+94)&gt;Model!$B$4,0,MAX(0,Model!$B$6-IF((A64+94)&gt;=Model!$B$11,Model!$B$20,0)-IF(94&lt;Model!$B$15,Model!$B$22,0))/(1-Model!$B$9)/(1+Model!$B$18)^94))</f>
        <v/>
      </c>
      <c r="DE64" s="7">
        <f>IF(A64="","",IF((A64+95)&gt;Model!$B$4,0,MAX(0,Model!$B$6-IF((A64+95)&gt;=Model!$B$11,Model!$B$20,0)-IF(95&lt;Model!$B$15,Model!$B$22,0))/(1-Model!$B$9)/(1+Model!$B$18)^95))</f>
        <v/>
      </c>
      <c r="DF64" s="7">
        <f>IF(A64="","",IF((A64+96)&gt;Model!$B$4,0,MAX(0,Model!$B$6-IF((A64+96)&gt;=Model!$B$11,Model!$B$20,0)-IF(96&lt;Model!$B$15,Model!$B$22,0))/(1-Model!$B$9)/(1+Model!$B$18)^96))</f>
        <v/>
      </c>
      <c r="DG64" s="7">
        <f>IF(A64="","",IF((A64+97)&gt;Model!$B$4,0,MAX(0,Model!$B$6-IF((A64+97)&gt;=Model!$B$11,Model!$B$20,0)-IF(97&lt;Model!$B$15,Model!$B$22,0))/(1-Model!$B$9)/(1+Model!$B$18)^97))</f>
        <v/>
      </c>
      <c r="DH64" s="7">
        <f>IF(A64="","",IF((A64+98)&gt;Model!$B$4,0,MAX(0,Model!$B$6-IF((A64+98)&gt;=Model!$B$11,Model!$B$20,0)-IF(98&lt;Model!$B$15,Model!$B$22,0))/(1-Model!$B$9)/(1+Model!$B$18)^98))</f>
        <v/>
      </c>
      <c r="DI64" s="7">
        <f>IF(A64="","",IF((A64+99)&gt;Model!$B$4,0,MAX(0,Model!$B$6-IF((A64+99)&gt;=Model!$B$11,Model!$B$20,0)-IF(99&lt;Model!$B$15,Model!$B$22,0))/(1-Model!$B$9)/(1+Model!$B$18)^99))</f>
        <v/>
      </c>
      <c r="DJ64" s="7">
        <f>IF(A64="","",IF((A64+100)&gt;Model!$B$4,0,MAX(0,Model!$B$6-IF((A64+100)&gt;=Model!$B$11,Model!$B$20,0)-IF(100&lt;Model!$B$15,Model!$B$22,0))/(1-Model!$B$9)/(1+Model!$B$18)^100))</f>
        <v/>
      </c>
      <c r="DK64" s="7">
        <f>IF(A64="","",IF((A64+101)&gt;Model!$B$4,0,MAX(0,Model!$B$6-IF((A64+101)&gt;=Model!$B$11,Model!$B$20,0)-IF(101&lt;Model!$B$15,Model!$B$22,0))/(1-Model!$B$9)/(1+Model!$B$18)^101))</f>
        <v/>
      </c>
      <c r="DL64" s="7">
        <f>IF(A64="","",IF((A64+102)&gt;Model!$B$4,0,MAX(0,Model!$B$6-IF((A64+102)&gt;=Model!$B$11,Model!$B$20,0)-IF(102&lt;Model!$B$15,Model!$B$22,0))/(1-Model!$B$9)/(1+Model!$B$18)^102))</f>
        <v/>
      </c>
      <c r="DM64" s="7">
        <f>IF(A64="","",IF((A64+103)&gt;Model!$B$4,0,MAX(0,Model!$B$6-IF((A64+103)&gt;=Model!$B$11,Model!$B$20,0)-IF(103&lt;Model!$B$15,Model!$B$22,0))/(1-Model!$B$9)/(1+Model!$B$18)^103))</f>
        <v/>
      </c>
      <c r="DN64" s="7">
        <f>IF(A64="","",IF((A64+104)&gt;Model!$B$4,0,MAX(0,Model!$B$6-IF((A64+104)&gt;=Model!$B$11,Model!$B$20,0)-IF(104&lt;Model!$B$15,Model!$B$22,0))/(1-Model!$B$9)/(1+Model!$B$18)^104))</f>
        <v/>
      </c>
      <c r="DO64" s="7">
        <f>IF(A64="","",IF((A64+105)&gt;Model!$B$4,0,MAX(0,Model!$B$6-IF((A64+105)&gt;=Model!$B$11,Model!$B$20,0)-IF(105&lt;Model!$B$15,Model!$B$22,0))/(1-Model!$B$9)/(1+Model!$B$18)^105))</f>
        <v/>
      </c>
      <c r="DP64" s="7">
        <f>IF(A64="","",IF((A64+106)&gt;Model!$B$4,0,MAX(0,Model!$B$6-IF((A64+106)&gt;=Model!$B$11,Model!$B$20,0)-IF(106&lt;Model!$B$15,Model!$B$22,0))/(1-Model!$B$9)/(1+Model!$B$18)^106))</f>
        <v/>
      </c>
      <c r="DQ64" s="7">
        <f>IF(A64="","",IF((A64+107)&gt;Model!$B$4,0,MAX(0,Model!$B$6-IF((A64+107)&gt;=Model!$B$11,Model!$B$20,0)-IF(107&lt;Model!$B$15,Model!$B$22,0))/(1-Model!$B$9)/(1+Model!$B$18)^107))</f>
        <v/>
      </c>
      <c r="DR64" s="7">
        <f>IF(A64="","",IF((A64+108)&gt;Model!$B$4,0,MAX(0,Model!$B$6-IF((A64+108)&gt;=Model!$B$11,Model!$B$20,0)-IF(108&lt;Model!$B$15,Model!$B$22,0))/(1-Model!$B$9)/(1+Model!$B$18)^108))</f>
        <v/>
      </c>
      <c r="DS64" s="7">
        <f>IF(A64="","",IF((A64+109)&gt;Model!$B$4,0,MAX(0,Model!$B$6-IF((A64+109)&gt;=Model!$B$11,Model!$B$20,0)-IF(109&lt;Model!$B$15,Model!$B$22,0))/(1-Model!$B$9)/(1+Model!$B$18)^109))</f>
        <v/>
      </c>
      <c r="DT64" s="7">
        <f>IF(A64="","",IF((A64+110)&gt;Model!$B$4,0,MAX(0,Model!$B$6-IF((A64+110)&gt;=Model!$B$11,Model!$B$20,0)-IF(110&lt;Model!$B$15,Model!$B$22,0))/(1-Model!$B$9)/(1+Model!$B$18)^110))</f>
        <v/>
      </c>
      <c r="DU64" s="7">
        <f>IF(A64="","",IF((A64+111)&gt;Model!$B$4,0,MAX(0,Model!$B$6-IF((A64+111)&gt;=Model!$B$11,Model!$B$20,0)-IF(111&lt;Model!$B$15,Model!$B$22,0))/(1-Model!$B$9)/(1+Model!$B$18)^111))</f>
        <v/>
      </c>
      <c r="DV64" s="7">
        <f>IF(A64="","",IF((A64+112)&gt;Model!$B$4,0,MAX(0,Model!$B$6-IF((A64+112)&gt;=Model!$B$11,Model!$B$20,0)-IF(112&lt;Model!$B$15,Model!$B$22,0))/(1-Model!$B$9)/(1+Model!$B$18)^112))</f>
        <v/>
      </c>
      <c r="DW64" s="7">
        <f>IF(A64="","",IF((A64+113)&gt;Model!$B$4,0,MAX(0,Model!$B$6-IF((A64+113)&gt;=Model!$B$11,Model!$B$20,0)-IF(113&lt;Model!$B$15,Model!$B$22,0))/(1-Model!$B$9)/(1+Model!$B$18)^113))</f>
        <v/>
      </c>
      <c r="DX64" s="7">
        <f>IF(A64="","",IF((A64+114)&gt;Model!$B$4,0,MAX(0,Model!$B$6-IF((A64+114)&gt;=Model!$B$11,Model!$B$20,0)-IF(114&lt;Model!$B$15,Model!$B$22,0))/(1-Model!$B$9)/(1+Model!$B$18)^114))</f>
        <v/>
      </c>
      <c r="DY64" s="7">
        <f>IF(A64="","",IF((A64+115)&gt;Model!$B$4,0,MAX(0,Model!$B$6-IF((A64+115)&gt;=Model!$B$11,Model!$B$20,0)-IF(115&lt;Model!$B$15,Model!$B$22,0))/(1-Model!$B$9)/(1+Model!$B$18)^115))</f>
        <v/>
      </c>
      <c r="DZ64" s="7">
        <f>IF(A64="","",IF((A64+116)&gt;Model!$B$4,0,MAX(0,Model!$B$6-IF((A64+116)&gt;=Model!$B$11,Model!$B$20,0)-IF(116&lt;Model!$B$15,Model!$B$22,0))/(1-Model!$B$9)/(1+Model!$B$18)^116))</f>
        <v/>
      </c>
      <c r="EA64" s="7">
        <f>IF(A64="","",IF((A64+117)&gt;Model!$B$4,0,MAX(0,Model!$B$6-IF((A64+117)&gt;=Model!$B$11,Model!$B$20,0)-IF(117&lt;Model!$B$15,Model!$B$22,0))/(1-Model!$B$9)/(1+Model!$B$18)^117))</f>
        <v/>
      </c>
      <c r="EB64" s="7">
        <f>IF(A64="","",IF((A64+118)&gt;Model!$B$4,0,MAX(0,Model!$B$6-IF((A64+118)&gt;=Model!$B$11,Model!$B$20,0)-IF(118&lt;Model!$B$15,Model!$B$22,0))/(1-Model!$B$9)/(1+Model!$B$18)^118))</f>
        <v/>
      </c>
      <c r="EC64" s="7">
        <f>IF(A64="","",IF((A64+119)&gt;Model!$B$4,0,MAX(0,Model!$B$6-IF((A64+119)&gt;=Model!$B$11,Model!$B$20,0)-IF(119&lt;Model!$B$15,Model!$B$22,0))/(1-Model!$B$9)/(1+Model!$B$18)^119))</f>
        <v/>
      </c>
      <c r="ED64" s="7">
        <f>IF(A64="","",IF((A64+120)&gt;Model!$B$4,0,MAX(0,Model!$B$6-IF((A64+120)&gt;=Model!$B$11,Model!$B$20,0)-IF(120&lt;Model!$B$15,Model!$B$22,0))/(1-Model!$B$9)/(1+Model!$B$18)^120))</f>
        <v/>
      </c>
    </row>
    <row r="65">
      <c r="A65">
        <f>IF(Model!$B$10+ROW()-2&lt;=Model!$B$4,Model!$B$10+ROW()-2,"")</f>
        <v/>
      </c>
      <c r="B65">
        <f>IF(A65="","",A65-Model!$B$10)</f>
        <v/>
      </c>
      <c r="C65" s="7">
        <f>IF(A65="","",Model!$B$5*(1+Model!$B$18)^B65)</f>
        <v/>
      </c>
      <c r="D65" s="7">
        <f>IF(A65="","",SUM(N65:ED65))</f>
        <v/>
      </c>
      <c r="E65" s="7">
        <f>IF(A65="","",IF(A65&gt;=Model!$B$11,Model!$B$20,0))</f>
        <v/>
      </c>
      <c r="F65" s="7">
        <f>IF(A65="","",IF(Model!$B$15&gt;0,Model!$B$22,0))</f>
        <v/>
      </c>
      <c r="G65" s="7">
        <f>IF(A65="","",E65+F65)</f>
        <v/>
      </c>
      <c r="H65" s="7">
        <f>IF(A65="","",MAX(0,Model!$B$6-G65))</f>
        <v/>
      </c>
      <c r="I65" s="7">
        <f>IF(A65="","",H65/(1-Model!$B$9))</f>
        <v/>
      </c>
      <c r="J65" s="7">
        <f>IF(A65="","",C65-D65)</f>
        <v/>
      </c>
      <c r="K65">
        <f>IF(A65="","",C65&gt;=D65)</f>
        <v/>
      </c>
      <c r="L65" s="7">
        <f>IF(A65="","",IF(A65&gt;=Model!$B$11,Model!$B$19*(1+Model!$B$13)^B65,0))</f>
        <v/>
      </c>
      <c r="M65" s="7">
        <f>IF(A65="","",IF(Model!$B$15&gt;0,Model!$B$21*(1+Model!$B$13)^B65,0))</f>
        <v/>
      </c>
      <c r="N65" s="7">
        <f>IF(A65="","",IF((A65+0)&gt;Model!$B$4,0,MAX(0,Model!$B$6-IF((A65+0)&gt;=Model!$B$11,Model!$B$20,0)-IF(0&lt;Model!$B$15,Model!$B$22,0))/(1-Model!$B$9)/(1+Model!$B$18)^0))</f>
        <v/>
      </c>
      <c r="O65" s="7">
        <f>IF(A65="","",IF((A65+1)&gt;Model!$B$4,0,MAX(0,Model!$B$6-IF((A65+1)&gt;=Model!$B$11,Model!$B$20,0)-IF(1&lt;Model!$B$15,Model!$B$22,0))/(1-Model!$B$9)/(1+Model!$B$18)^1))</f>
        <v/>
      </c>
      <c r="P65" s="7">
        <f>IF(A65="","",IF((A65+2)&gt;Model!$B$4,0,MAX(0,Model!$B$6-IF((A65+2)&gt;=Model!$B$11,Model!$B$20,0)-IF(2&lt;Model!$B$15,Model!$B$22,0))/(1-Model!$B$9)/(1+Model!$B$18)^2))</f>
        <v/>
      </c>
      <c r="Q65" s="7">
        <f>IF(A65="","",IF((A65+3)&gt;Model!$B$4,0,MAX(0,Model!$B$6-IF((A65+3)&gt;=Model!$B$11,Model!$B$20,0)-IF(3&lt;Model!$B$15,Model!$B$22,0))/(1-Model!$B$9)/(1+Model!$B$18)^3))</f>
        <v/>
      </c>
      <c r="R65" s="7">
        <f>IF(A65="","",IF((A65+4)&gt;Model!$B$4,0,MAX(0,Model!$B$6-IF((A65+4)&gt;=Model!$B$11,Model!$B$20,0)-IF(4&lt;Model!$B$15,Model!$B$22,0))/(1-Model!$B$9)/(1+Model!$B$18)^4))</f>
        <v/>
      </c>
      <c r="S65" s="7">
        <f>IF(A65="","",IF((A65+5)&gt;Model!$B$4,0,MAX(0,Model!$B$6-IF((A65+5)&gt;=Model!$B$11,Model!$B$20,0)-IF(5&lt;Model!$B$15,Model!$B$22,0))/(1-Model!$B$9)/(1+Model!$B$18)^5))</f>
        <v/>
      </c>
      <c r="T65" s="7">
        <f>IF(A65="","",IF((A65+6)&gt;Model!$B$4,0,MAX(0,Model!$B$6-IF((A65+6)&gt;=Model!$B$11,Model!$B$20,0)-IF(6&lt;Model!$B$15,Model!$B$22,0))/(1-Model!$B$9)/(1+Model!$B$18)^6))</f>
        <v/>
      </c>
      <c r="U65" s="7">
        <f>IF(A65="","",IF((A65+7)&gt;Model!$B$4,0,MAX(0,Model!$B$6-IF((A65+7)&gt;=Model!$B$11,Model!$B$20,0)-IF(7&lt;Model!$B$15,Model!$B$22,0))/(1-Model!$B$9)/(1+Model!$B$18)^7))</f>
        <v/>
      </c>
      <c r="V65" s="7">
        <f>IF(A65="","",IF((A65+8)&gt;Model!$B$4,0,MAX(0,Model!$B$6-IF((A65+8)&gt;=Model!$B$11,Model!$B$20,0)-IF(8&lt;Model!$B$15,Model!$B$22,0))/(1-Model!$B$9)/(1+Model!$B$18)^8))</f>
        <v/>
      </c>
      <c r="W65" s="7">
        <f>IF(A65="","",IF((A65+9)&gt;Model!$B$4,0,MAX(0,Model!$B$6-IF((A65+9)&gt;=Model!$B$11,Model!$B$20,0)-IF(9&lt;Model!$B$15,Model!$B$22,0))/(1-Model!$B$9)/(1+Model!$B$18)^9))</f>
        <v/>
      </c>
      <c r="X65" s="7">
        <f>IF(A65="","",IF((A65+10)&gt;Model!$B$4,0,MAX(0,Model!$B$6-IF((A65+10)&gt;=Model!$B$11,Model!$B$20,0)-IF(10&lt;Model!$B$15,Model!$B$22,0))/(1-Model!$B$9)/(1+Model!$B$18)^10))</f>
        <v/>
      </c>
      <c r="Y65" s="7">
        <f>IF(A65="","",IF((A65+11)&gt;Model!$B$4,0,MAX(0,Model!$B$6-IF((A65+11)&gt;=Model!$B$11,Model!$B$20,0)-IF(11&lt;Model!$B$15,Model!$B$22,0))/(1-Model!$B$9)/(1+Model!$B$18)^11))</f>
        <v/>
      </c>
      <c r="Z65" s="7">
        <f>IF(A65="","",IF((A65+12)&gt;Model!$B$4,0,MAX(0,Model!$B$6-IF((A65+12)&gt;=Model!$B$11,Model!$B$20,0)-IF(12&lt;Model!$B$15,Model!$B$22,0))/(1-Model!$B$9)/(1+Model!$B$18)^12))</f>
        <v/>
      </c>
      <c r="AA65" s="7">
        <f>IF(A65="","",IF((A65+13)&gt;Model!$B$4,0,MAX(0,Model!$B$6-IF((A65+13)&gt;=Model!$B$11,Model!$B$20,0)-IF(13&lt;Model!$B$15,Model!$B$22,0))/(1-Model!$B$9)/(1+Model!$B$18)^13))</f>
        <v/>
      </c>
      <c r="AB65" s="7">
        <f>IF(A65="","",IF((A65+14)&gt;Model!$B$4,0,MAX(0,Model!$B$6-IF((A65+14)&gt;=Model!$B$11,Model!$B$20,0)-IF(14&lt;Model!$B$15,Model!$B$22,0))/(1-Model!$B$9)/(1+Model!$B$18)^14))</f>
        <v/>
      </c>
      <c r="AC65" s="7">
        <f>IF(A65="","",IF((A65+15)&gt;Model!$B$4,0,MAX(0,Model!$B$6-IF((A65+15)&gt;=Model!$B$11,Model!$B$20,0)-IF(15&lt;Model!$B$15,Model!$B$22,0))/(1-Model!$B$9)/(1+Model!$B$18)^15))</f>
        <v/>
      </c>
      <c r="AD65" s="7">
        <f>IF(A65="","",IF((A65+16)&gt;Model!$B$4,0,MAX(0,Model!$B$6-IF((A65+16)&gt;=Model!$B$11,Model!$B$20,0)-IF(16&lt;Model!$B$15,Model!$B$22,0))/(1-Model!$B$9)/(1+Model!$B$18)^16))</f>
        <v/>
      </c>
      <c r="AE65" s="7">
        <f>IF(A65="","",IF((A65+17)&gt;Model!$B$4,0,MAX(0,Model!$B$6-IF((A65+17)&gt;=Model!$B$11,Model!$B$20,0)-IF(17&lt;Model!$B$15,Model!$B$22,0))/(1-Model!$B$9)/(1+Model!$B$18)^17))</f>
        <v/>
      </c>
      <c r="AF65" s="7">
        <f>IF(A65="","",IF((A65+18)&gt;Model!$B$4,0,MAX(0,Model!$B$6-IF((A65+18)&gt;=Model!$B$11,Model!$B$20,0)-IF(18&lt;Model!$B$15,Model!$B$22,0))/(1-Model!$B$9)/(1+Model!$B$18)^18))</f>
        <v/>
      </c>
      <c r="AG65" s="7">
        <f>IF(A65="","",IF((A65+19)&gt;Model!$B$4,0,MAX(0,Model!$B$6-IF((A65+19)&gt;=Model!$B$11,Model!$B$20,0)-IF(19&lt;Model!$B$15,Model!$B$22,0))/(1-Model!$B$9)/(1+Model!$B$18)^19))</f>
        <v/>
      </c>
      <c r="AH65" s="7">
        <f>IF(A65="","",IF((A65+20)&gt;Model!$B$4,0,MAX(0,Model!$B$6-IF((A65+20)&gt;=Model!$B$11,Model!$B$20,0)-IF(20&lt;Model!$B$15,Model!$B$22,0))/(1-Model!$B$9)/(1+Model!$B$18)^20))</f>
        <v/>
      </c>
      <c r="AI65" s="7">
        <f>IF(A65="","",IF((A65+21)&gt;Model!$B$4,0,MAX(0,Model!$B$6-IF((A65+21)&gt;=Model!$B$11,Model!$B$20,0)-IF(21&lt;Model!$B$15,Model!$B$22,0))/(1-Model!$B$9)/(1+Model!$B$18)^21))</f>
        <v/>
      </c>
      <c r="AJ65" s="7">
        <f>IF(A65="","",IF((A65+22)&gt;Model!$B$4,0,MAX(0,Model!$B$6-IF((A65+22)&gt;=Model!$B$11,Model!$B$20,0)-IF(22&lt;Model!$B$15,Model!$B$22,0))/(1-Model!$B$9)/(1+Model!$B$18)^22))</f>
        <v/>
      </c>
      <c r="AK65" s="7">
        <f>IF(A65="","",IF((A65+23)&gt;Model!$B$4,0,MAX(0,Model!$B$6-IF((A65+23)&gt;=Model!$B$11,Model!$B$20,0)-IF(23&lt;Model!$B$15,Model!$B$22,0))/(1-Model!$B$9)/(1+Model!$B$18)^23))</f>
        <v/>
      </c>
      <c r="AL65" s="7">
        <f>IF(A65="","",IF((A65+24)&gt;Model!$B$4,0,MAX(0,Model!$B$6-IF((A65+24)&gt;=Model!$B$11,Model!$B$20,0)-IF(24&lt;Model!$B$15,Model!$B$22,0))/(1-Model!$B$9)/(1+Model!$B$18)^24))</f>
        <v/>
      </c>
      <c r="AM65" s="7">
        <f>IF(A65="","",IF((A65+25)&gt;Model!$B$4,0,MAX(0,Model!$B$6-IF((A65+25)&gt;=Model!$B$11,Model!$B$20,0)-IF(25&lt;Model!$B$15,Model!$B$22,0))/(1-Model!$B$9)/(1+Model!$B$18)^25))</f>
        <v/>
      </c>
      <c r="AN65" s="7">
        <f>IF(A65="","",IF((A65+26)&gt;Model!$B$4,0,MAX(0,Model!$B$6-IF((A65+26)&gt;=Model!$B$11,Model!$B$20,0)-IF(26&lt;Model!$B$15,Model!$B$22,0))/(1-Model!$B$9)/(1+Model!$B$18)^26))</f>
        <v/>
      </c>
      <c r="AO65" s="7">
        <f>IF(A65="","",IF((A65+27)&gt;Model!$B$4,0,MAX(0,Model!$B$6-IF((A65+27)&gt;=Model!$B$11,Model!$B$20,0)-IF(27&lt;Model!$B$15,Model!$B$22,0))/(1-Model!$B$9)/(1+Model!$B$18)^27))</f>
        <v/>
      </c>
      <c r="AP65" s="7">
        <f>IF(A65="","",IF((A65+28)&gt;Model!$B$4,0,MAX(0,Model!$B$6-IF((A65+28)&gt;=Model!$B$11,Model!$B$20,0)-IF(28&lt;Model!$B$15,Model!$B$22,0))/(1-Model!$B$9)/(1+Model!$B$18)^28))</f>
        <v/>
      </c>
      <c r="AQ65" s="7">
        <f>IF(A65="","",IF((A65+29)&gt;Model!$B$4,0,MAX(0,Model!$B$6-IF((A65+29)&gt;=Model!$B$11,Model!$B$20,0)-IF(29&lt;Model!$B$15,Model!$B$22,0))/(1-Model!$B$9)/(1+Model!$B$18)^29))</f>
        <v/>
      </c>
      <c r="AR65" s="7">
        <f>IF(A65="","",IF((A65+30)&gt;Model!$B$4,0,MAX(0,Model!$B$6-IF((A65+30)&gt;=Model!$B$11,Model!$B$20,0)-IF(30&lt;Model!$B$15,Model!$B$22,0))/(1-Model!$B$9)/(1+Model!$B$18)^30))</f>
        <v/>
      </c>
      <c r="AS65" s="7">
        <f>IF(A65="","",IF((A65+31)&gt;Model!$B$4,0,MAX(0,Model!$B$6-IF((A65+31)&gt;=Model!$B$11,Model!$B$20,0)-IF(31&lt;Model!$B$15,Model!$B$22,0))/(1-Model!$B$9)/(1+Model!$B$18)^31))</f>
        <v/>
      </c>
      <c r="AT65" s="7">
        <f>IF(A65="","",IF((A65+32)&gt;Model!$B$4,0,MAX(0,Model!$B$6-IF((A65+32)&gt;=Model!$B$11,Model!$B$20,0)-IF(32&lt;Model!$B$15,Model!$B$22,0))/(1-Model!$B$9)/(1+Model!$B$18)^32))</f>
        <v/>
      </c>
      <c r="AU65" s="7">
        <f>IF(A65="","",IF((A65+33)&gt;Model!$B$4,0,MAX(0,Model!$B$6-IF((A65+33)&gt;=Model!$B$11,Model!$B$20,0)-IF(33&lt;Model!$B$15,Model!$B$22,0))/(1-Model!$B$9)/(1+Model!$B$18)^33))</f>
        <v/>
      </c>
      <c r="AV65" s="7">
        <f>IF(A65="","",IF((A65+34)&gt;Model!$B$4,0,MAX(0,Model!$B$6-IF((A65+34)&gt;=Model!$B$11,Model!$B$20,0)-IF(34&lt;Model!$B$15,Model!$B$22,0))/(1-Model!$B$9)/(1+Model!$B$18)^34))</f>
        <v/>
      </c>
      <c r="AW65" s="7">
        <f>IF(A65="","",IF((A65+35)&gt;Model!$B$4,0,MAX(0,Model!$B$6-IF((A65+35)&gt;=Model!$B$11,Model!$B$20,0)-IF(35&lt;Model!$B$15,Model!$B$22,0))/(1-Model!$B$9)/(1+Model!$B$18)^35))</f>
        <v/>
      </c>
      <c r="AX65" s="7">
        <f>IF(A65="","",IF((A65+36)&gt;Model!$B$4,0,MAX(0,Model!$B$6-IF((A65+36)&gt;=Model!$B$11,Model!$B$20,0)-IF(36&lt;Model!$B$15,Model!$B$22,0))/(1-Model!$B$9)/(1+Model!$B$18)^36))</f>
        <v/>
      </c>
      <c r="AY65" s="7">
        <f>IF(A65="","",IF((A65+37)&gt;Model!$B$4,0,MAX(0,Model!$B$6-IF((A65+37)&gt;=Model!$B$11,Model!$B$20,0)-IF(37&lt;Model!$B$15,Model!$B$22,0))/(1-Model!$B$9)/(1+Model!$B$18)^37))</f>
        <v/>
      </c>
      <c r="AZ65" s="7">
        <f>IF(A65="","",IF((A65+38)&gt;Model!$B$4,0,MAX(0,Model!$B$6-IF((A65+38)&gt;=Model!$B$11,Model!$B$20,0)-IF(38&lt;Model!$B$15,Model!$B$22,0))/(1-Model!$B$9)/(1+Model!$B$18)^38))</f>
        <v/>
      </c>
      <c r="BA65" s="7">
        <f>IF(A65="","",IF((A65+39)&gt;Model!$B$4,0,MAX(0,Model!$B$6-IF((A65+39)&gt;=Model!$B$11,Model!$B$20,0)-IF(39&lt;Model!$B$15,Model!$B$22,0))/(1-Model!$B$9)/(1+Model!$B$18)^39))</f>
        <v/>
      </c>
      <c r="BB65" s="7">
        <f>IF(A65="","",IF((A65+40)&gt;Model!$B$4,0,MAX(0,Model!$B$6-IF((A65+40)&gt;=Model!$B$11,Model!$B$20,0)-IF(40&lt;Model!$B$15,Model!$B$22,0))/(1-Model!$B$9)/(1+Model!$B$18)^40))</f>
        <v/>
      </c>
      <c r="BC65" s="7">
        <f>IF(A65="","",IF((A65+41)&gt;Model!$B$4,0,MAX(0,Model!$B$6-IF((A65+41)&gt;=Model!$B$11,Model!$B$20,0)-IF(41&lt;Model!$B$15,Model!$B$22,0))/(1-Model!$B$9)/(1+Model!$B$18)^41))</f>
        <v/>
      </c>
      <c r="BD65" s="7">
        <f>IF(A65="","",IF((A65+42)&gt;Model!$B$4,0,MAX(0,Model!$B$6-IF((A65+42)&gt;=Model!$B$11,Model!$B$20,0)-IF(42&lt;Model!$B$15,Model!$B$22,0))/(1-Model!$B$9)/(1+Model!$B$18)^42))</f>
        <v/>
      </c>
      <c r="BE65" s="7">
        <f>IF(A65="","",IF((A65+43)&gt;Model!$B$4,0,MAX(0,Model!$B$6-IF((A65+43)&gt;=Model!$B$11,Model!$B$20,0)-IF(43&lt;Model!$B$15,Model!$B$22,0))/(1-Model!$B$9)/(1+Model!$B$18)^43))</f>
        <v/>
      </c>
      <c r="BF65" s="7">
        <f>IF(A65="","",IF((A65+44)&gt;Model!$B$4,0,MAX(0,Model!$B$6-IF((A65+44)&gt;=Model!$B$11,Model!$B$20,0)-IF(44&lt;Model!$B$15,Model!$B$22,0))/(1-Model!$B$9)/(1+Model!$B$18)^44))</f>
        <v/>
      </c>
      <c r="BG65" s="7">
        <f>IF(A65="","",IF((A65+45)&gt;Model!$B$4,0,MAX(0,Model!$B$6-IF((A65+45)&gt;=Model!$B$11,Model!$B$20,0)-IF(45&lt;Model!$B$15,Model!$B$22,0))/(1-Model!$B$9)/(1+Model!$B$18)^45))</f>
        <v/>
      </c>
      <c r="BH65" s="7">
        <f>IF(A65="","",IF((A65+46)&gt;Model!$B$4,0,MAX(0,Model!$B$6-IF((A65+46)&gt;=Model!$B$11,Model!$B$20,0)-IF(46&lt;Model!$B$15,Model!$B$22,0))/(1-Model!$B$9)/(1+Model!$B$18)^46))</f>
        <v/>
      </c>
      <c r="BI65" s="7">
        <f>IF(A65="","",IF((A65+47)&gt;Model!$B$4,0,MAX(0,Model!$B$6-IF((A65+47)&gt;=Model!$B$11,Model!$B$20,0)-IF(47&lt;Model!$B$15,Model!$B$22,0))/(1-Model!$B$9)/(1+Model!$B$18)^47))</f>
        <v/>
      </c>
      <c r="BJ65" s="7">
        <f>IF(A65="","",IF((A65+48)&gt;Model!$B$4,0,MAX(0,Model!$B$6-IF((A65+48)&gt;=Model!$B$11,Model!$B$20,0)-IF(48&lt;Model!$B$15,Model!$B$22,0))/(1-Model!$B$9)/(1+Model!$B$18)^48))</f>
        <v/>
      </c>
      <c r="BK65" s="7">
        <f>IF(A65="","",IF((A65+49)&gt;Model!$B$4,0,MAX(0,Model!$B$6-IF((A65+49)&gt;=Model!$B$11,Model!$B$20,0)-IF(49&lt;Model!$B$15,Model!$B$22,0))/(1-Model!$B$9)/(1+Model!$B$18)^49))</f>
        <v/>
      </c>
      <c r="BL65" s="7">
        <f>IF(A65="","",IF((A65+50)&gt;Model!$B$4,0,MAX(0,Model!$B$6-IF((A65+50)&gt;=Model!$B$11,Model!$B$20,0)-IF(50&lt;Model!$B$15,Model!$B$22,0))/(1-Model!$B$9)/(1+Model!$B$18)^50))</f>
        <v/>
      </c>
      <c r="BM65" s="7">
        <f>IF(A65="","",IF((A65+51)&gt;Model!$B$4,0,MAX(0,Model!$B$6-IF((A65+51)&gt;=Model!$B$11,Model!$B$20,0)-IF(51&lt;Model!$B$15,Model!$B$22,0))/(1-Model!$B$9)/(1+Model!$B$18)^51))</f>
        <v/>
      </c>
      <c r="BN65" s="7">
        <f>IF(A65="","",IF((A65+52)&gt;Model!$B$4,0,MAX(0,Model!$B$6-IF((A65+52)&gt;=Model!$B$11,Model!$B$20,0)-IF(52&lt;Model!$B$15,Model!$B$22,0))/(1-Model!$B$9)/(1+Model!$B$18)^52))</f>
        <v/>
      </c>
      <c r="BO65" s="7">
        <f>IF(A65="","",IF((A65+53)&gt;Model!$B$4,0,MAX(0,Model!$B$6-IF((A65+53)&gt;=Model!$B$11,Model!$B$20,0)-IF(53&lt;Model!$B$15,Model!$B$22,0))/(1-Model!$B$9)/(1+Model!$B$18)^53))</f>
        <v/>
      </c>
      <c r="BP65" s="7">
        <f>IF(A65="","",IF((A65+54)&gt;Model!$B$4,0,MAX(0,Model!$B$6-IF((A65+54)&gt;=Model!$B$11,Model!$B$20,0)-IF(54&lt;Model!$B$15,Model!$B$22,0))/(1-Model!$B$9)/(1+Model!$B$18)^54))</f>
        <v/>
      </c>
      <c r="BQ65" s="7">
        <f>IF(A65="","",IF((A65+55)&gt;Model!$B$4,0,MAX(0,Model!$B$6-IF((A65+55)&gt;=Model!$B$11,Model!$B$20,0)-IF(55&lt;Model!$B$15,Model!$B$22,0))/(1-Model!$B$9)/(1+Model!$B$18)^55))</f>
        <v/>
      </c>
      <c r="BR65" s="7">
        <f>IF(A65="","",IF((A65+56)&gt;Model!$B$4,0,MAX(0,Model!$B$6-IF((A65+56)&gt;=Model!$B$11,Model!$B$20,0)-IF(56&lt;Model!$B$15,Model!$B$22,0))/(1-Model!$B$9)/(1+Model!$B$18)^56))</f>
        <v/>
      </c>
      <c r="BS65" s="7">
        <f>IF(A65="","",IF((A65+57)&gt;Model!$B$4,0,MAX(0,Model!$B$6-IF((A65+57)&gt;=Model!$B$11,Model!$B$20,0)-IF(57&lt;Model!$B$15,Model!$B$22,0))/(1-Model!$B$9)/(1+Model!$B$18)^57))</f>
        <v/>
      </c>
      <c r="BT65" s="7">
        <f>IF(A65="","",IF((A65+58)&gt;Model!$B$4,0,MAX(0,Model!$B$6-IF((A65+58)&gt;=Model!$B$11,Model!$B$20,0)-IF(58&lt;Model!$B$15,Model!$B$22,0))/(1-Model!$B$9)/(1+Model!$B$18)^58))</f>
        <v/>
      </c>
      <c r="BU65" s="7">
        <f>IF(A65="","",IF((A65+59)&gt;Model!$B$4,0,MAX(0,Model!$B$6-IF((A65+59)&gt;=Model!$B$11,Model!$B$20,0)-IF(59&lt;Model!$B$15,Model!$B$22,0))/(1-Model!$B$9)/(1+Model!$B$18)^59))</f>
        <v/>
      </c>
      <c r="BV65" s="7">
        <f>IF(A65="","",IF((A65+60)&gt;Model!$B$4,0,MAX(0,Model!$B$6-IF((A65+60)&gt;=Model!$B$11,Model!$B$20,0)-IF(60&lt;Model!$B$15,Model!$B$22,0))/(1-Model!$B$9)/(1+Model!$B$18)^60))</f>
        <v/>
      </c>
      <c r="BW65" s="7">
        <f>IF(A65="","",IF((A65+61)&gt;Model!$B$4,0,MAX(0,Model!$B$6-IF((A65+61)&gt;=Model!$B$11,Model!$B$20,0)-IF(61&lt;Model!$B$15,Model!$B$22,0))/(1-Model!$B$9)/(1+Model!$B$18)^61))</f>
        <v/>
      </c>
      <c r="BX65" s="7">
        <f>IF(A65="","",IF((A65+62)&gt;Model!$B$4,0,MAX(0,Model!$B$6-IF((A65+62)&gt;=Model!$B$11,Model!$B$20,0)-IF(62&lt;Model!$B$15,Model!$B$22,0))/(1-Model!$B$9)/(1+Model!$B$18)^62))</f>
        <v/>
      </c>
      <c r="BY65" s="7">
        <f>IF(A65="","",IF((A65+63)&gt;Model!$B$4,0,MAX(0,Model!$B$6-IF((A65+63)&gt;=Model!$B$11,Model!$B$20,0)-IF(63&lt;Model!$B$15,Model!$B$22,0))/(1-Model!$B$9)/(1+Model!$B$18)^63))</f>
        <v/>
      </c>
      <c r="BZ65" s="7">
        <f>IF(A65="","",IF((A65+64)&gt;Model!$B$4,0,MAX(0,Model!$B$6-IF((A65+64)&gt;=Model!$B$11,Model!$B$20,0)-IF(64&lt;Model!$B$15,Model!$B$22,0))/(1-Model!$B$9)/(1+Model!$B$18)^64))</f>
        <v/>
      </c>
      <c r="CA65" s="7">
        <f>IF(A65="","",IF((A65+65)&gt;Model!$B$4,0,MAX(0,Model!$B$6-IF((A65+65)&gt;=Model!$B$11,Model!$B$20,0)-IF(65&lt;Model!$B$15,Model!$B$22,0))/(1-Model!$B$9)/(1+Model!$B$18)^65))</f>
        <v/>
      </c>
      <c r="CB65" s="7">
        <f>IF(A65="","",IF((A65+66)&gt;Model!$B$4,0,MAX(0,Model!$B$6-IF((A65+66)&gt;=Model!$B$11,Model!$B$20,0)-IF(66&lt;Model!$B$15,Model!$B$22,0))/(1-Model!$B$9)/(1+Model!$B$18)^66))</f>
        <v/>
      </c>
      <c r="CC65" s="7">
        <f>IF(A65="","",IF((A65+67)&gt;Model!$B$4,0,MAX(0,Model!$B$6-IF((A65+67)&gt;=Model!$B$11,Model!$B$20,0)-IF(67&lt;Model!$B$15,Model!$B$22,0))/(1-Model!$B$9)/(1+Model!$B$18)^67))</f>
        <v/>
      </c>
      <c r="CD65" s="7">
        <f>IF(A65="","",IF((A65+68)&gt;Model!$B$4,0,MAX(0,Model!$B$6-IF((A65+68)&gt;=Model!$B$11,Model!$B$20,0)-IF(68&lt;Model!$B$15,Model!$B$22,0))/(1-Model!$B$9)/(1+Model!$B$18)^68))</f>
        <v/>
      </c>
      <c r="CE65" s="7">
        <f>IF(A65="","",IF((A65+69)&gt;Model!$B$4,0,MAX(0,Model!$B$6-IF((A65+69)&gt;=Model!$B$11,Model!$B$20,0)-IF(69&lt;Model!$B$15,Model!$B$22,0))/(1-Model!$B$9)/(1+Model!$B$18)^69))</f>
        <v/>
      </c>
      <c r="CF65" s="7">
        <f>IF(A65="","",IF((A65+70)&gt;Model!$B$4,0,MAX(0,Model!$B$6-IF((A65+70)&gt;=Model!$B$11,Model!$B$20,0)-IF(70&lt;Model!$B$15,Model!$B$22,0))/(1-Model!$B$9)/(1+Model!$B$18)^70))</f>
        <v/>
      </c>
      <c r="CG65" s="7">
        <f>IF(A65="","",IF((A65+71)&gt;Model!$B$4,0,MAX(0,Model!$B$6-IF((A65+71)&gt;=Model!$B$11,Model!$B$20,0)-IF(71&lt;Model!$B$15,Model!$B$22,0))/(1-Model!$B$9)/(1+Model!$B$18)^71))</f>
        <v/>
      </c>
      <c r="CH65" s="7">
        <f>IF(A65="","",IF((A65+72)&gt;Model!$B$4,0,MAX(0,Model!$B$6-IF((A65+72)&gt;=Model!$B$11,Model!$B$20,0)-IF(72&lt;Model!$B$15,Model!$B$22,0))/(1-Model!$B$9)/(1+Model!$B$18)^72))</f>
        <v/>
      </c>
      <c r="CI65" s="7">
        <f>IF(A65="","",IF((A65+73)&gt;Model!$B$4,0,MAX(0,Model!$B$6-IF((A65+73)&gt;=Model!$B$11,Model!$B$20,0)-IF(73&lt;Model!$B$15,Model!$B$22,0))/(1-Model!$B$9)/(1+Model!$B$18)^73))</f>
        <v/>
      </c>
      <c r="CJ65" s="7">
        <f>IF(A65="","",IF((A65+74)&gt;Model!$B$4,0,MAX(0,Model!$B$6-IF((A65+74)&gt;=Model!$B$11,Model!$B$20,0)-IF(74&lt;Model!$B$15,Model!$B$22,0))/(1-Model!$B$9)/(1+Model!$B$18)^74))</f>
        <v/>
      </c>
      <c r="CK65" s="7">
        <f>IF(A65="","",IF((A65+75)&gt;Model!$B$4,0,MAX(0,Model!$B$6-IF((A65+75)&gt;=Model!$B$11,Model!$B$20,0)-IF(75&lt;Model!$B$15,Model!$B$22,0))/(1-Model!$B$9)/(1+Model!$B$18)^75))</f>
        <v/>
      </c>
      <c r="CL65" s="7">
        <f>IF(A65="","",IF((A65+76)&gt;Model!$B$4,0,MAX(0,Model!$B$6-IF((A65+76)&gt;=Model!$B$11,Model!$B$20,0)-IF(76&lt;Model!$B$15,Model!$B$22,0))/(1-Model!$B$9)/(1+Model!$B$18)^76))</f>
        <v/>
      </c>
      <c r="CM65" s="7">
        <f>IF(A65="","",IF((A65+77)&gt;Model!$B$4,0,MAX(0,Model!$B$6-IF((A65+77)&gt;=Model!$B$11,Model!$B$20,0)-IF(77&lt;Model!$B$15,Model!$B$22,0))/(1-Model!$B$9)/(1+Model!$B$18)^77))</f>
        <v/>
      </c>
      <c r="CN65" s="7">
        <f>IF(A65="","",IF((A65+78)&gt;Model!$B$4,0,MAX(0,Model!$B$6-IF((A65+78)&gt;=Model!$B$11,Model!$B$20,0)-IF(78&lt;Model!$B$15,Model!$B$22,0))/(1-Model!$B$9)/(1+Model!$B$18)^78))</f>
        <v/>
      </c>
      <c r="CO65" s="7">
        <f>IF(A65="","",IF((A65+79)&gt;Model!$B$4,0,MAX(0,Model!$B$6-IF((A65+79)&gt;=Model!$B$11,Model!$B$20,0)-IF(79&lt;Model!$B$15,Model!$B$22,0))/(1-Model!$B$9)/(1+Model!$B$18)^79))</f>
        <v/>
      </c>
      <c r="CP65" s="7">
        <f>IF(A65="","",IF((A65+80)&gt;Model!$B$4,0,MAX(0,Model!$B$6-IF((A65+80)&gt;=Model!$B$11,Model!$B$20,0)-IF(80&lt;Model!$B$15,Model!$B$22,0))/(1-Model!$B$9)/(1+Model!$B$18)^80))</f>
        <v/>
      </c>
      <c r="CQ65" s="7">
        <f>IF(A65="","",IF((A65+81)&gt;Model!$B$4,0,MAX(0,Model!$B$6-IF((A65+81)&gt;=Model!$B$11,Model!$B$20,0)-IF(81&lt;Model!$B$15,Model!$B$22,0))/(1-Model!$B$9)/(1+Model!$B$18)^81))</f>
        <v/>
      </c>
      <c r="CR65" s="7">
        <f>IF(A65="","",IF((A65+82)&gt;Model!$B$4,0,MAX(0,Model!$B$6-IF((A65+82)&gt;=Model!$B$11,Model!$B$20,0)-IF(82&lt;Model!$B$15,Model!$B$22,0))/(1-Model!$B$9)/(1+Model!$B$18)^82))</f>
        <v/>
      </c>
      <c r="CS65" s="7">
        <f>IF(A65="","",IF((A65+83)&gt;Model!$B$4,0,MAX(0,Model!$B$6-IF((A65+83)&gt;=Model!$B$11,Model!$B$20,0)-IF(83&lt;Model!$B$15,Model!$B$22,0))/(1-Model!$B$9)/(1+Model!$B$18)^83))</f>
        <v/>
      </c>
      <c r="CT65" s="7">
        <f>IF(A65="","",IF((A65+84)&gt;Model!$B$4,0,MAX(0,Model!$B$6-IF((A65+84)&gt;=Model!$B$11,Model!$B$20,0)-IF(84&lt;Model!$B$15,Model!$B$22,0))/(1-Model!$B$9)/(1+Model!$B$18)^84))</f>
        <v/>
      </c>
      <c r="CU65" s="7">
        <f>IF(A65="","",IF((A65+85)&gt;Model!$B$4,0,MAX(0,Model!$B$6-IF((A65+85)&gt;=Model!$B$11,Model!$B$20,0)-IF(85&lt;Model!$B$15,Model!$B$22,0))/(1-Model!$B$9)/(1+Model!$B$18)^85))</f>
        <v/>
      </c>
      <c r="CV65" s="7">
        <f>IF(A65="","",IF((A65+86)&gt;Model!$B$4,0,MAX(0,Model!$B$6-IF((A65+86)&gt;=Model!$B$11,Model!$B$20,0)-IF(86&lt;Model!$B$15,Model!$B$22,0))/(1-Model!$B$9)/(1+Model!$B$18)^86))</f>
        <v/>
      </c>
      <c r="CW65" s="7">
        <f>IF(A65="","",IF((A65+87)&gt;Model!$B$4,0,MAX(0,Model!$B$6-IF((A65+87)&gt;=Model!$B$11,Model!$B$20,0)-IF(87&lt;Model!$B$15,Model!$B$22,0))/(1-Model!$B$9)/(1+Model!$B$18)^87))</f>
        <v/>
      </c>
      <c r="CX65" s="7">
        <f>IF(A65="","",IF((A65+88)&gt;Model!$B$4,0,MAX(0,Model!$B$6-IF((A65+88)&gt;=Model!$B$11,Model!$B$20,0)-IF(88&lt;Model!$B$15,Model!$B$22,0))/(1-Model!$B$9)/(1+Model!$B$18)^88))</f>
        <v/>
      </c>
      <c r="CY65" s="7">
        <f>IF(A65="","",IF((A65+89)&gt;Model!$B$4,0,MAX(0,Model!$B$6-IF((A65+89)&gt;=Model!$B$11,Model!$B$20,0)-IF(89&lt;Model!$B$15,Model!$B$22,0))/(1-Model!$B$9)/(1+Model!$B$18)^89))</f>
        <v/>
      </c>
      <c r="CZ65" s="7">
        <f>IF(A65="","",IF((A65+90)&gt;Model!$B$4,0,MAX(0,Model!$B$6-IF((A65+90)&gt;=Model!$B$11,Model!$B$20,0)-IF(90&lt;Model!$B$15,Model!$B$22,0))/(1-Model!$B$9)/(1+Model!$B$18)^90))</f>
        <v/>
      </c>
      <c r="DA65" s="7">
        <f>IF(A65="","",IF((A65+91)&gt;Model!$B$4,0,MAX(0,Model!$B$6-IF((A65+91)&gt;=Model!$B$11,Model!$B$20,0)-IF(91&lt;Model!$B$15,Model!$B$22,0))/(1-Model!$B$9)/(1+Model!$B$18)^91))</f>
        <v/>
      </c>
      <c r="DB65" s="7">
        <f>IF(A65="","",IF((A65+92)&gt;Model!$B$4,0,MAX(0,Model!$B$6-IF((A65+92)&gt;=Model!$B$11,Model!$B$20,0)-IF(92&lt;Model!$B$15,Model!$B$22,0))/(1-Model!$B$9)/(1+Model!$B$18)^92))</f>
        <v/>
      </c>
      <c r="DC65" s="7">
        <f>IF(A65="","",IF((A65+93)&gt;Model!$B$4,0,MAX(0,Model!$B$6-IF((A65+93)&gt;=Model!$B$11,Model!$B$20,0)-IF(93&lt;Model!$B$15,Model!$B$22,0))/(1-Model!$B$9)/(1+Model!$B$18)^93))</f>
        <v/>
      </c>
      <c r="DD65" s="7">
        <f>IF(A65="","",IF((A65+94)&gt;Model!$B$4,0,MAX(0,Model!$B$6-IF((A65+94)&gt;=Model!$B$11,Model!$B$20,0)-IF(94&lt;Model!$B$15,Model!$B$22,0))/(1-Model!$B$9)/(1+Model!$B$18)^94))</f>
        <v/>
      </c>
      <c r="DE65" s="7">
        <f>IF(A65="","",IF((A65+95)&gt;Model!$B$4,0,MAX(0,Model!$B$6-IF((A65+95)&gt;=Model!$B$11,Model!$B$20,0)-IF(95&lt;Model!$B$15,Model!$B$22,0))/(1-Model!$B$9)/(1+Model!$B$18)^95))</f>
        <v/>
      </c>
      <c r="DF65" s="7">
        <f>IF(A65="","",IF((A65+96)&gt;Model!$B$4,0,MAX(0,Model!$B$6-IF((A65+96)&gt;=Model!$B$11,Model!$B$20,0)-IF(96&lt;Model!$B$15,Model!$B$22,0))/(1-Model!$B$9)/(1+Model!$B$18)^96))</f>
        <v/>
      </c>
      <c r="DG65" s="7">
        <f>IF(A65="","",IF((A65+97)&gt;Model!$B$4,0,MAX(0,Model!$B$6-IF((A65+97)&gt;=Model!$B$11,Model!$B$20,0)-IF(97&lt;Model!$B$15,Model!$B$22,0))/(1-Model!$B$9)/(1+Model!$B$18)^97))</f>
        <v/>
      </c>
      <c r="DH65" s="7">
        <f>IF(A65="","",IF((A65+98)&gt;Model!$B$4,0,MAX(0,Model!$B$6-IF((A65+98)&gt;=Model!$B$11,Model!$B$20,0)-IF(98&lt;Model!$B$15,Model!$B$22,0))/(1-Model!$B$9)/(1+Model!$B$18)^98))</f>
        <v/>
      </c>
      <c r="DI65" s="7">
        <f>IF(A65="","",IF((A65+99)&gt;Model!$B$4,0,MAX(0,Model!$B$6-IF((A65+99)&gt;=Model!$B$11,Model!$B$20,0)-IF(99&lt;Model!$B$15,Model!$B$22,0))/(1-Model!$B$9)/(1+Model!$B$18)^99))</f>
        <v/>
      </c>
      <c r="DJ65" s="7">
        <f>IF(A65="","",IF((A65+100)&gt;Model!$B$4,0,MAX(0,Model!$B$6-IF((A65+100)&gt;=Model!$B$11,Model!$B$20,0)-IF(100&lt;Model!$B$15,Model!$B$22,0))/(1-Model!$B$9)/(1+Model!$B$18)^100))</f>
        <v/>
      </c>
      <c r="DK65" s="7">
        <f>IF(A65="","",IF((A65+101)&gt;Model!$B$4,0,MAX(0,Model!$B$6-IF((A65+101)&gt;=Model!$B$11,Model!$B$20,0)-IF(101&lt;Model!$B$15,Model!$B$22,0))/(1-Model!$B$9)/(1+Model!$B$18)^101))</f>
        <v/>
      </c>
      <c r="DL65" s="7">
        <f>IF(A65="","",IF((A65+102)&gt;Model!$B$4,0,MAX(0,Model!$B$6-IF((A65+102)&gt;=Model!$B$11,Model!$B$20,0)-IF(102&lt;Model!$B$15,Model!$B$22,0))/(1-Model!$B$9)/(1+Model!$B$18)^102))</f>
        <v/>
      </c>
      <c r="DM65" s="7">
        <f>IF(A65="","",IF((A65+103)&gt;Model!$B$4,0,MAX(0,Model!$B$6-IF((A65+103)&gt;=Model!$B$11,Model!$B$20,0)-IF(103&lt;Model!$B$15,Model!$B$22,0))/(1-Model!$B$9)/(1+Model!$B$18)^103))</f>
        <v/>
      </c>
      <c r="DN65" s="7">
        <f>IF(A65="","",IF((A65+104)&gt;Model!$B$4,0,MAX(0,Model!$B$6-IF((A65+104)&gt;=Model!$B$11,Model!$B$20,0)-IF(104&lt;Model!$B$15,Model!$B$22,0))/(1-Model!$B$9)/(1+Model!$B$18)^104))</f>
        <v/>
      </c>
      <c r="DO65" s="7">
        <f>IF(A65="","",IF((A65+105)&gt;Model!$B$4,0,MAX(0,Model!$B$6-IF((A65+105)&gt;=Model!$B$11,Model!$B$20,0)-IF(105&lt;Model!$B$15,Model!$B$22,0))/(1-Model!$B$9)/(1+Model!$B$18)^105))</f>
        <v/>
      </c>
      <c r="DP65" s="7">
        <f>IF(A65="","",IF((A65+106)&gt;Model!$B$4,0,MAX(0,Model!$B$6-IF((A65+106)&gt;=Model!$B$11,Model!$B$20,0)-IF(106&lt;Model!$B$15,Model!$B$22,0))/(1-Model!$B$9)/(1+Model!$B$18)^106))</f>
        <v/>
      </c>
      <c r="DQ65" s="7">
        <f>IF(A65="","",IF((A65+107)&gt;Model!$B$4,0,MAX(0,Model!$B$6-IF((A65+107)&gt;=Model!$B$11,Model!$B$20,0)-IF(107&lt;Model!$B$15,Model!$B$22,0))/(1-Model!$B$9)/(1+Model!$B$18)^107))</f>
        <v/>
      </c>
      <c r="DR65" s="7">
        <f>IF(A65="","",IF((A65+108)&gt;Model!$B$4,0,MAX(0,Model!$B$6-IF((A65+108)&gt;=Model!$B$11,Model!$B$20,0)-IF(108&lt;Model!$B$15,Model!$B$22,0))/(1-Model!$B$9)/(1+Model!$B$18)^108))</f>
        <v/>
      </c>
      <c r="DS65" s="7">
        <f>IF(A65="","",IF((A65+109)&gt;Model!$B$4,0,MAX(0,Model!$B$6-IF((A65+109)&gt;=Model!$B$11,Model!$B$20,0)-IF(109&lt;Model!$B$15,Model!$B$22,0))/(1-Model!$B$9)/(1+Model!$B$18)^109))</f>
        <v/>
      </c>
      <c r="DT65" s="7">
        <f>IF(A65="","",IF((A65+110)&gt;Model!$B$4,0,MAX(0,Model!$B$6-IF((A65+110)&gt;=Model!$B$11,Model!$B$20,0)-IF(110&lt;Model!$B$15,Model!$B$22,0))/(1-Model!$B$9)/(1+Model!$B$18)^110))</f>
        <v/>
      </c>
      <c r="DU65" s="7">
        <f>IF(A65="","",IF((A65+111)&gt;Model!$B$4,0,MAX(0,Model!$B$6-IF((A65+111)&gt;=Model!$B$11,Model!$B$20,0)-IF(111&lt;Model!$B$15,Model!$B$22,0))/(1-Model!$B$9)/(1+Model!$B$18)^111))</f>
        <v/>
      </c>
      <c r="DV65" s="7">
        <f>IF(A65="","",IF((A65+112)&gt;Model!$B$4,0,MAX(0,Model!$B$6-IF((A65+112)&gt;=Model!$B$11,Model!$B$20,0)-IF(112&lt;Model!$B$15,Model!$B$22,0))/(1-Model!$B$9)/(1+Model!$B$18)^112))</f>
        <v/>
      </c>
      <c r="DW65" s="7">
        <f>IF(A65="","",IF((A65+113)&gt;Model!$B$4,0,MAX(0,Model!$B$6-IF((A65+113)&gt;=Model!$B$11,Model!$B$20,0)-IF(113&lt;Model!$B$15,Model!$B$22,0))/(1-Model!$B$9)/(1+Model!$B$18)^113))</f>
        <v/>
      </c>
      <c r="DX65" s="7">
        <f>IF(A65="","",IF((A65+114)&gt;Model!$B$4,0,MAX(0,Model!$B$6-IF((A65+114)&gt;=Model!$B$11,Model!$B$20,0)-IF(114&lt;Model!$B$15,Model!$B$22,0))/(1-Model!$B$9)/(1+Model!$B$18)^114))</f>
        <v/>
      </c>
      <c r="DY65" s="7">
        <f>IF(A65="","",IF((A65+115)&gt;Model!$B$4,0,MAX(0,Model!$B$6-IF((A65+115)&gt;=Model!$B$11,Model!$B$20,0)-IF(115&lt;Model!$B$15,Model!$B$22,0))/(1-Model!$B$9)/(1+Model!$B$18)^115))</f>
        <v/>
      </c>
      <c r="DZ65" s="7">
        <f>IF(A65="","",IF((A65+116)&gt;Model!$B$4,0,MAX(0,Model!$B$6-IF((A65+116)&gt;=Model!$B$11,Model!$B$20,0)-IF(116&lt;Model!$B$15,Model!$B$22,0))/(1-Model!$B$9)/(1+Model!$B$18)^116))</f>
        <v/>
      </c>
      <c r="EA65" s="7">
        <f>IF(A65="","",IF((A65+117)&gt;Model!$B$4,0,MAX(0,Model!$B$6-IF((A65+117)&gt;=Model!$B$11,Model!$B$20,0)-IF(117&lt;Model!$B$15,Model!$B$22,0))/(1-Model!$B$9)/(1+Model!$B$18)^117))</f>
        <v/>
      </c>
      <c r="EB65" s="7">
        <f>IF(A65="","",IF((A65+118)&gt;Model!$B$4,0,MAX(0,Model!$B$6-IF((A65+118)&gt;=Model!$B$11,Model!$B$20,0)-IF(118&lt;Model!$B$15,Model!$B$22,0))/(1-Model!$B$9)/(1+Model!$B$18)^118))</f>
        <v/>
      </c>
      <c r="EC65" s="7">
        <f>IF(A65="","",IF((A65+119)&gt;Model!$B$4,0,MAX(0,Model!$B$6-IF((A65+119)&gt;=Model!$B$11,Model!$B$20,0)-IF(119&lt;Model!$B$15,Model!$B$22,0))/(1-Model!$B$9)/(1+Model!$B$18)^119))</f>
        <v/>
      </c>
      <c r="ED65" s="7">
        <f>IF(A65="","",IF((A65+120)&gt;Model!$B$4,0,MAX(0,Model!$B$6-IF((A65+120)&gt;=Model!$B$11,Model!$B$20,0)-IF(120&lt;Model!$B$15,Model!$B$22,0))/(1-Model!$B$9)/(1+Model!$B$18)^120))</f>
        <v/>
      </c>
    </row>
    <row r="66">
      <c r="A66">
        <f>IF(Model!$B$10+ROW()-2&lt;=Model!$B$4,Model!$B$10+ROW()-2,"")</f>
        <v/>
      </c>
      <c r="B66">
        <f>IF(A66="","",A66-Model!$B$10)</f>
        <v/>
      </c>
      <c r="C66" s="7">
        <f>IF(A66="","",Model!$B$5*(1+Model!$B$18)^B66)</f>
        <v/>
      </c>
      <c r="D66" s="7">
        <f>IF(A66="","",SUM(N66:ED66))</f>
        <v/>
      </c>
      <c r="E66" s="7">
        <f>IF(A66="","",IF(A66&gt;=Model!$B$11,Model!$B$20,0))</f>
        <v/>
      </c>
      <c r="F66" s="7">
        <f>IF(A66="","",IF(Model!$B$15&gt;0,Model!$B$22,0))</f>
        <v/>
      </c>
      <c r="G66" s="7">
        <f>IF(A66="","",E66+F66)</f>
        <v/>
      </c>
      <c r="H66" s="7">
        <f>IF(A66="","",MAX(0,Model!$B$6-G66))</f>
        <v/>
      </c>
      <c r="I66" s="7">
        <f>IF(A66="","",H66/(1-Model!$B$9))</f>
        <v/>
      </c>
      <c r="J66" s="7">
        <f>IF(A66="","",C66-D66)</f>
        <v/>
      </c>
      <c r="K66">
        <f>IF(A66="","",C66&gt;=D66)</f>
        <v/>
      </c>
      <c r="L66" s="7">
        <f>IF(A66="","",IF(A66&gt;=Model!$B$11,Model!$B$19*(1+Model!$B$13)^B66,0))</f>
        <v/>
      </c>
      <c r="M66" s="7">
        <f>IF(A66="","",IF(Model!$B$15&gt;0,Model!$B$21*(1+Model!$B$13)^B66,0))</f>
        <v/>
      </c>
      <c r="N66" s="7">
        <f>IF(A66="","",IF((A66+0)&gt;Model!$B$4,0,MAX(0,Model!$B$6-IF((A66+0)&gt;=Model!$B$11,Model!$B$20,0)-IF(0&lt;Model!$B$15,Model!$B$22,0))/(1-Model!$B$9)/(1+Model!$B$18)^0))</f>
        <v/>
      </c>
      <c r="O66" s="7">
        <f>IF(A66="","",IF((A66+1)&gt;Model!$B$4,0,MAX(0,Model!$B$6-IF((A66+1)&gt;=Model!$B$11,Model!$B$20,0)-IF(1&lt;Model!$B$15,Model!$B$22,0))/(1-Model!$B$9)/(1+Model!$B$18)^1))</f>
        <v/>
      </c>
      <c r="P66" s="7">
        <f>IF(A66="","",IF((A66+2)&gt;Model!$B$4,0,MAX(0,Model!$B$6-IF((A66+2)&gt;=Model!$B$11,Model!$B$20,0)-IF(2&lt;Model!$B$15,Model!$B$22,0))/(1-Model!$B$9)/(1+Model!$B$18)^2))</f>
        <v/>
      </c>
      <c r="Q66" s="7">
        <f>IF(A66="","",IF((A66+3)&gt;Model!$B$4,0,MAX(0,Model!$B$6-IF((A66+3)&gt;=Model!$B$11,Model!$B$20,0)-IF(3&lt;Model!$B$15,Model!$B$22,0))/(1-Model!$B$9)/(1+Model!$B$18)^3))</f>
        <v/>
      </c>
      <c r="R66" s="7">
        <f>IF(A66="","",IF((A66+4)&gt;Model!$B$4,0,MAX(0,Model!$B$6-IF((A66+4)&gt;=Model!$B$11,Model!$B$20,0)-IF(4&lt;Model!$B$15,Model!$B$22,0))/(1-Model!$B$9)/(1+Model!$B$18)^4))</f>
        <v/>
      </c>
      <c r="S66" s="7">
        <f>IF(A66="","",IF((A66+5)&gt;Model!$B$4,0,MAX(0,Model!$B$6-IF((A66+5)&gt;=Model!$B$11,Model!$B$20,0)-IF(5&lt;Model!$B$15,Model!$B$22,0))/(1-Model!$B$9)/(1+Model!$B$18)^5))</f>
        <v/>
      </c>
      <c r="T66" s="7">
        <f>IF(A66="","",IF((A66+6)&gt;Model!$B$4,0,MAX(0,Model!$B$6-IF((A66+6)&gt;=Model!$B$11,Model!$B$20,0)-IF(6&lt;Model!$B$15,Model!$B$22,0))/(1-Model!$B$9)/(1+Model!$B$18)^6))</f>
        <v/>
      </c>
      <c r="U66" s="7">
        <f>IF(A66="","",IF((A66+7)&gt;Model!$B$4,0,MAX(0,Model!$B$6-IF((A66+7)&gt;=Model!$B$11,Model!$B$20,0)-IF(7&lt;Model!$B$15,Model!$B$22,0))/(1-Model!$B$9)/(1+Model!$B$18)^7))</f>
        <v/>
      </c>
      <c r="V66" s="7">
        <f>IF(A66="","",IF((A66+8)&gt;Model!$B$4,0,MAX(0,Model!$B$6-IF((A66+8)&gt;=Model!$B$11,Model!$B$20,0)-IF(8&lt;Model!$B$15,Model!$B$22,0))/(1-Model!$B$9)/(1+Model!$B$18)^8))</f>
        <v/>
      </c>
      <c r="W66" s="7">
        <f>IF(A66="","",IF((A66+9)&gt;Model!$B$4,0,MAX(0,Model!$B$6-IF((A66+9)&gt;=Model!$B$11,Model!$B$20,0)-IF(9&lt;Model!$B$15,Model!$B$22,0))/(1-Model!$B$9)/(1+Model!$B$18)^9))</f>
        <v/>
      </c>
      <c r="X66" s="7">
        <f>IF(A66="","",IF((A66+10)&gt;Model!$B$4,0,MAX(0,Model!$B$6-IF((A66+10)&gt;=Model!$B$11,Model!$B$20,0)-IF(10&lt;Model!$B$15,Model!$B$22,0))/(1-Model!$B$9)/(1+Model!$B$18)^10))</f>
        <v/>
      </c>
      <c r="Y66" s="7">
        <f>IF(A66="","",IF((A66+11)&gt;Model!$B$4,0,MAX(0,Model!$B$6-IF((A66+11)&gt;=Model!$B$11,Model!$B$20,0)-IF(11&lt;Model!$B$15,Model!$B$22,0))/(1-Model!$B$9)/(1+Model!$B$18)^11))</f>
        <v/>
      </c>
      <c r="Z66" s="7">
        <f>IF(A66="","",IF((A66+12)&gt;Model!$B$4,0,MAX(0,Model!$B$6-IF((A66+12)&gt;=Model!$B$11,Model!$B$20,0)-IF(12&lt;Model!$B$15,Model!$B$22,0))/(1-Model!$B$9)/(1+Model!$B$18)^12))</f>
        <v/>
      </c>
      <c r="AA66" s="7">
        <f>IF(A66="","",IF((A66+13)&gt;Model!$B$4,0,MAX(0,Model!$B$6-IF((A66+13)&gt;=Model!$B$11,Model!$B$20,0)-IF(13&lt;Model!$B$15,Model!$B$22,0))/(1-Model!$B$9)/(1+Model!$B$18)^13))</f>
        <v/>
      </c>
      <c r="AB66" s="7">
        <f>IF(A66="","",IF((A66+14)&gt;Model!$B$4,0,MAX(0,Model!$B$6-IF((A66+14)&gt;=Model!$B$11,Model!$B$20,0)-IF(14&lt;Model!$B$15,Model!$B$22,0))/(1-Model!$B$9)/(1+Model!$B$18)^14))</f>
        <v/>
      </c>
      <c r="AC66" s="7">
        <f>IF(A66="","",IF((A66+15)&gt;Model!$B$4,0,MAX(0,Model!$B$6-IF((A66+15)&gt;=Model!$B$11,Model!$B$20,0)-IF(15&lt;Model!$B$15,Model!$B$22,0))/(1-Model!$B$9)/(1+Model!$B$18)^15))</f>
        <v/>
      </c>
      <c r="AD66" s="7">
        <f>IF(A66="","",IF((A66+16)&gt;Model!$B$4,0,MAX(0,Model!$B$6-IF((A66+16)&gt;=Model!$B$11,Model!$B$20,0)-IF(16&lt;Model!$B$15,Model!$B$22,0))/(1-Model!$B$9)/(1+Model!$B$18)^16))</f>
        <v/>
      </c>
      <c r="AE66" s="7">
        <f>IF(A66="","",IF((A66+17)&gt;Model!$B$4,0,MAX(0,Model!$B$6-IF((A66+17)&gt;=Model!$B$11,Model!$B$20,0)-IF(17&lt;Model!$B$15,Model!$B$22,0))/(1-Model!$B$9)/(1+Model!$B$18)^17))</f>
        <v/>
      </c>
      <c r="AF66" s="7">
        <f>IF(A66="","",IF((A66+18)&gt;Model!$B$4,0,MAX(0,Model!$B$6-IF((A66+18)&gt;=Model!$B$11,Model!$B$20,0)-IF(18&lt;Model!$B$15,Model!$B$22,0))/(1-Model!$B$9)/(1+Model!$B$18)^18))</f>
        <v/>
      </c>
      <c r="AG66" s="7">
        <f>IF(A66="","",IF((A66+19)&gt;Model!$B$4,0,MAX(0,Model!$B$6-IF((A66+19)&gt;=Model!$B$11,Model!$B$20,0)-IF(19&lt;Model!$B$15,Model!$B$22,0))/(1-Model!$B$9)/(1+Model!$B$18)^19))</f>
        <v/>
      </c>
      <c r="AH66" s="7">
        <f>IF(A66="","",IF((A66+20)&gt;Model!$B$4,0,MAX(0,Model!$B$6-IF((A66+20)&gt;=Model!$B$11,Model!$B$20,0)-IF(20&lt;Model!$B$15,Model!$B$22,0))/(1-Model!$B$9)/(1+Model!$B$18)^20))</f>
        <v/>
      </c>
      <c r="AI66" s="7">
        <f>IF(A66="","",IF((A66+21)&gt;Model!$B$4,0,MAX(0,Model!$B$6-IF((A66+21)&gt;=Model!$B$11,Model!$B$20,0)-IF(21&lt;Model!$B$15,Model!$B$22,0))/(1-Model!$B$9)/(1+Model!$B$18)^21))</f>
        <v/>
      </c>
      <c r="AJ66" s="7">
        <f>IF(A66="","",IF((A66+22)&gt;Model!$B$4,0,MAX(0,Model!$B$6-IF((A66+22)&gt;=Model!$B$11,Model!$B$20,0)-IF(22&lt;Model!$B$15,Model!$B$22,0))/(1-Model!$B$9)/(1+Model!$B$18)^22))</f>
        <v/>
      </c>
      <c r="AK66" s="7">
        <f>IF(A66="","",IF((A66+23)&gt;Model!$B$4,0,MAX(0,Model!$B$6-IF((A66+23)&gt;=Model!$B$11,Model!$B$20,0)-IF(23&lt;Model!$B$15,Model!$B$22,0))/(1-Model!$B$9)/(1+Model!$B$18)^23))</f>
        <v/>
      </c>
      <c r="AL66" s="7">
        <f>IF(A66="","",IF((A66+24)&gt;Model!$B$4,0,MAX(0,Model!$B$6-IF((A66+24)&gt;=Model!$B$11,Model!$B$20,0)-IF(24&lt;Model!$B$15,Model!$B$22,0))/(1-Model!$B$9)/(1+Model!$B$18)^24))</f>
        <v/>
      </c>
      <c r="AM66" s="7">
        <f>IF(A66="","",IF((A66+25)&gt;Model!$B$4,0,MAX(0,Model!$B$6-IF((A66+25)&gt;=Model!$B$11,Model!$B$20,0)-IF(25&lt;Model!$B$15,Model!$B$22,0))/(1-Model!$B$9)/(1+Model!$B$18)^25))</f>
        <v/>
      </c>
      <c r="AN66" s="7">
        <f>IF(A66="","",IF((A66+26)&gt;Model!$B$4,0,MAX(0,Model!$B$6-IF((A66+26)&gt;=Model!$B$11,Model!$B$20,0)-IF(26&lt;Model!$B$15,Model!$B$22,0))/(1-Model!$B$9)/(1+Model!$B$18)^26))</f>
        <v/>
      </c>
      <c r="AO66" s="7">
        <f>IF(A66="","",IF((A66+27)&gt;Model!$B$4,0,MAX(0,Model!$B$6-IF((A66+27)&gt;=Model!$B$11,Model!$B$20,0)-IF(27&lt;Model!$B$15,Model!$B$22,0))/(1-Model!$B$9)/(1+Model!$B$18)^27))</f>
        <v/>
      </c>
      <c r="AP66" s="7">
        <f>IF(A66="","",IF((A66+28)&gt;Model!$B$4,0,MAX(0,Model!$B$6-IF((A66+28)&gt;=Model!$B$11,Model!$B$20,0)-IF(28&lt;Model!$B$15,Model!$B$22,0))/(1-Model!$B$9)/(1+Model!$B$18)^28))</f>
        <v/>
      </c>
      <c r="AQ66" s="7">
        <f>IF(A66="","",IF((A66+29)&gt;Model!$B$4,0,MAX(0,Model!$B$6-IF((A66+29)&gt;=Model!$B$11,Model!$B$20,0)-IF(29&lt;Model!$B$15,Model!$B$22,0))/(1-Model!$B$9)/(1+Model!$B$18)^29))</f>
        <v/>
      </c>
      <c r="AR66" s="7">
        <f>IF(A66="","",IF((A66+30)&gt;Model!$B$4,0,MAX(0,Model!$B$6-IF((A66+30)&gt;=Model!$B$11,Model!$B$20,0)-IF(30&lt;Model!$B$15,Model!$B$22,0))/(1-Model!$B$9)/(1+Model!$B$18)^30))</f>
        <v/>
      </c>
      <c r="AS66" s="7">
        <f>IF(A66="","",IF((A66+31)&gt;Model!$B$4,0,MAX(0,Model!$B$6-IF((A66+31)&gt;=Model!$B$11,Model!$B$20,0)-IF(31&lt;Model!$B$15,Model!$B$22,0))/(1-Model!$B$9)/(1+Model!$B$18)^31))</f>
        <v/>
      </c>
      <c r="AT66" s="7">
        <f>IF(A66="","",IF((A66+32)&gt;Model!$B$4,0,MAX(0,Model!$B$6-IF((A66+32)&gt;=Model!$B$11,Model!$B$20,0)-IF(32&lt;Model!$B$15,Model!$B$22,0))/(1-Model!$B$9)/(1+Model!$B$18)^32))</f>
        <v/>
      </c>
      <c r="AU66" s="7">
        <f>IF(A66="","",IF((A66+33)&gt;Model!$B$4,0,MAX(0,Model!$B$6-IF((A66+33)&gt;=Model!$B$11,Model!$B$20,0)-IF(33&lt;Model!$B$15,Model!$B$22,0))/(1-Model!$B$9)/(1+Model!$B$18)^33))</f>
        <v/>
      </c>
      <c r="AV66" s="7">
        <f>IF(A66="","",IF((A66+34)&gt;Model!$B$4,0,MAX(0,Model!$B$6-IF((A66+34)&gt;=Model!$B$11,Model!$B$20,0)-IF(34&lt;Model!$B$15,Model!$B$22,0))/(1-Model!$B$9)/(1+Model!$B$18)^34))</f>
        <v/>
      </c>
      <c r="AW66" s="7">
        <f>IF(A66="","",IF((A66+35)&gt;Model!$B$4,0,MAX(0,Model!$B$6-IF((A66+35)&gt;=Model!$B$11,Model!$B$20,0)-IF(35&lt;Model!$B$15,Model!$B$22,0))/(1-Model!$B$9)/(1+Model!$B$18)^35))</f>
        <v/>
      </c>
      <c r="AX66" s="7">
        <f>IF(A66="","",IF((A66+36)&gt;Model!$B$4,0,MAX(0,Model!$B$6-IF((A66+36)&gt;=Model!$B$11,Model!$B$20,0)-IF(36&lt;Model!$B$15,Model!$B$22,0))/(1-Model!$B$9)/(1+Model!$B$18)^36))</f>
        <v/>
      </c>
      <c r="AY66" s="7">
        <f>IF(A66="","",IF((A66+37)&gt;Model!$B$4,0,MAX(0,Model!$B$6-IF((A66+37)&gt;=Model!$B$11,Model!$B$20,0)-IF(37&lt;Model!$B$15,Model!$B$22,0))/(1-Model!$B$9)/(1+Model!$B$18)^37))</f>
        <v/>
      </c>
      <c r="AZ66" s="7">
        <f>IF(A66="","",IF((A66+38)&gt;Model!$B$4,0,MAX(0,Model!$B$6-IF((A66+38)&gt;=Model!$B$11,Model!$B$20,0)-IF(38&lt;Model!$B$15,Model!$B$22,0))/(1-Model!$B$9)/(1+Model!$B$18)^38))</f>
        <v/>
      </c>
      <c r="BA66" s="7">
        <f>IF(A66="","",IF((A66+39)&gt;Model!$B$4,0,MAX(0,Model!$B$6-IF((A66+39)&gt;=Model!$B$11,Model!$B$20,0)-IF(39&lt;Model!$B$15,Model!$B$22,0))/(1-Model!$B$9)/(1+Model!$B$18)^39))</f>
        <v/>
      </c>
      <c r="BB66" s="7">
        <f>IF(A66="","",IF((A66+40)&gt;Model!$B$4,0,MAX(0,Model!$B$6-IF((A66+40)&gt;=Model!$B$11,Model!$B$20,0)-IF(40&lt;Model!$B$15,Model!$B$22,0))/(1-Model!$B$9)/(1+Model!$B$18)^40))</f>
        <v/>
      </c>
      <c r="BC66" s="7">
        <f>IF(A66="","",IF((A66+41)&gt;Model!$B$4,0,MAX(0,Model!$B$6-IF((A66+41)&gt;=Model!$B$11,Model!$B$20,0)-IF(41&lt;Model!$B$15,Model!$B$22,0))/(1-Model!$B$9)/(1+Model!$B$18)^41))</f>
        <v/>
      </c>
      <c r="BD66" s="7">
        <f>IF(A66="","",IF((A66+42)&gt;Model!$B$4,0,MAX(0,Model!$B$6-IF((A66+42)&gt;=Model!$B$11,Model!$B$20,0)-IF(42&lt;Model!$B$15,Model!$B$22,0))/(1-Model!$B$9)/(1+Model!$B$18)^42))</f>
        <v/>
      </c>
      <c r="BE66" s="7">
        <f>IF(A66="","",IF((A66+43)&gt;Model!$B$4,0,MAX(0,Model!$B$6-IF((A66+43)&gt;=Model!$B$11,Model!$B$20,0)-IF(43&lt;Model!$B$15,Model!$B$22,0))/(1-Model!$B$9)/(1+Model!$B$18)^43))</f>
        <v/>
      </c>
      <c r="BF66" s="7">
        <f>IF(A66="","",IF((A66+44)&gt;Model!$B$4,0,MAX(0,Model!$B$6-IF((A66+44)&gt;=Model!$B$11,Model!$B$20,0)-IF(44&lt;Model!$B$15,Model!$B$22,0))/(1-Model!$B$9)/(1+Model!$B$18)^44))</f>
        <v/>
      </c>
      <c r="BG66" s="7">
        <f>IF(A66="","",IF((A66+45)&gt;Model!$B$4,0,MAX(0,Model!$B$6-IF((A66+45)&gt;=Model!$B$11,Model!$B$20,0)-IF(45&lt;Model!$B$15,Model!$B$22,0))/(1-Model!$B$9)/(1+Model!$B$18)^45))</f>
        <v/>
      </c>
      <c r="BH66" s="7">
        <f>IF(A66="","",IF((A66+46)&gt;Model!$B$4,0,MAX(0,Model!$B$6-IF((A66+46)&gt;=Model!$B$11,Model!$B$20,0)-IF(46&lt;Model!$B$15,Model!$B$22,0))/(1-Model!$B$9)/(1+Model!$B$18)^46))</f>
        <v/>
      </c>
      <c r="BI66" s="7">
        <f>IF(A66="","",IF((A66+47)&gt;Model!$B$4,0,MAX(0,Model!$B$6-IF((A66+47)&gt;=Model!$B$11,Model!$B$20,0)-IF(47&lt;Model!$B$15,Model!$B$22,0))/(1-Model!$B$9)/(1+Model!$B$18)^47))</f>
        <v/>
      </c>
      <c r="BJ66" s="7">
        <f>IF(A66="","",IF((A66+48)&gt;Model!$B$4,0,MAX(0,Model!$B$6-IF((A66+48)&gt;=Model!$B$11,Model!$B$20,0)-IF(48&lt;Model!$B$15,Model!$B$22,0))/(1-Model!$B$9)/(1+Model!$B$18)^48))</f>
        <v/>
      </c>
      <c r="BK66" s="7">
        <f>IF(A66="","",IF((A66+49)&gt;Model!$B$4,0,MAX(0,Model!$B$6-IF((A66+49)&gt;=Model!$B$11,Model!$B$20,0)-IF(49&lt;Model!$B$15,Model!$B$22,0))/(1-Model!$B$9)/(1+Model!$B$18)^49))</f>
        <v/>
      </c>
      <c r="BL66" s="7">
        <f>IF(A66="","",IF((A66+50)&gt;Model!$B$4,0,MAX(0,Model!$B$6-IF((A66+50)&gt;=Model!$B$11,Model!$B$20,0)-IF(50&lt;Model!$B$15,Model!$B$22,0))/(1-Model!$B$9)/(1+Model!$B$18)^50))</f>
        <v/>
      </c>
      <c r="BM66" s="7">
        <f>IF(A66="","",IF((A66+51)&gt;Model!$B$4,0,MAX(0,Model!$B$6-IF((A66+51)&gt;=Model!$B$11,Model!$B$20,0)-IF(51&lt;Model!$B$15,Model!$B$22,0))/(1-Model!$B$9)/(1+Model!$B$18)^51))</f>
        <v/>
      </c>
      <c r="BN66" s="7">
        <f>IF(A66="","",IF((A66+52)&gt;Model!$B$4,0,MAX(0,Model!$B$6-IF((A66+52)&gt;=Model!$B$11,Model!$B$20,0)-IF(52&lt;Model!$B$15,Model!$B$22,0))/(1-Model!$B$9)/(1+Model!$B$18)^52))</f>
        <v/>
      </c>
      <c r="BO66" s="7">
        <f>IF(A66="","",IF((A66+53)&gt;Model!$B$4,0,MAX(0,Model!$B$6-IF((A66+53)&gt;=Model!$B$11,Model!$B$20,0)-IF(53&lt;Model!$B$15,Model!$B$22,0))/(1-Model!$B$9)/(1+Model!$B$18)^53))</f>
        <v/>
      </c>
      <c r="BP66" s="7">
        <f>IF(A66="","",IF((A66+54)&gt;Model!$B$4,0,MAX(0,Model!$B$6-IF((A66+54)&gt;=Model!$B$11,Model!$B$20,0)-IF(54&lt;Model!$B$15,Model!$B$22,0))/(1-Model!$B$9)/(1+Model!$B$18)^54))</f>
        <v/>
      </c>
      <c r="BQ66" s="7">
        <f>IF(A66="","",IF((A66+55)&gt;Model!$B$4,0,MAX(0,Model!$B$6-IF((A66+55)&gt;=Model!$B$11,Model!$B$20,0)-IF(55&lt;Model!$B$15,Model!$B$22,0))/(1-Model!$B$9)/(1+Model!$B$18)^55))</f>
        <v/>
      </c>
      <c r="BR66" s="7">
        <f>IF(A66="","",IF((A66+56)&gt;Model!$B$4,0,MAX(0,Model!$B$6-IF((A66+56)&gt;=Model!$B$11,Model!$B$20,0)-IF(56&lt;Model!$B$15,Model!$B$22,0))/(1-Model!$B$9)/(1+Model!$B$18)^56))</f>
        <v/>
      </c>
      <c r="BS66" s="7">
        <f>IF(A66="","",IF((A66+57)&gt;Model!$B$4,0,MAX(0,Model!$B$6-IF((A66+57)&gt;=Model!$B$11,Model!$B$20,0)-IF(57&lt;Model!$B$15,Model!$B$22,0))/(1-Model!$B$9)/(1+Model!$B$18)^57))</f>
        <v/>
      </c>
      <c r="BT66" s="7">
        <f>IF(A66="","",IF((A66+58)&gt;Model!$B$4,0,MAX(0,Model!$B$6-IF((A66+58)&gt;=Model!$B$11,Model!$B$20,0)-IF(58&lt;Model!$B$15,Model!$B$22,0))/(1-Model!$B$9)/(1+Model!$B$18)^58))</f>
        <v/>
      </c>
      <c r="BU66" s="7">
        <f>IF(A66="","",IF((A66+59)&gt;Model!$B$4,0,MAX(0,Model!$B$6-IF((A66+59)&gt;=Model!$B$11,Model!$B$20,0)-IF(59&lt;Model!$B$15,Model!$B$22,0))/(1-Model!$B$9)/(1+Model!$B$18)^59))</f>
        <v/>
      </c>
      <c r="BV66" s="7">
        <f>IF(A66="","",IF((A66+60)&gt;Model!$B$4,0,MAX(0,Model!$B$6-IF((A66+60)&gt;=Model!$B$11,Model!$B$20,0)-IF(60&lt;Model!$B$15,Model!$B$22,0))/(1-Model!$B$9)/(1+Model!$B$18)^60))</f>
        <v/>
      </c>
      <c r="BW66" s="7">
        <f>IF(A66="","",IF((A66+61)&gt;Model!$B$4,0,MAX(0,Model!$B$6-IF((A66+61)&gt;=Model!$B$11,Model!$B$20,0)-IF(61&lt;Model!$B$15,Model!$B$22,0))/(1-Model!$B$9)/(1+Model!$B$18)^61))</f>
        <v/>
      </c>
      <c r="BX66" s="7">
        <f>IF(A66="","",IF((A66+62)&gt;Model!$B$4,0,MAX(0,Model!$B$6-IF((A66+62)&gt;=Model!$B$11,Model!$B$20,0)-IF(62&lt;Model!$B$15,Model!$B$22,0))/(1-Model!$B$9)/(1+Model!$B$18)^62))</f>
        <v/>
      </c>
      <c r="BY66" s="7">
        <f>IF(A66="","",IF((A66+63)&gt;Model!$B$4,0,MAX(0,Model!$B$6-IF((A66+63)&gt;=Model!$B$11,Model!$B$20,0)-IF(63&lt;Model!$B$15,Model!$B$22,0))/(1-Model!$B$9)/(1+Model!$B$18)^63))</f>
        <v/>
      </c>
      <c r="BZ66" s="7">
        <f>IF(A66="","",IF((A66+64)&gt;Model!$B$4,0,MAX(0,Model!$B$6-IF((A66+64)&gt;=Model!$B$11,Model!$B$20,0)-IF(64&lt;Model!$B$15,Model!$B$22,0))/(1-Model!$B$9)/(1+Model!$B$18)^64))</f>
        <v/>
      </c>
      <c r="CA66" s="7">
        <f>IF(A66="","",IF((A66+65)&gt;Model!$B$4,0,MAX(0,Model!$B$6-IF((A66+65)&gt;=Model!$B$11,Model!$B$20,0)-IF(65&lt;Model!$B$15,Model!$B$22,0))/(1-Model!$B$9)/(1+Model!$B$18)^65))</f>
        <v/>
      </c>
      <c r="CB66" s="7">
        <f>IF(A66="","",IF((A66+66)&gt;Model!$B$4,0,MAX(0,Model!$B$6-IF((A66+66)&gt;=Model!$B$11,Model!$B$20,0)-IF(66&lt;Model!$B$15,Model!$B$22,0))/(1-Model!$B$9)/(1+Model!$B$18)^66))</f>
        <v/>
      </c>
      <c r="CC66" s="7">
        <f>IF(A66="","",IF((A66+67)&gt;Model!$B$4,0,MAX(0,Model!$B$6-IF((A66+67)&gt;=Model!$B$11,Model!$B$20,0)-IF(67&lt;Model!$B$15,Model!$B$22,0))/(1-Model!$B$9)/(1+Model!$B$18)^67))</f>
        <v/>
      </c>
      <c r="CD66" s="7">
        <f>IF(A66="","",IF((A66+68)&gt;Model!$B$4,0,MAX(0,Model!$B$6-IF((A66+68)&gt;=Model!$B$11,Model!$B$20,0)-IF(68&lt;Model!$B$15,Model!$B$22,0))/(1-Model!$B$9)/(1+Model!$B$18)^68))</f>
        <v/>
      </c>
      <c r="CE66" s="7">
        <f>IF(A66="","",IF((A66+69)&gt;Model!$B$4,0,MAX(0,Model!$B$6-IF((A66+69)&gt;=Model!$B$11,Model!$B$20,0)-IF(69&lt;Model!$B$15,Model!$B$22,0))/(1-Model!$B$9)/(1+Model!$B$18)^69))</f>
        <v/>
      </c>
      <c r="CF66" s="7">
        <f>IF(A66="","",IF((A66+70)&gt;Model!$B$4,0,MAX(0,Model!$B$6-IF((A66+70)&gt;=Model!$B$11,Model!$B$20,0)-IF(70&lt;Model!$B$15,Model!$B$22,0))/(1-Model!$B$9)/(1+Model!$B$18)^70))</f>
        <v/>
      </c>
      <c r="CG66" s="7">
        <f>IF(A66="","",IF((A66+71)&gt;Model!$B$4,0,MAX(0,Model!$B$6-IF((A66+71)&gt;=Model!$B$11,Model!$B$20,0)-IF(71&lt;Model!$B$15,Model!$B$22,0))/(1-Model!$B$9)/(1+Model!$B$18)^71))</f>
        <v/>
      </c>
      <c r="CH66" s="7">
        <f>IF(A66="","",IF((A66+72)&gt;Model!$B$4,0,MAX(0,Model!$B$6-IF((A66+72)&gt;=Model!$B$11,Model!$B$20,0)-IF(72&lt;Model!$B$15,Model!$B$22,0))/(1-Model!$B$9)/(1+Model!$B$18)^72))</f>
        <v/>
      </c>
      <c r="CI66" s="7">
        <f>IF(A66="","",IF((A66+73)&gt;Model!$B$4,0,MAX(0,Model!$B$6-IF((A66+73)&gt;=Model!$B$11,Model!$B$20,0)-IF(73&lt;Model!$B$15,Model!$B$22,0))/(1-Model!$B$9)/(1+Model!$B$18)^73))</f>
        <v/>
      </c>
      <c r="CJ66" s="7">
        <f>IF(A66="","",IF((A66+74)&gt;Model!$B$4,0,MAX(0,Model!$B$6-IF((A66+74)&gt;=Model!$B$11,Model!$B$20,0)-IF(74&lt;Model!$B$15,Model!$B$22,0))/(1-Model!$B$9)/(1+Model!$B$18)^74))</f>
        <v/>
      </c>
      <c r="CK66" s="7">
        <f>IF(A66="","",IF((A66+75)&gt;Model!$B$4,0,MAX(0,Model!$B$6-IF((A66+75)&gt;=Model!$B$11,Model!$B$20,0)-IF(75&lt;Model!$B$15,Model!$B$22,0))/(1-Model!$B$9)/(1+Model!$B$18)^75))</f>
        <v/>
      </c>
      <c r="CL66" s="7">
        <f>IF(A66="","",IF((A66+76)&gt;Model!$B$4,0,MAX(0,Model!$B$6-IF((A66+76)&gt;=Model!$B$11,Model!$B$20,0)-IF(76&lt;Model!$B$15,Model!$B$22,0))/(1-Model!$B$9)/(1+Model!$B$18)^76))</f>
        <v/>
      </c>
      <c r="CM66" s="7">
        <f>IF(A66="","",IF((A66+77)&gt;Model!$B$4,0,MAX(0,Model!$B$6-IF((A66+77)&gt;=Model!$B$11,Model!$B$20,0)-IF(77&lt;Model!$B$15,Model!$B$22,0))/(1-Model!$B$9)/(1+Model!$B$18)^77))</f>
        <v/>
      </c>
      <c r="CN66" s="7">
        <f>IF(A66="","",IF((A66+78)&gt;Model!$B$4,0,MAX(0,Model!$B$6-IF((A66+78)&gt;=Model!$B$11,Model!$B$20,0)-IF(78&lt;Model!$B$15,Model!$B$22,0))/(1-Model!$B$9)/(1+Model!$B$18)^78))</f>
        <v/>
      </c>
      <c r="CO66" s="7">
        <f>IF(A66="","",IF((A66+79)&gt;Model!$B$4,0,MAX(0,Model!$B$6-IF((A66+79)&gt;=Model!$B$11,Model!$B$20,0)-IF(79&lt;Model!$B$15,Model!$B$22,0))/(1-Model!$B$9)/(1+Model!$B$18)^79))</f>
        <v/>
      </c>
      <c r="CP66" s="7">
        <f>IF(A66="","",IF((A66+80)&gt;Model!$B$4,0,MAX(0,Model!$B$6-IF((A66+80)&gt;=Model!$B$11,Model!$B$20,0)-IF(80&lt;Model!$B$15,Model!$B$22,0))/(1-Model!$B$9)/(1+Model!$B$18)^80))</f>
        <v/>
      </c>
      <c r="CQ66" s="7">
        <f>IF(A66="","",IF((A66+81)&gt;Model!$B$4,0,MAX(0,Model!$B$6-IF((A66+81)&gt;=Model!$B$11,Model!$B$20,0)-IF(81&lt;Model!$B$15,Model!$B$22,0))/(1-Model!$B$9)/(1+Model!$B$18)^81))</f>
        <v/>
      </c>
      <c r="CR66" s="7">
        <f>IF(A66="","",IF((A66+82)&gt;Model!$B$4,0,MAX(0,Model!$B$6-IF((A66+82)&gt;=Model!$B$11,Model!$B$20,0)-IF(82&lt;Model!$B$15,Model!$B$22,0))/(1-Model!$B$9)/(1+Model!$B$18)^82))</f>
        <v/>
      </c>
      <c r="CS66" s="7">
        <f>IF(A66="","",IF((A66+83)&gt;Model!$B$4,0,MAX(0,Model!$B$6-IF((A66+83)&gt;=Model!$B$11,Model!$B$20,0)-IF(83&lt;Model!$B$15,Model!$B$22,0))/(1-Model!$B$9)/(1+Model!$B$18)^83))</f>
        <v/>
      </c>
      <c r="CT66" s="7">
        <f>IF(A66="","",IF((A66+84)&gt;Model!$B$4,0,MAX(0,Model!$B$6-IF((A66+84)&gt;=Model!$B$11,Model!$B$20,0)-IF(84&lt;Model!$B$15,Model!$B$22,0))/(1-Model!$B$9)/(1+Model!$B$18)^84))</f>
        <v/>
      </c>
      <c r="CU66" s="7">
        <f>IF(A66="","",IF((A66+85)&gt;Model!$B$4,0,MAX(0,Model!$B$6-IF((A66+85)&gt;=Model!$B$11,Model!$B$20,0)-IF(85&lt;Model!$B$15,Model!$B$22,0))/(1-Model!$B$9)/(1+Model!$B$18)^85))</f>
        <v/>
      </c>
      <c r="CV66" s="7">
        <f>IF(A66="","",IF((A66+86)&gt;Model!$B$4,0,MAX(0,Model!$B$6-IF((A66+86)&gt;=Model!$B$11,Model!$B$20,0)-IF(86&lt;Model!$B$15,Model!$B$22,0))/(1-Model!$B$9)/(1+Model!$B$18)^86))</f>
        <v/>
      </c>
      <c r="CW66" s="7">
        <f>IF(A66="","",IF((A66+87)&gt;Model!$B$4,0,MAX(0,Model!$B$6-IF((A66+87)&gt;=Model!$B$11,Model!$B$20,0)-IF(87&lt;Model!$B$15,Model!$B$22,0))/(1-Model!$B$9)/(1+Model!$B$18)^87))</f>
        <v/>
      </c>
      <c r="CX66" s="7">
        <f>IF(A66="","",IF((A66+88)&gt;Model!$B$4,0,MAX(0,Model!$B$6-IF((A66+88)&gt;=Model!$B$11,Model!$B$20,0)-IF(88&lt;Model!$B$15,Model!$B$22,0))/(1-Model!$B$9)/(1+Model!$B$18)^88))</f>
        <v/>
      </c>
      <c r="CY66" s="7">
        <f>IF(A66="","",IF((A66+89)&gt;Model!$B$4,0,MAX(0,Model!$B$6-IF((A66+89)&gt;=Model!$B$11,Model!$B$20,0)-IF(89&lt;Model!$B$15,Model!$B$22,0))/(1-Model!$B$9)/(1+Model!$B$18)^89))</f>
        <v/>
      </c>
      <c r="CZ66" s="7">
        <f>IF(A66="","",IF((A66+90)&gt;Model!$B$4,0,MAX(0,Model!$B$6-IF((A66+90)&gt;=Model!$B$11,Model!$B$20,0)-IF(90&lt;Model!$B$15,Model!$B$22,0))/(1-Model!$B$9)/(1+Model!$B$18)^90))</f>
        <v/>
      </c>
      <c r="DA66" s="7">
        <f>IF(A66="","",IF((A66+91)&gt;Model!$B$4,0,MAX(0,Model!$B$6-IF((A66+91)&gt;=Model!$B$11,Model!$B$20,0)-IF(91&lt;Model!$B$15,Model!$B$22,0))/(1-Model!$B$9)/(1+Model!$B$18)^91))</f>
        <v/>
      </c>
      <c r="DB66" s="7">
        <f>IF(A66="","",IF((A66+92)&gt;Model!$B$4,0,MAX(0,Model!$B$6-IF((A66+92)&gt;=Model!$B$11,Model!$B$20,0)-IF(92&lt;Model!$B$15,Model!$B$22,0))/(1-Model!$B$9)/(1+Model!$B$18)^92))</f>
        <v/>
      </c>
      <c r="DC66" s="7">
        <f>IF(A66="","",IF((A66+93)&gt;Model!$B$4,0,MAX(0,Model!$B$6-IF((A66+93)&gt;=Model!$B$11,Model!$B$20,0)-IF(93&lt;Model!$B$15,Model!$B$22,0))/(1-Model!$B$9)/(1+Model!$B$18)^93))</f>
        <v/>
      </c>
      <c r="DD66" s="7">
        <f>IF(A66="","",IF((A66+94)&gt;Model!$B$4,0,MAX(0,Model!$B$6-IF((A66+94)&gt;=Model!$B$11,Model!$B$20,0)-IF(94&lt;Model!$B$15,Model!$B$22,0))/(1-Model!$B$9)/(1+Model!$B$18)^94))</f>
        <v/>
      </c>
      <c r="DE66" s="7">
        <f>IF(A66="","",IF((A66+95)&gt;Model!$B$4,0,MAX(0,Model!$B$6-IF((A66+95)&gt;=Model!$B$11,Model!$B$20,0)-IF(95&lt;Model!$B$15,Model!$B$22,0))/(1-Model!$B$9)/(1+Model!$B$18)^95))</f>
        <v/>
      </c>
      <c r="DF66" s="7">
        <f>IF(A66="","",IF((A66+96)&gt;Model!$B$4,0,MAX(0,Model!$B$6-IF((A66+96)&gt;=Model!$B$11,Model!$B$20,0)-IF(96&lt;Model!$B$15,Model!$B$22,0))/(1-Model!$B$9)/(1+Model!$B$18)^96))</f>
        <v/>
      </c>
      <c r="DG66" s="7">
        <f>IF(A66="","",IF((A66+97)&gt;Model!$B$4,0,MAX(0,Model!$B$6-IF((A66+97)&gt;=Model!$B$11,Model!$B$20,0)-IF(97&lt;Model!$B$15,Model!$B$22,0))/(1-Model!$B$9)/(1+Model!$B$18)^97))</f>
        <v/>
      </c>
      <c r="DH66" s="7">
        <f>IF(A66="","",IF((A66+98)&gt;Model!$B$4,0,MAX(0,Model!$B$6-IF((A66+98)&gt;=Model!$B$11,Model!$B$20,0)-IF(98&lt;Model!$B$15,Model!$B$22,0))/(1-Model!$B$9)/(1+Model!$B$18)^98))</f>
        <v/>
      </c>
      <c r="DI66" s="7">
        <f>IF(A66="","",IF((A66+99)&gt;Model!$B$4,0,MAX(0,Model!$B$6-IF((A66+99)&gt;=Model!$B$11,Model!$B$20,0)-IF(99&lt;Model!$B$15,Model!$B$22,0))/(1-Model!$B$9)/(1+Model!$B$18)^99))</f>
        <v/>
      </c>
      <c r="DJ66" s="7">
        <f>IF(A66="","",IF((A66+100)&gt;Model!$B$4,0,MAX(0,Model!$B$6-IF((A66+100)&gt;=Model!$B$11,Model!$B$20,0)-IF(100&lt;Model!$B$15,Model!$B$22,0))/(1-Model!$B$9)/(1+Model!$B$18)^100))</f>
        <v/>
      </c>
      <c r="DK66" s="7">
        <f>IF(A66="","",IF((A66+101)&gt;Model!$B$4,0,MAX(0,Model!$B$6-IF((A66+101)&gt;=Model!$B$11,Model!$B$20,0)-IF(101&lt;Model!$B$15,Model!$B$22,0))/(1-Model!$B$9)/(1+Model!$B$18)^101))</f>
        <v/>
      </c>
      <c r="DL66" s="7">
        <f>IF(A66="","",IF((A66+102)&gt;Model!$B$4,0,MAX(0,Model!$B$6-IF((A66+102)&gt;=Model!$B$11,Model!$B$20,0)-IF(102&lt;Model!$B$15,Model!$B$22,0))/(1-Model!$B$9)/(1+Model!$B$18)^102))</f>
        <v/>
      </c>
      <c r="DM66" s="7">
        <f>IF(A66="","",IF((A66+103)&gt;Model!$B$4,0,MAX(0,Model!$B$6-IF((A66+103)&gt;=Model!$B$11,Model!$B$20,0)-IF(103&lt;Model!$B$15,Model!$B$22,0))/(1-Model!$B$9)/(1+Model!$B$18)^103))</f>
        <v/>
      </c>
      <c r="DN66" s="7">
        <f>IF(A66="","",IF((A66+104)&gt;Model!$B$4,0,MAX(0,Model!$B$6-IF((A66+104)&gt;=Model!$B$11,Model!$B$20,0)-IF(104&lt;Model!$B$15,Model!$B$22,0))/(1-Model!$B$9)/(1+Model!$B$18)^104))</f>
        <v/>
      </c>
      <c r="DO66" s="7">
        <f>IF(A66="","",IF((A66+105)&gt;Model!$B$4,0,MAX(0,Model!$B$6-IF((A66+105)&gt;=Model!$B$11,Model!$B$20,0)-IF(105&lt;Model!$B$15,Model!$B$22,0))/(1-Model!$B$9)/(1+Model!$B$18)^105))</f>
        <v/>
      </c>
      <c r="DP66" s="7">
        <f>IF(A66="","",IF((A66+106)&gt;Model!$B$4,0,MAX(0,Model!$B$6-IF((A66+106)&gt;=Model!$B$11,Model!$B$20,0)-IF(106&lt;Model!$B$15,Model!$B$22,0))/(1-Model!$B$9)/(1+Model!$B$18)^106))</f>
        <v/>
      </c>
      <c r="DQ66" s="7">
        <f>IF(A66="","",IF((A66+107)&gt;Model!$B$4,0,MAX(0,Model!$B$6-IF((A66+107)&gt;=Model!$B$11,Model!$B$20,0)-IF(107&lt;Model!$B$15,Model!$B$22,0))/(1-Model!$B$9)/(1+Model!$B$18)^107))</f>
        <v/>
      </c>
      <c r="DR66" s="7">
        <f>IF(A66="","",IF((A66+108)&gt;Model!$B$4,0,MAX(0,Model!$B$6-IF((A66+108)&gt;=Model!$B$11,Model!$B$20,0)-IF(108&lt;Model!$B$15,Model!$B$22,0))/(1-Model!$B$9)/(1+Model!$B$18)^108))</f>
        <v/>
      </c>
      <c r="DS66" s="7">
        <f>IF(A66="","",IF((A66+109)&gt;Model!$B$4,0,MAX(0,Model!$B$6-IF((A66+109)&gt;=Model!$B$11,Model!$B$20,0)-IF(109&lt;Model!$B$15,Model!$B$22,0))/(1-Model!$B$9)/(1+Model!$B$18)^109))</f>
        <v/>
      </c>
      <c r="DT66" s="7">
        <f>IF(A66="","",IF((A66+110)&gt;Model!$B$4,0,MAX(0,Model!$B$6-IF((A66+110)&gt;=Model!$B$11,Model!$B$20,0)-IF(110&lt;Model!$B$15,Model!$B$22,0))/(1-Model!$B$9)/(1+Model!$B$18)^110))</f>
        <v/>
      </c>
      <c r="DU66" s="7">
        <f>IF(A66="","",IF((A66+111)&gt;Model!$B$4,0,MAX(0,Model!$B$6-IF((A66+111)&gt;=Model!$B$11,Model!$B$20,0)-IF(111&lt;Model!$B$15,Model!$B$22,0))/(1-Model!$B$9)/(1+Model!$B$18)^111))</f>
        <v/>
      </c>
      <c r="DV66" s="7">
        <f>IF(A66="","",IF((A66+112)&gt;Model!$B$4,0,MAX(0,Model!$B$6-IF((A66+112)&gt;=Model!$B$11,Model!$B$20,0)-IF(112&lt;Model!$B$15,Model!$B$22,0))/(1-Model!$B$9)/(1+Model!$B$18)^112))</f>
        <v/>
      </c>
      <c r="DW66" s="7">
        <f>IF(A66="","",IF((A66+113)&gt;Model!$B$4,0,MAX(0,Model!$B$6-IF((A66+113)&gt;=Model!$B$11,Model!$B$20,0)-IF(113&lt;Model!$B$15,Model!$B$22,0))/(1-Model!$B$9)/(1+Model!$B$18)^113))</f>
        <v/>
      </c>
      <c r="DX66" s="7">
        <f>IF(A66="","",IF((A66+114)&gt;Model!$B$4,0,MAX(0,Model!$B$6-IF((A66+114)&gt;=Model!$B$11,Model!$B$20,0)-IF(114&lt;Model!$B$15,Model!$B$22,0))/(1-Model!$B$9)/(1+Model!$B$18)^114))</f>
        <v/>
      </c>
      <c r="DY66" s="7">
        <f>IF(A66="","",IF((A66+115)&gt;Model!$B$4,0,MAX(0,Model!$B$6-IF((A66+115)&gt;=Model!$B$11,Model!$B$20,0)-IF(115&lt;Model!$B$15,Model!$B$22,0))/(1-Model!$B$9)/(1+Model!$B$18)^115))</f>
        <v/>
      </c>
      <c r="DZ66" s="7">
        <f>IF(A66="","",IF((A66+116)&gt;Model!$B$4,0,MAX(0,Model!$B$6-IF((A66+116)&gt;=Model!$B$11,Model!$B$20,0)-IF(116&lt;Model!$B$15,Model!$B$22,0))/(1-Model!$B$9)/(1+Model!$B$18)^116))</f>
        <v/>
      </c>
      <c r="EA66" s="7">
        <f>IF(A66="","",IF((A66+117)&gt;Model!$B$4,0,MAX(0,Model!$B$6-IF((A66+117)&gt;=Model!$B$11,Model!$B$20,0)-IF(117&lt;Model!$B$15,Model!$B$22,0))/(1-Model!$B$9)/(1+Model!$B$18)^117))</f>
        <v/>
      </c>
      <c r="EB66" s="7">
        <f>IF(A66="","",IF((A66+118)&gt;Model!$B$4,0,MAX(0,Model!$B$6-IF((A66+118)&gt;=Model!$B$11,Model!$B$20,0)-IF(118&lt;Model!$B$15,Model!$B$22,0))/(1-Model!$B$9)/(1+Model!$B$18)^118))</f>
        <v/>
      </c>
      <c r="EC66" s="7">
        <f>IF(A66="","",IF((A66+119)&gt;Model!$B$4,0,MAX(0,Model!$B$6-IF((A66+119)&gt;=Model!$B$11,Model!$B$20,0)-IF(119&lt;Model!$B$15,Model!$B$22,0))/(1-Model!$B$9)/(1+Model!$B$18)^119))</f>
        <v/>
      </c>
      <c r="ED66" s="7">
        <f>IF(A66="","",IF((A66+120)&gt;Model!$B$4,0,MAX(0,Model!$B$6-IF((A66+120)&gt;=Model!$B$11,Model!$B$20,0)-IF(120&lt;Model!$B$15,Model!$B$22,0))/(1-Model!$B$9)/(1+Model!$B$18)^120))</f>
        <v/>
      </c>
    </row>
    <row r="67">
      <c r="A67">
        <f>IF(Model!$B$10+ROW()-2&lt;=Model!$B$4,Model!$B$10+ROW()-2,"")</f>
        <v/>
      </c>
      <c r="B67">
        <f>IF(A67="","",A67-Model!$B$10)</f>
        <v/>
      </c>
      <c r="C67" s="7">
        <f>IF(A67="","",Model!$B$5*(1+Model!$B$18)^B67)</f>
        <v/>
      </c>
      <c r="D67" s="7">
        <f>IF(A67="","",SUM(N67:ED67))</f>
        <v/>
      </c>
      <c r="E67" s="7">
        <f>IF(A67="","",IF(A67&gt;=Model!$B$11,Model!$B$20,0))</f>
        <v/>
      </c>
      <c r="F67" s="7">
        <f>IF(A67="","",IF(Model!$B$15&gt;0,Model!$B$22,0))</f>
        <v/>
      </c>
      <c r="G67" s="7">
        <f>IF(A67="","",E67+F67)</f>
        <v/>
      </c>
      <c r="H67" s="7">
        <f>IF(A67="","",MAX(0,Model!$B$6-G67))</f>
        <v/>
      </c>
      <c r="I67" s="7">
        <f>IF(A67="","",H67/(1-Model!$B$9))</f>
        <v/>
      </c>
      <c r="J67" s="7">
        <f>IF(A67="","",C67-D67)</f>
        <v/>
      </c>
      <c r="K67">
        <f>IF(A67="","",C67&gt;=D67)</f>
        <v/>
      </c>
      <c r="L67" s="7">
        <f>IF(A67="","",IF(A67&gt;=Model!$B$11,Model!$B$19*(1+Model!$B$13)^B67,0))</f>
        <v/>
      </c>
      <c r="M67" s="7">
        <f>IF(A67="","",IF(Model!$B$15&gt;0,Model!$B$21*(1+Model!$B$13)^B67,0))</f>
        <v/>
      </c>
      <c r="N67" s="7">
        <f>IF(A67="","",IF((A67+0)&gt;Model!$B$4,0,MAX(0,Model!$B$6-IF((A67+0)&gt;=Model!$B$11,Model!$B$20,0)-IF(0&lt;Model!$B$15,Model!$B$22,0))/(1-Model!$B$9)/(1+Model!$B$18)^0))</f>
        <v/>
      </c>
      <c r="O67" s="7">
        <f>IF(A67="","",IF((A67+1)&gt;Model!$B$4,0,MAX(0,Model!$B$6-IF((A67+1)&gt;=Model!$B$11,Model!$B$20,0)-IF(1&lt;Model!$B$15,Model!$B$22,0))/(1-Model!$B$9)/(1+Model!$B$18)^1))</f>
        <v/>
      </c>
      <c r="P67" s="7">
        <f>IF(A67="","",IF((A67+2)&gt;Model!$B$4,0,MAX(0,Model!$B$6-IF((A67+2)&gt;=Model!$B$11,Model!$B$20,0)-IF(2&lt;Model!$B$15,Model!$B$22,0))/(1-Model!$B$9)/(1+Model!$B$18)^2))</f>
        <v/>
      </c>
      <c r="Q67" s="7">
        <f>IF(A67="","",IF((A67+3)&gt;Model!$B$4,0,MAX(0,Model!$B$6-IF((A67+3)&gt;=Model!$B$11,Model!$B$20,0)-IF(3&lt;Model!$B$15,Model!$B$22,0))/(1-Model!$B$9)/(1+Model!$B$18)^3))</f>
        <v/>
      </c>
      <c r="R67" s="7">
        <f>IF(A67="","",IF((A67+4)&gt;Model!$B$4,0,MAX(0,Model!$B$6-IF((A67+4)&gt;=Model!$B$11,Model!$B$20,0)-IF(4&lt;Model!$B$15,Model!$B$22,0))/(1-Model!$B$9)/(1+Model!$B$18)^4))</f>
        <v/>
      </c>
      <c r="S67" s="7">
        <f>IF(A67="","",IF((A67+5)&gt;Model!$B$4,0,MAX(0,Model!$B$6-IF((A67+5)&gt;=Model!$B$11,Model!$B$20,0)-IF(5&lt;Model!$B$15,Model!$B$22,0))/(1-Model!$B$9)/(1+Model!$B$18)^5))</f>
        <v/>
      </c>
      <c r="T67" s="7">
        <f>IF(A67="","",IF((A67+6)&gt;Model!$B$4,0,MAX(0,Model!$B$6-IF((A67+6)&gt;=Model!$B$11,Model!$B$20,0)-IF(6&lt;Model!$B$15,Model!$B$22,0))/(1-Model!$B$9)/(1+Model!$B$18)^6))</f>
        <v/>
      </c>
      <c r="U67" s="7">
        <f>IF(A67="","",IF((A67+7)&gt;Model!$B$4,0,MAX(0,Model!$B$6-IF((A67+7)&gt;=Model!$B$11,Model!$B$20,0)-IF(7&lt;Model!$B$15,Model!$B$22,0))/(1-Model!$B$9)/(1+Model!$B$18)^7))</f>
        <v/>
      </c>
      <c r="V67" s="7">
        <f>IF(A67="","",IF((A67+8)&gt;Model!$B$4,0,MAX(0,Model!$B$6-IF((A67+8)&gt;=Model!$B$11,Model!$B$20,0)-IF(8&lt;Model!$B$15,Model!$B$22,0))/(1-Model!$B$9)/(1+Model!$B$18)^8))</f>
        <v/>
      </c>
      <c r="W67" s="7">
        <f>IF(A67="","",IF((A67+9)&gt;Model!$B$4,0,MAX(0,Model!$B$6-IF((A67+9)&gt;=Model!$B$11,Model!$B$20,0)-IF(9&lt;Model!$B$15,Model!$B$22,0))/(1-Model!$B$9)/(1+Model!$B$18)^9))</f>
        <v/>
      </c>
      <c r="X67" s="7">
        <f>IF(A67="","",IF((A67+10)&gt;Model!$B$4,0,MAX(0,Model!$B$6-IF((A67+10)&gt;=Model!$B$11,Model!$B$20,0)-IF(10&lt;Model!$B$15,Model!$B$22,0))/(1-Model!$B$9)/(1+Model!$B$18)^10))</f>
        <v/>
      </c>
      <c r="Y67" s="7">
        <f>IF(A67="","",IF((A67+11)&gt;Model!$B$4,0,MAX(0,Model!$B$6-IF((A67+11)&gt;=Model!$B$11,Model!$B$20,0)-IF(11&lt;Model!$B$15,Model!$B$22,0))/(1-Model!$B$9)/(1+Model!$B$18)^11))</f>
        <v/>
      </c>
      <c r="Z67" s="7">
        <f>IF(A67="","",IF((A67+12)&gt;Model!$B$4,0,MAX(0,Model!$B$6-IF((A67+12)&gt;=Model!$B$11,Model!$B$20,0)-IF(12&lt;Model!$B$15,Model!$B$22,0))/(1-Model!$B$9)/(1+Model!$B$18)^12))</f>
        <v/>
      </c>
      <c r="AA67" s="7">
        <f>IF(A67="","",IF((A67+13)&gt;Model!$B$4,0,MAX(0,Model!$B$6-IF((A67+13)&gt;=Model!$B$11,Model!$B$20,0)-IF(13&lt;Model!$B$15,Model!$B$22,0))/(1-Model!$B$9)/(1+Model!$B$18)^13))</f>
        <v/>
      </c>
      <c r="AB67" s="7">
        <f>IF(A67="","",IF((A67+14)&gt;Model!$B$4,0,MAX(0,Model!$B$6-IF((A67+14)&gt;=Model!$B$11,Model!$B$20,0)-IF(14&lt;Model!$B$15,Model!$B$22,0))/(1-Model!$B$9)/(1+Model!$B$18)^14))</f>
        <v/>
      </c>
      <c r="AC67" s="7">
        <f>IF(A67="","",IF((A67+15)&gt;Model!$B$4,0,MAX(0,Model!$B$6-IF((A67+15)&gt;=Model!$B$11,Model!$B$20,0)-IF(15&lt;Model!$B$15,Model!$B$22,0))/(1-Model!$B$9)/(1+Model!$B$18)^15))</f>
        <v/>
      </c>
      <c r="AD67" s="7">
        <f>IF(A67="","",IF((A67+16)&gt;Model!$B$4,0,MAX(0,Model!$B$6-IF((A67+16)&gt;=Model!$B$11,Model!$B$20,0)-IF(16&lt;Model!$B$15,Model!$B$22,0))/(1-Model!$B$9)/(1+Model!$B$18)^16))</f>
        <v/>
      </c>
      <c r="AE67" s="7">
        <f>IF(A67="","",IF((A67+17)&gt;Model!$B$4,0,MAX(0,Model!$B$6-IF((A67+17)&gt;=Model!$B$11,Model!$B$20,0)-IF(17&lt;Model!$B$15,Model!$B$22,0))/(1-Model!$B$9)/(1+Model!$B$18)^17))</f>
        <v/>
      </c>
      <c r="AF67" s="7">
        <f>IF(A67="","",IF((A67+18)&gt;Model!$B$4,0,MAX(0,Model!$B$6-IF((A67+18)&gt;=Model!$B$11,Model!$B$20,0)-IF(18&lt;Model!$B$15,Model!$B$22,0))/(1-Model!$B$9)/(1+Model!$B$18)^18))</f>
        <v/>
      </c>
      <c r="AG67" s="7">
        <f>IF(A67="","",IF((A67+19)&gt;Model!$B$4,0,MAX(0,Model!$B$6-IF((A67+19)&gt;=Model!$B$11,Model!$B$20,0)-IF(19&lt;Model!$B$15,Model!$B$22,0))/(1-Model!$B$9)/(1+Model!$B$18)^19))</f>
        <v/>
      </c>
      <c r="AH67" s="7">
        <f>IF(A67="","",IF((A67+20)&gt;Model!$B$4,0,MAX(0,Model!$B$6-IF((A67+20)&gt;=Model!$B$11,Model!$B$20,0)-IF(20&lt;Model!$B$15,Model!$B$22,0))/(1-Model!$B$9)/(1+Model!$B$18)^20))</f>
        <v/>
      </c>
      <c r="AI67" s="7">
        <f>IF(A67="","",IF((A67+21)&gt;Model!$B$4,0,MAX(0,Model!$B$6-IF((A67+21)&gt;=Model!$B$11,Model!$B$20,0)-IF(21&lt;Model!$B$15,Model!$B$22,0))/(1-Model!$B$9)/(1+Model!$B$18)^21))</f>
        <v/>
      </c>
      <c r="AJ67" s="7">
        <f>IF(A67="","",IF((A67+22)&gt;Model!$B$4,0,MAX(0,Model!$B$6-IF((A67+22)&gt;=Model!$B$11,Model!$B$20,0)-IF(22&lt;Model!$B$15,Model!$B$22,0))/(1-Model!$B$9)/(1+Model!$B$18)^22))</f>
        <v/>
      </c>
      <c r="AK67" s="7">
        <f>IF(A67="","",IF((A67+23)&gt;Model!$B$4,0,MAX(0,Model!$B$6-IF((A67+23)&gt;=Model!$B$11,Model!$B$20,0)-IF(23&lt;Model!$B$15,Model!$B$22,0))/(1-Model!$B$9)/(1+Model!$B$18)^23))</f>
        <v/>
      </c>
      <c r="AL67" s="7">
        <f>IF(A67="","",IF((A67+24)&gt;Model!$B$4,0,MAX(0,Model!$B$6-IF((A67+24)&gt;=Model!$B$11,Model!$B$20,0)-IF(24&lt;Model!$B$15,Model!$B$22,0))/(1-Model!$B$9)/(1+Model!$B$18)^24))</f>
        <v/>
      </c>
      <c r="AM67" s="7">
        <f>IF(A67="","",IF((A67+25)&gt;Model!$B$4,0,MAX(0,Model!$B$6-IF((A67+25)&gt;=Model!$B$11,Model!$B$20,0)-IF(25&lt;Model!$B$15,Model!$B$22,0))/(1-Model!$B$9)/(1+Model!$B$18)^25))</f>
        <v/>
      </c>
      <c r="AN67" s="7">
        <f>IF(A67="","",IF((A67+26)&gt;Model!$B$4,0,MAX(0,Model!$B$6-IF((A67+26)&gt;=Model!$B$11,Model!$B$20,0)-IF(26&lt;Model!$B$15,Model!$B$22,0))/(1-Model!$B$9)/(1+Model!$B$18)^26))</f>
        <v/>
      </c>
      <c r="AO67" s="7">
        <f>IF(A67="","",IF((A67+27)&gt;Model!$B$4,0,MAX(0,Model!$B$6-IF((A67+27)&gt;=Model!$B$11,Model!$B$20,0)-IF(27&lt;Model!$B$15,Model!$B$22,0))/(1-Model!$B$9)/(1+Model!$B$18)^27))</f>
        <v/>
      </c>
      <c r="AP67" s="7">
        <f>IF(A67="","",IF((A67+28)&gt;Model!$B$4,0,MAX(0,Model!$B$6-IF((A67+28)&gt;=Model!$B$11,Model!$B$20,0)-IF(28&lt;Model!$B$15,Model!$B$22,0))/(1-Model!$B$9)/(1+Model!$B$18)^28))</f>
        <v/>
      </c>
      <c r="AQ67" s="7">
        <f>IF(A67="","",IF((A67+29)&gt;Model!$B$4,0,MAX(0,Model!$B$6-IF((A67+29)&gt;=Model!$B$11,Model!$B$20,0)-IF(29&lt;Model!$B$15,Model!$B$22,0))/(1-Model!$B$9)/(1+Model!$B$18)^29))</f>
        <v/>
      </c>
      <c r="AR67" s="7">
        <f>IF(A67="","",IF((A67+30)&gt;Model!$B$4,0,MAX(0,Model!$B$6-IF((A67+30)&gt;=Model!$B$11,Model!$B$20,0)-IF(30&lt;Model!$B$15,Model!$B$22,0))/(1-Model!$B$9)/(1+Model!$B$18)^30))</f>
        <v/>
      </c>
      <c r="AS67" s="7">
        <f>IF(A67="","",IF((A67+31)&gt;Model!$B$4,0,MAX(0,Model!$B$6-IF((A67+31)&gt;=Model!$B$11,Model!$B$20,0)-IF(31&lt;Model!$B$15,Model!$B$22,0))/(1-Model!$B$9)/(1+Model!$B$18)^31))</f>
        <v/>
      </c>
      <c r="AT67" s="7">
        <f>IF(A67="","",IF((A67+32)&gt;Model!$B$4,0,MAX(0,Model!$B$6-IF((A67+32)&gt;=Model!$B$11,Model!$B$20,0)-IF(32&lt;Model!$B$15,Model!$B$22,0))/(1-Model!$B$9)/(1+Model!$B$18)^32))</f>
        <v/>
      </c>
      <c r="AU67" s="7">
        <f>IF(A67="","",IF((A67+33)&gt;Model!$B$4,0,MAX(0,Model!$B$6-IF((A67+33)&gt;=Model!$B$11,Model!$B$20,0)-IF(33&lt;Model!$B$15,Model!$B$22,0))/(1-Model!$B$9)/(1+Model!$B$18)^33))</f>
        <v/>
      </c>
      <c r="AV67" s="7">
        <f>IF(A67="","",IF((A67+34)&gt;Model!$B$4,0,MAX(0,Model!$B$6-IF((A67+34)&gt;=Model!$B$11,Model!$B$20,0)-IF(34&lt;Model!$B$15,Model!$B$22,0))/(1-Model!$B$9)/(1+Model!$B$18)^34))</f>
        <v/>
      </c>
      <c r="AW67" s="7">
        <f>IF(A67="","",IF((A67+35)&gt;Model!$B$4,0,MAX(0,Model!$B$6-IF((A67+35)&gt;=Model!$B$11,Model!$B$20,0)-IF(35&lt;Model!$B$15,Model!$B$22,0))/(1-Model!$B$9)/(1+Model!$B$18)^35))</f>
        <v/>
      </c>
      <c r="AX67" s="7">
        <f>IF(A67="","",IF((A67+36)&gt;Model!$B$4,0,MAX(0,Model!$B$6-IF((A67+36)&gt;=Model!$B$11,Model!$B$20,0)-IF(36&lt;Model!$B$15,Model!$B$22,0))/(1-Model!$B$9)/(1+Model!$B$18)^36))</f>
        <v/>
      </c>
      <c r="AY67" s="7">
        <f>IF(A67="","",IF((A67+37)&gt;Model!$B$4,0,MAX(0,Model!$B$6-IF((A67+37)&gt;=Model!$B$11,Model!$B$20,0)-IF(37&lt;Model!$B$15,Model!$B$22,0))/(1-Model!$B$9)/(1+Model!$B$18)^37))</f>
        <v/>
      </c>
      <c r="AZ67" s="7">
        <f>IF(A67="","",IF((A67+38)&gt;Model!$B$4,0,MAX(0,Model!$B$6-IF((A67+38)&gt;=Model!$B$11,Model!$B$20,0)-IF(38&lt;Model!$B$15,Model!$B$22,0))/(1-Model!$B$9)/(1+Model!$B$18)^38))</f>
        <v/>
      </c>
      <c r="BA67" s="7">
        <f>IF(A67="","",IF((A67+39)&gt;Model!$B$4,0,MAX(0,Model!$B$6-IF((A67+39)&gt;=Model!$B$11,Model!$B$20,0)-IF(39&lt;Model!$B$15,Model!$B$22,0))/(1-Model!$B$9)/(1+Model!$B$18)^39))</f>
        <v/>
      </c>
      <c r="BB67" s="7">
        <f>IF(A67="","",IF((A67+40)&gt;Model!$B$4,0,MAX(0,Model!$B$6-IF((A67+40)&gt;=Model!$B$11,Model!$B$20,0)-IF(40&lt;Model!$B$15,Model!$B$22,0))/(1-Model!$B$9)/(1+Model!$B$18)^40))</f>
        <v/>
      </c>
      <c r="BC67" s="7">
        <f>IF(A67="","",IF((A67+41)&gt;Model!$B$4,0,MAX(0,Model!$B$6-IF((A67+41)&gt;=Model!$B$11,Model!$B$20,0)-IF(41&lt;Model!$B$15,Model!$B$22,0))/(1-Model!$B$9)/(1+Model!$B$18)^41))</f>
        <v/>
      </c>
      <c r="BD67" s="7">
        <f>IF(A67="","",IF((A67+42)&gt;Model!$B$4,0,MAX(0,Model!$B$6-IF((A67+42)&gt;=Model!$B$11,Model!$B$20,0)-IF(42&lt;Model!$B$15,Model!$B$22,0))/(1-Model!$B$9)/(1+Model!$B$18)^42))</f>
        <v/>
      </c>
      <c r="BE67" s="7">
        <f>IF(A67="","",IF((A67+43)&gt;Model!$B$4,0,MAX(0,Model!$B$6-IF((A67+43)&gt;=Model!$B$11,Model!$B$20,0)-IF(43&lt;Model!$B$15,Model!$B$22,0))/(1-Model!$B$9)/(1+Model!$B$18)^43))</f>
        <v/>
      </c>
      <c r="BF67" s="7">
        <f>IF(A67="","",IF((A67+44)&gt;Model!$B$4,0,MAX(0,Model!$B$6-IF((A67+44)&gt;=Model!$B$11,Model!$B$20,0)-IF(44&lt;Model!$B$15,Model!$B$22,0))/(1-Model!$B$9)/(1+Model!$B$18)^44))</f>
        <v/>
      </c>
      <c r="BG67" s="7">
        <f>IF(A67="","",IF((A67+45)&gt;Model!$B$4,0,MAX(0,Model!$B$6-IF((A67+45)&gt;=Model!$B$11,Model!$B$20,0)-IF(45&lt;Model!$B$15,Model!$B$22,0))/(1-Model!$B$9)/(1+Model!$B$18)^45))</f>
        <v/>
      </c>
      <c r="BH67" s="7">
        <f>IF(A67="","",IF((A67+46)&gt;Model!$B$4,0,MAX(0,Model!$B$6-IF((A67+46)&gt;=Model!$B$11,Model!$B$20,0)-IF(46&lt;Model!$B$15,Model!$B$22,0))/(1-Model!$B$9)/(1+Model!$B$18)^46))</f>
        <v/>
      </c>
      <c r="BI67" s="7">
        <f>IF(A67="","",IF((A67+47)&gt;Model!$B$4,0,MAX(0,Model!$B$6-IF((A67+47)&gt;=Model!$B$11,Model!$B$20,0)-IF(47&lt;Model!$B$15,Model!$B$22,0))/(1-Model!$B$9)/(1+Model!$B$18)^47))</f>
        <v/>
      </c>
      <c r="BJ67" s="7">
        <f>IF(A67="","",IF((A67+48)&gt;Model!$B$4,0,MAX(0,Model!$B$6-IF((A67+48)&gt;=Model!$B$11,Model!$B$20,0)-IF(48&lt;Model!$B$15,Model!$B$22,0))/(1-Model!$B$9)/(1+Model!$B$18)^48))</f>
        <v/>
      </c>
      <c r="BK67" s="7">
        <f>IF(A67="","",IF((A67+49)&gt;Model!$B$4,0,MAX(0,Model!$B$6-IF((A67+49)&gt;=Model!$B$11,Model!$B$20,0)-IF(49&lt;Model!$B$15,Model!$B$22,0))/(1-Model!$B$9)/(1+Model!$B$18)^49))</f>
        <v/>
      </c>
      <c r="BL67" s="7">
        <f>IF(A67="","",IF((A67+50)&gt;Model!$B$4,0,MAX(0,Model!$B$6-IF((A67+50)&gt;=Model!$B$11,Model!$B$20,0)-IF(50&lt;Model!$B$15,Model!$B$22,0))/(1-Model!$B$9)/(1+Model!$B$18)^50))</f>
        <v/>
      </c>
      <c r="BM67" s="7">
        <f>IF(A67="","",IF((A67+51)&gt;Model!$B$4,0,MAX(0,Model!$B$6-IF((A67+51)&gt;=Model!$B$11,Model!$B$20,0)-IF(51&lt;Model!$B$15,Model!$B$22,0))/(1-Model!$B$9)/(1+Model!$B$18)^51))</f>
        <v/>
      </c>
      <c r="BN67" s="7">
        <f>IF(A67="","",IF((A67+52)&gt;Model!$B$4,0,MAX(0,Model!$B$6-IF((A67+52)&gt;=Model!$B$11,Model!$B$20,0)-IF(52&lt;Model!$B$15,Model!$B$22,0))/(1-Model!$B$9)/(1+Model!$B$18)^52))</f>
        <v/>
      </c>
      <c r="BO67" s="7">
        <f>IF(A67="","",IF((A67+53)&gt;Model!$B$4,0,MAX(0,Model!$B$6-IF((A67+53)&gt;=Model!$B$11,Model!$B$20,0)-IF(53&lt;Model!$B$15,Model!$B$22,0))/(1-Model!$B$9)/(1+Model!$B$18)^53))</f>
        <v/>
      </c>
      <c r="BP67" s="7">
        <f>IF(A67="","",IF((A67+54)&gt;Model!$B$4,0,MAX(0,Model!$B$6-IF((A67+54)&gt;=Model!$B$11,Model!$B$20,0)-IF(54&lt;Model!$B$15,Model!$B$22,0))/(1-Model!$B$9)/(1+Model!$B$18)^54))</f>
        <v/>
      </c>
      <c r="BQ67" s="7">
        <f>IF(A67="","",IF((A67+55)&gt;Model!$B$4,0,MAX(0,Model!$B$6-IF((A67+55)&gt;=Model!$B$11,Model!$B$20,0)-IF(55&lt;Model!$B$15,Model!$B$22,0))/(1-Model!$B$9)/(1+Model!$B$18)^55))</f>
        <v/>
      </c>
      <c r="BR67" s="7">
        <f>IF(A67="","",IF((A67+56)&gt;Model!$B$4,0,MAX(0,Model!$B$6-IF((A67+56)&gt;=Model!$B$11,Model!$B$20,0)-IF(56&lt;Model!$B$15,Model!$B$22,0))/(1-Model!$B$9)/(1+Model!$B$18)^56))</f>
        <v/>
      </c>
      <c r="BS67" s="7">
        <f>IF(A67="","",IF((A67+57)&gt;Model!$B$4,0,MAX(0,Model!$B$6-IF((A67+57)&gt;=Model!$B$11,Model!$B$20,0)-IF(57&lt;Model!$B$15,Model!$B$22,0))/(1-Model!$B$9)/(1+Model!$B$18)^57))</f>
        <v/>
      </c>
      <c r="BT67" s="7">
        <f>IF(A67="","",IF((A67+58)&gt;Model!$B$4,0,MAX(0,Model!$B$6-IF((A67+58)&gt;=Model!$B$11,Model!$B$20,0)-IF(58&lt;Model!$B$15,Model!$B$22,0))/(1-Model!$B$9)/(1+Model!$B$18)^58))</f>
        <v/>
      </c>
      <c r="BU67" s="7">
        <f>IF(A67="","",IF((A67+59)&gt;Model!$B$4,0,MAX(0,Model!$B$6-IF((A67+59)&gt;=Model!$B$11,Model!$B$20,0)-IF(59&lt;Model!$B$15,Model!$B$22,0))/(1-Model!$B$9)/(1+Model!$B$18)^59))</f>
        <v/>
      </c>
      <c r="BV67" s="7">
        <f>IF(A67="","",IF((A67+60)&gt;Model!$B$4,0,MAX(0,Model!$B$6-IF((A67+60)&gt;=Model!$B$11,Model!$B$20,0)-IF(60&lt;Model!$B$15,Model!$B$22,0))/(1-Model!$B$9)/(1+Model!$B$18)^60))</f>
        <v/>
      </c>
      <c r="BW67" s="7">
        <f>IF(A67="","",IF((A67+61)&gt;Model!$B$4,0,MAX(0,Model!$B$6-IF((A67+61)&gt;=Model!$B$11,Model!$B$20,0)-IF(61&lt;Model!$B$15,Model!$B$22,0))/(1-Model!$B$9)/(1+Model!$B$18)^61))</f>
        <v/>
      </c>
      <c r="BX67" s="7">
        <f>IF(A67="","",IF((A67+62)&gt;Model!$B$4,0,MAX(0,Model!$B$6-IF((A67+62)&gt;=Model!$B$11,Model!$B$20,0)-IF(62&lt;Model!$B$15,Model!$B$22,0))/(1-Model!$B$9)/(1+Model!$B$18)^62))</f>
        <v/>
      </c>
      <c r="BY67" s="7">
        <f>IF(A67="","",IF((A67+63)&gt;Model!$B$4,0,MAX(0,Model!$B$6-IF((A67+63)&gt;=Model!$B$11,Model!$B$20,0)-IF(63&lt;Model!$B$15,Model!$B$22,0))/(1-Model!$B$9)/(1+Model!$B$18)^63))</f>
        <v/>
      </c>
      <c r="BZ67" s="7">
        <f>IF(A67="","",IF((A67+64)&gt;Model!$B$4,0,MAX(0,Model!$B$6-IF((A67+64)&gt;=Model!$B$11,Model!$B$20,0)-IF(64&lt;Model!$B$15,Model!$B$22,0))/(1-Model!$B$9)/(1+Model!$B$18)^64))</f>
        <v/>
      </c>
      <c r="CA67" s="7">
        <f>IF(A67="","",IF((A67+65)&gt;Model!$B$4,0,MAX(0,Model!$B$6-IF((A67+65)&gt;=Model!$B$11,Model!$B$20,0)-IF(65&lt;Model!$B$15,Model!$B$22,0))/(1-Model!$B$9)/(1+Model!$B$18)^65))</f>
        <v/>
      </c>
      <c r="CB67" s="7">
        <f>IF(A67="","",IF((A67+66)&gt;Model!$B$4,0,MAX(0,Model!$B$6-IF((A67+66)&gt;=Model!$B$11,Model!$B$20,0)-IF(66&lt;Model!$B$15,Model!$B$22,0))/(1-Model!$B$9)/(1+Model!$B$18)^66))</f>
        <v/>
      </c>
      <c r="CC67" s="7">
        <f>IF(A67="","",IF((A67+67)&gt;Model!$B$4,0,MAX(0,Model!$B$6-IF((A67+67)&gt;=Model!$B$11,Model!$B$20,0)-IF(67&lt;Model!$B$15,Model!$B$22,0))/(1-Model!$B$9)/(1+Model!$B$18)^67))</f>
        <v/>
      </c>
      <c r="CD67" s="7">
        <f>IF(A67="","",IF((A67+68)&gt;Model!$B$4,0,MAX(0,Model!$B$6-IF((A67+68)&gt;=Model!$B$11,Model!$B$20,0)-IF(68&lt;Model!$B$15,Model!$B$22,0))/(1-Model!$B$9)/(1+Model!$B$18)^68))</f>
        <v/>
      </c>
      <c r="CE67" s="7">
        <f>IF(A67="","",IF((A67+69)&gt;Model!$B$4,0,MAX(0,Model!$B$6-IF((A67+69)&gt;=Model!$B$11,Model!$B$20,0)-IF(69&lt;Model!$B$15,Model!$B$22,0))/(1-Model!$B$9)/(1+Model!$B$18)^69))</f>
        <v/>
      </c>
      <c r="CF67" s="7">
        <f>IF(A67="","",IF((A67+70)&gt;Model!$B$4,0,MAX(0,Model!$B$6-IF((A67+70)&gt;=Model!$B$11,Model!$B$20,0)-IF(70&lt;Model!$B$15,Model!$B$22,0))/(1-Model!$B$9)/(1+Model!$B$18)^70))</f>
        <v/>
      </c>
      <c r="CG67" s="7">
        <f>IF(A67="","",IF((A67+71)&gt;Model!$B$4,0,MAX(0,Model!$B$6-IF((A67+71)&gt;=Model!$B$11,Model!$B$20,0)-IF(71&lt;Model!$B$15,Model!$B$22,0))/(1-Model!$B$9)/(1+Model!$B$18)^71))</f>
        <v/>
      </c>
      <c r="CH67" s="7">
        <f>IF(A67="","",IF((A67+72)&gt;Model!$B$4,0,MAX(0,Model!$B$6-IF((A67+72)&gt;=Model!$B$11,Model!$B$20,0)-IF(72&lt;Model!$B$15,Model!$B$22,0))/(1-Model!$B$9)/(1+Model!$B$18)^72))</f>
        <v/>
      </c>
      <c r="CI67" s="7">
        <f>IF(A67="","",IF((A67+73)&gt;Model!$B$4,0,MAX(0,Model!$B$6-IF((A67+73)&gt;=Model!$B$11,Model!$B$20,0)-IF(73&lt;Model!$B$15,Model!$B$22,0))/(1-Model!$B$9)/(1+Model!$B$18)^73))</f>
        <v/>
      </c>
      <c r="CJ67" s="7">
        <f>IF(A67="","",IF((A67+74)&gt;Model!$B$4,0,MAX(0,Model!$B$6-IF((A67+74)&gt;=Model!$B$11,Model!$B$20,0)-IF(74&lt;Model!$B$15,Model!$B$22,0))/(1-Model!$B$9)/(1+Model!$B$18)^74))</f>
        <v/>
      </c>
      <c r="CK67" s="7">
        <f>IF(A67="","",IF((A67+75)&gt;Model!$B$4,0,MAX(0,Model!$B$6-IF((A67+75)&gt;=Model!$B$11,Model!$B$20,0)-IF(75&lt;Model!$B$15,Model!$B$22,0))/(1-Model!$B$9)/(1+Model!$B$18)^75))</f>
        <v/>
      </c>
      <c r="CL67" s="7">
        <f>IF(A67="","",IF((A67+76)&gt;Model!$B$4,0,MAX(0,Model!$B$6-IF((A67+76)&gt;=Model!$B$11,Model!$B$20,0)-IF(76&lt;Model!$B$15,Model!$B$22,0))/(1-Model!$B$9)/(1+Model!$B$18)^76))</f>
        <v/>
      </c>
      <c r="CM67" s="7">
        <f>IF(A67="","",IF((A67+77)&gt;Model!$B$4,0,MAX(0,Model!$B$6-IF((A67+77)&gt;=Model!$B$11,Model!$B$20,0)-IF(77&lt;Model!$B$15,Model!$B$22,0))/(1-Model!$B$9)/(1+Model!$B$18)^77))</f>
        <v/>
      </c>
      <c r="CN67" s="7">
        <f>IF(A67="","",IF((A67+78)&gt;Model!$B$4,0,MAX(0,Model!$B$6-IF((A67+78)&gt;=Model!$B$11,Model!$B$20,0)-IF(78&lt;Model!$B$15,Model!$B$22,0))/(1-Model!$B$9)/(1+Model!$B$18)^78))</f>
        <v/>
      </c>
      <c r="CO67" s="7">
        <f>IF(A67="","",IF((A67+79)&gt;Model!$B$4,0,MAX(0,Model!$B$6-IF((A67+79)&gt;=Model!$B$11,Model!$B$20,0)-IF(79&lt;Model!$B$15,Model!$B$22,0))/(1-Model!$B$9)/(1+Model!$B$18)^79))</f>
        <v/>
      </c>
      <c r="CP67" s="7">
        <f>IF(A67="","",IF((A67+80)&gt;Model!$B$4,0,MAX(0,Model!$B$6-IF((A67+80)&gt;=Model!$B$11,Model!$B$20,0)-IF(80&lt;Model!$B$15,Model!$B$22,0))/(1-Model!$B$9)/(1+Model!$B$18)^80))</f>
        <v/>
      </c>
      <c r="CQ67" s="7">
        <f>IF(A67="","",IF((A67+81)&gt;Model!$B$4,0,MAX(0,Model!$B$6-IF((A67+81)&gt;=Model!$B$11,Model!$B$20,0)-IF(81&lt;Model!$B$15,Model!$B$22,0))/(1-Model!$B$9)/(1+Model!$B$18)^81))</f>
        <v/>
      </c>
      <c r="CR67" s="7">
        <f>IF(A67="","",IF((A67+82)&gt;Model!$B$4,0,MAX(0,Model!$B$6-IF((A67+82)&gt;=Model!$B$11,Model!$B$20,0)-IF(82&lt;Model!$B$15,Model!$B$22,0))/(1-Model!$B$9)/(1+Model!$B$18)^82))</f>
        <v/>
      </c>
      <c r="CS67" s="7">
        <f>IF(A67="","",IF((A67+83)&gt;Model!$B$4,0,MAX(0,Model!$B$6-IF((A67+83)&gt;=Model!$B$11,Model!$B$20,0)-IF(83&lt;Model!$B$15,Model!$B$22,0))/(1-Model!$B$9)/(1+Model!$B$18)^83))</f>
        <v/>
      </c>
      <c r="CT67" s="7">
        <f>IF(A67="","",IF((A67+84)&gt;Model!$B$4,0,MAX(0,Model!$B$6-IF((A67+84)&gt;=Model!$B$11,Model!$B$20,0)-IF(84&lt;Model!$B$15,Model!$B$22,0))/(1-Model!$B$9)/(1+Model!$B$18)^84))</f>
        <v/>
      </c>
      <c r="CU67" s="7">
        <f>IF(A67="","",IF((A67+85)&gt;Model!$B$4,0,MAX(0,Model!$B$6-IF((A67+85)&gt;=Model!$B$11,Model!$B$20,0)-IF(85&lt;Model!$B$15,Model!$B$22,0))/(1-Model!$B$9)/(1+Model!$B$18)^85))</f>
        <v/>
      </c>
      <c r="CV67" s="7">
        <f>IF(A67="","",IF((A67+86)&gt;Model!$B$4,0,MAX(0,Model!$B$6-IF((A67+86)&gt;=Model!$B$11,Model!$B$20,0)-IF(86&lt;Model!$B$15,Model!$B$22,0))/(1-Model!$B$9)/(1+Model!$B$18)^86))</f>
        <v/>
      </c>
      <c r="CW67" s="7">
        <f>IF(A67="","",IF((A67+87)&gt;Model!$B$4,0,MAX(0,Model!$B$6-IF((A67+87)&gt;=Model!$B$11,Model!$B$20,0)-IF(87&lt;Model!$B$15,Model!$B$22,0))/(1-Model!$B$9)/(1+Model!$B$18)^87))</f>
        <v/>
      </c>
      <c r="CX67" s="7">
        <f>IF(A67="","",IF((A67+88)&gt;Model!$B$4,0,MAX(0,Model!$B$6-IF((A67+88)&gt;=Model!$B$11,Model!$B$20,0)-IF(88&lt;Model!$B$15,Model!$B$22,0))/(1-Model!$B$9)/(1+Model!$B$18)^88))</f>
        <v/>
      </c>
      <c r="CY67" s="7">
        <f>IF(A67="","",IF((A67+89)&gt;Model!$B$4,0,MAX(0,Model!$B$6-IF((A67+89)&gt;=Model!$B$11,Model!$B$20,0)-IF(89&lt;Model!$B$15,Model!$B$22,0))/(1-Model!$B$9)/(1+Model!$B$18)^89))</f>
        <v/>
      </c>
      <c r="CZ67" s="7">
        <f>IF(A67="","",IF((A67+90)&gt;Model!$B$4,0,MAX(0,Model!$B$6-IF((A67+90)&gt;=Model!$B$11,Model!$B$20,0)-IF(90&lt;Model!$B$15,Model!$B$22,0))/(1-Model!$B$9)/(1+Model!$B$18)^90))</f>
        <v/>
      </c>
      <c r="DA67" s="7">
        <f>IF(A67="","",IF((A67+91)&gt;Model!$B$4,0,MAX(0,Model!$B$6-IF((A67+91)&gt;=Model!$B$11,Model!$B$20,0)-IF(91&lt;Model!$B$15,Model!$B$22,0))/(1-Model!$B$9)/(1+Model!$B$18)^91))</f>
        <v/>
      </c>
      <c r="DB67" s="7">
        <f>IF(A67="","",IF((A67+92)&gt;Model!$B$4,0,MAX(0,Model!$B$6-IF((A67+92)&gt;=Model!$B$11,Model!$B$20,0)-IF(92&lt;Model!$B$15,Model!$B$22,0))/(1-Model!$B$9)/(1+Model!$B$18)^92))</f>
        <v/>
      </c>
      <c r="DC67" s="7">
        <f>IF(A67="","",IF((A67+93)&gt;Model!$B$4,0,MAX(0,Model!$B$6-IF((A67+93)&gt;=Model!$B$11,Model!$B$20,0)-IF(93&lt;Model!$B$15,Model!$B$22,0))/(1-Model!$B$9)/(1+Model!$B$18)^93))</f>
        <v/>
      </c>
      <c r="DD67" s="7">
        <f>IF(A67="","",IF((A67+94)&gt;Model!$B$4,0,MAX(0,Model!$B$6-IF((A67+94)&gt;=Model!$B$11,Model!$B$20,0)-IF(94&lt;Model!$B$15,Model!$B$22,0))/(1-Model!$B$9)/(1+Model!$B$18)^94))</f>
        <v/>
      </c>
      <c r="DE67" s="7">
        <f>IF(A67="","",IF((A67+95)&gt;Model!$B$4,0,MAX(0,Model!$B$6-IF((A67+95)&gt;=Model!$B$11,Model!$B$20,0)-IF(95&lt;Model!$B$15,Model!$B$22,0))/(1-Model!$B$9)/(1+Model!$B$18)^95))</f>
        <v/>
      </c>
      <c r="DF67" s="7">
        <f>IF(A67="","",IF((A67+96)&gt;Model!$B$4,0,MAX(0,Model!$B$6-IF((A67+96)&gt;=Model!$B$11,Model!$B$20,0)-IF(96&lt;Model!$B$15,Model!$B$22,0))/(1-Model!$B$9)/(1+Model!$B$18)^96))</f>
        <v/>
      </c>
      <c r="DG67" s="7">
        <f>IF(A67="","",IF((A67+97)&gt;Model!$B$4,0,MAX(0,Model!$B$6-IF((A67+97)&gt;=Model!$B$11,Model!$B$20,0)-IF(97&lt;Model!$B$15,Model!$B$22,0))/(1-Model!$B$9)/(1+Model!$B$18)^97))</f>
        <v/>
      </c>
      <c r="DH67" s="7">
        <f>IF(A67="","",IF((A67+98)&gt;Model!$B$4,0,MAX(0,Model!$B$6-IF((A67+98)&gt;=Model!$B$11,Model!$B$20,0)-IF(98&lt;Model!$B$15,Model!$B$22,0))/(1-Model!$B$9)/(1+Model!$B$18)^98))</f>
        <v/>
      </c>
      <c r="DI67" s="7">
        <f>IF(A67="","",IF((A67+99)&gt;Model!$B$4,0,MAX(0,Model!$B$6-IF((A67+99)&gt;=Model!$B$11,Model!$B$20,0)-IF(99&lt;Model!$B$15,Model!$B$22,0))/(1-Model!$B$9)/(1+Model!$B$18)^99))</f>
        <v/>
      </c>
      <c r="DJ67" s="7">
        <f>IF(A67="","",IF((A67+100)&gt;Model!$B$4,0,MAX(0,Model!$B$6-IF((A67+100)&gt;=Model!$B$11,Model!$B$20,0)-IF(100&lt;Model!$B$15,Model!$B$22,0))/(1-Model!$B$9)/(1+Model!$B$18)^100))</f>
        <v/>
      </c>
      <c r="DK67" s="7">
        <f>IF(A67="","",IF((A67+101)&gt;Model!$B$4,0,MAX(0,Model!$B$6-IF((A67+101)&gt;=Model!$B$11,Model!$B$20,0)-IF(101&lt;Model!$B$15,Model!$B$22,0))/(1-Model!$B$9)/(1+Model!$B$18)^101))</f>
        <v/>
      </c>
      <c r="DL67" s="7">
        <f>IF(A67="","",IF((A67+102)&gt;Model!$B$4,0,MAX(0,Model!$B$6-IF((A67+102)&gt;=Model!$B$11,Model!$B$20,0)-IF(102&lt;Model!$B$15,Model!$B$22,0))/(1-Model!$B$9)/(1+Model!$B$18)^102))</f>
        <v/>
      </c>
      <c r="DM67" s="7">
        <f>IF(A67="","",IF((A67+103)&gt;Model!$B$4,0,MAX(0,Model!$B$6-IF((A67+103)&gt;=Model!$B$11,Model!$B$20,0)-IF(103&lt;Model!$B$15,Model!$B$22,0))/(1-Model!$B$9)/(1+Model!$B$18)^103))</f>
        <v/>
      </c>
      <c r="DN67" s="7">
        <f>IF(A67="","",IF((A67+104)&gt;Model!$B$4,0,MAX(0,Model!$B$6-IF((A67+104)&gt;=Model!$B$11,Model!$B$20,0)-IF(104&lt;Model!$B$15,Model!$B$22,0))/(1-Model!$B$9)/(1+Model!$B$18)^104))</f>
        <v/>
      </c>
      <c r="DO67" s="7">
        <f>IF(A67="","",IF((A67+105)&gt;Model!$B$4,0,MAX(0,Model!$B$6-IF((A67+105)&gt;=Model!$B$11,Model!$B$20,0)-IF(105&lt;Model!$B$15,Model!$B$22,0))/(1-Model!$B$9)/(1+Model!$B$18)^105))</f>
        <v/>
      </c>
      <c r="DP67" s="7">
        <f>IF(A67="","",IF((A67+106)&gt;Model!$B$4,0,MAX(0,Model!$B$6-IF((A67+106)&gt;=Model!$B$11,Model!$B$20,0)-IF(106&lt;Model!$B$15,Model!$B$22,0))/(1-Model!$B$9)/(1+Model!$B$18)^106))</f>
        <v/>
      </c>
      <c r="DQ67" s="7">
        <f>IF(A67="","",IF((A67+107)&gt;Model!$B$4,0,MAX(0,Model!$B$6-IF((A67+107)&gt;=Model!$B$11,Model!$B$20,0)-IF(107&lt;Model!$B$15,Model!$B$22,0))/(1-Model!$B$9)/(1+Model!$B$18)^107))</f>
        <v/>
      </c>
      <c r="DR67" s="7">
        <f>IF(A67="","",IF((A67+108)&gt;Model!$B$4,0,MAX(0,Model!$B$6-IF((A67+108)&gt;=Model!$B$11,Model!$B$20,0)-IF(108&lt;Model!$B$15,Model!$B$22,0))/(1-Model!$B$9)/(1+Model!$B$18)^108))</f>
        <v/>
      </c>
      <c r="DS67" s="7">
        <f>IF(A67="","",IF((A67+109)&gt;Model!$B$4,0,MAX(0,Model!$B$6-IF((A67+109)&gt;=Model!$B$11,Model!$B$20,0)-IF(109&lt;Model!$B$15,Model!$B$22,0))/(1-Model!$B$9)/(1+Model!$B$18)^109))</f>
        <v/>
      </c>
      <c r="DT67" s="7">
        <f>IF(A67="","",IF((A67+110)&gt;Model!$B$4,0,MAX(0,Model!$B$6-IF((A67+110)&gt;=Model!$B$11,Model!$B$20,0)-IF(110&lt;Model!$B$15,Model!$B$22,0))/(1-Model!$B$9)/(1+Model!$B$18)^110))</f>
        <v/>
      </c>
      <c r="DU67" s="7">
        <f>IF(A67="","",IF((A67+111)&gt;Model!$B$4,0,MAX(0,Model!$B$6-IF((A67+111)&gt;=Model!$B$11,Model!$B$20,0)-IF(111&lt;Model!$B$15,Model!$B$22,0))/(1-Model!$B$9)/(1+Model!$B$18)^111))</f>
        <v/>
      </c>
      <c r="DV67" s="7">
        <f>IF(A67="","",IF((A67+112)&gt;Model!$B$4,0,MAX(0,Model!$B$6-IF((A67+112)&gt;=Model!$B$11,Model!$B$20,0)-IF(112&lt;Model!$B$15,Model!$B$22,0))/(1-Model!$B$9)/(1+Model!$B$18)^112))</f>
        <v/>
      </c>
      <c r="DW67" s="7">
        <f>IF(A67="","",IF((A67+113)&gt;Model!$B$4,0,MAX(0,Model!$B$6-IF((A67+113)&gt;=Model!$B$11,Model!$B$20,0)-IF(113&lt;Model!$B$15,Model!$B$22,0))/(1-Model!$B$9)/(1+Model!$B$18)^113))</f>
        <v/>
      </c>
      <c r="DX67" s="7">
        <f>IF(A67="","",IF((A67+114)&gt;Model!$B$4,0,MAX(0,Model!$B$6-IF((A67+114)&gt;=Model!$B$11,Model!$B$20,0)-IF(114&lt;Model!$B$15,Model!$B$22,0))/(1-Model!$B$9)/(1+Model!$B$18)^114))</f>
        <v/>
      </c>
      <c r="DY67" s="7">
        <f>IF(A67="","",IF((A67+115)&gt;Model!$B$4,0,MAX(0,Model!$B$6-IF((A67+115)&gt;=Model!$B$11,Model!$B$20,0)-IF(115&lt;Model!$B$15,Model!$B$22,0))/(1-Model!$B$9)/(1+Model!$B$18)^115))</f>
        <v/>
      </c>
      <c r="DZ67" s="7">
        <f>IF(A67="","",IF((A67+116)&gt;Model!$B$4,0,MAX(0,Model!$B$6-IF((A67+116)&gt;=Model!$B$11,Model!$B$20,0)-IF(116&lt;Model!$B$15,Model!$B$22,0))/(1-Model!$B$9)/(1+Model!$B$18)^116))</f>
        <v/>
      </c>
      <c r="EA67" s="7">
        <f>IF(A67="","",IF((A67+117)&gt;Model!$B$4,0,MAX(0,Model!$B$6-IF((A67+117)&gt;=Model!$B$11,Model!$B$20,0)-IF(117&lt;Model!$B$15,Model!$B$22,0))/(1-Model!$B$9)/(1+Model!$B$18)^117))</f>
        <v/>
      </c>
      <c r="EB67" s="7">
        <f>IF(A67="","",IF((A67+118)&gt;Model!$B$4,0,MAX(0,Model!$B$6-IF((A67+118)&gt;=Model!$B$11,Model!$B$20,0)-IF(118&lt;Model!$B$15,Model!$B$22,0))/(1-Model!$B$9)/(1+Model!$B$18)^118))</f>
        <v/>
      </c>
      <c r="EC67" s="7">
        <f>IF(A67="","",IF((A67+119)&gt;Model!$B$4,0,MAX(0,Model!$B$6-IF((A67+119)&gt;=Model!$B$11,Model!$B$20,0)-IF(119&lt;Model!$B$15,Model!$B$22,0))/(1-Model!$B$9)/(1+Model!$B$18)^119))</f>
        <v/>
      </c>
      <c r="ED67" s="7">
        <f>IF(A67="","",IF((A67+120)&gt;Model!$B$4,0,MAX(0,Model!$B$6-IF((A67+120)&gt;=Model!$B$11,Model!$B$20,0)-IF(120&lt;Model!$B$15,Model!$B$22,0))/(1-Model!$B$9)/(1+Model!$B$18)^120))</f>
        <v/>
      </c>
    </row>
    <row r="68">
      <c r="A68">
        <f>IF(Model!$B$10+ROW()-2&lt;=Model!$B$4,Model!$B$10+ROW()-2,"")</f>
        <v/>
      </c>
      <c r="B68">
        <f>IF(A68="","",A68-Model!$B$10)</f>
        <v/>
      </c>
      <c r="C68" s="7">
        <f>IF(A68="","",Model!$B$5*(1+Model!$B$18)^B68)</f>
        <v/>
      </c>
      <c r="D68" s="7">
        <f>IF(A68="","",SUM(N68:ED68))</f>
        <v/>
      </c>
      <c r="E68" s="7">
        <f>IF(A68="","",IF(A68&gt;=Model!$B$11,Model!$B$20,0))</f>
        <v/>
      </c>
      <c r="F68" s="7">
        <f>IF(A68="","",IF(Model!$B$15&gt;0,Model!$B$22,0))</f>
        <v/>
      </c>
      <c r="G68" s="7">
        <f>IF(A68="","",E68+F68)</f>
        <v/>
      </c>
      <c r="H68" s="7">
        <f>IF(A68="","",MAX(0,Model!$B$6-G68))</f>
        <v/>
      </c>
      <c r="I68" s="7">
        <f>IF(A68="","",H68/(1-Model!$B$9))</f>
        <v/>
      </c>
      <c r="J68" s="7">
        <f>IF(A68="","",C68-D68)</f>
        <v/>
      </c>
      <c r="K68">
        <f>IF(A68="","",C68&gt;=D68)</f>
        <v/>
      </c>
      <c r="L68" s="7">
        <f>IF(A68="","",IF(A68&gt;=Model!$B$11,Model!$B$19*(1+Model!$B$13)^B68,0))</f>
        <v/>
      </c>
      <c r="M68" s="7">
        <f>IF(A68="","",IF(Model!$B$15&gt;0,Model!$B$21*(1+Model!$B$13)^B68,0))</f>
        <v/>
      </c>
      <c r="N68" s="7">
        <f>IF(A68="","",IF((A68+0)&gt;Model!$B$4,0,MAX(0,Model!$B$6-IF((A68+0)&gt;=Model!$B$11,Model!$B$20,0)-IF(0&lt;Model!$B$15,Model!$B$22,0))/(1-Model!$B$9)/(1+Model!$B$18)^0))</f>
        <v/>
      </c>
      <c r="O68" s="7">
        <f>IF(A68="","",IF((A68+1)&gt;Model!$B$4,0,MAX(0,Model!$B$6-IF((A68+1)&gt;=Model!$B$11,Model!$B$20,0)-IF(1&lt;Model!$B$15,Model!$B$22,0))/(1-Model!$B$9)/(1+Model!$B$18)^1))</f>
        <v/>
      </c>
      <c r="P68" s="7">
        <f>IF(A68="","",IF((A68+2)&gt;Model!$B$4,0,MAX(0,Model!$B$6-IF((A68+2)&gt;=Model!$B$11,Model!$B$20,0)-IF(2&lt;Model!$B$15,Model!$B$22,0))/(1-Model!$B$9)/(1+Model!$B$18)^2))</f>
        <v/>
      </c>
      <c r="Q68" s="7">
        <f>IF(A68="","",IF((A68+3)&gt;Model!$B$4,0,MAX(0,Model!$B$6-IF((A68+3)&gt;=Model!$B$11,Model!$B$20,0)-IF(3&lt;Model!$B$15,Model!$B$22,0))/(1-Model!$B$9)/(1+Model!$B$18)^3))</f>
        <v/>
      </c>
      <c r="R68" s="7">
        <f>IF(A68="","",IF((A68+4)&gt;Model!$B$4,0,MAX(0,Model!$B$6-IF((A68+4)&gt;=Model!$B$11,Model!$B$20,0)-IF(4&lt;Model!$B$15,Model!$B$22,0))/(1-Model!$B$9)/(1+Model!$B$18)^4))</f>
        <v/>
      </c>
      <c r="S68" s="7">
        <f>IF(A68="","",IF((A68+5)&gt;Model!$B$4,0,MAX(0,Model!$B$6-IF((A68+5)&gt;=Model!$B$11,Model!$B$20,0)-IF(5&lt;Model!$B$15,Model!$B$22,0))/(1-Model!$B$9)/(1+Model!$B$18)^5))</f>
        <v/>
      </c>
      <c r="T68" s="7">
        <f>IF(A68="","",IF((A68+6)&gt;Model!$B$4,0,MAX(0,Model!$B$6-IF((A68+6)&gt;=Model!$B$11,Model!$B$20,0)-IF(6&lt;Model!$B$15,Model!$B$22,0))/(1-Model!$B$9)/(1+Model!$B$18)^6))</f>
        <v/>
      </c>
      <c r="U68" s="7">
        <f>IF(A68="","",IF((A68+7)&gt;Model!$B$4,0,MAX(0,Model!$B$6-IF((A68+7)&gt;=Model!$B$11,Model!$B$20,0)-IF(7&lt;Model!$B$15,Model!$B$22,0))/(1-Model!$B$9)/(1+Model!$B$18)^7))</f>
        <v/>
      </c>
      <c r="V68" s="7">
        <f>IF(A68="","",IF((A68+8)&gt;Model!$B$4,0,MAX(0,Model!$B$6-IF((A68+8)&gt;=Model!$B$11,Model!$B$20,0)-IF(8&lt;Model!$B$15,Model!$B$22,0))/(1-Model!$B$9)/(1+Model!$B$18)^8))</f>
        <v/>
      </c>
      <c r="W68" s="7">
        <f>IF(A68="","",IF((A68+9)&gt;Model!$B$4,0,MAX(0,Model!$B$6-IF((A68+9)&gt;=Model!$B$11,Model!$B$20,0)-IF(9&lt;Model!$B$15,Model!$B$22,0))/(1-Model!$B$9)/(1+Model!$B$18)^9))</f>
        <v/>
      </c>
      <c r="X68" s="7">
        <f>IF(A68="","",IF((A68+10)&gt;Model!$B$4,0,MAX(0,Model!$B$6-IF((A68+10)&gt;=Model!$B$11,Model!$B$20,0)-IF(10&lt;Model!$B$15,Model!$B$22,0))/(1-Model!$B$9)/(1+Model!$B$18)^10))</f>
        <v/>
      </c>
      <c r="Y68" s="7">
        <f>IF(A68="","",IF((A68+11)&gt;Model!$B$4,0,MAX(0,Model!$B$6-IF((A68+11)&gt;=Model!$B$11,Model!$B$20,0)-IF(11&lt;Model!$B$15,Model!$B$22,0))/(1-Model!$B$9)/(1+Model!$B$18)^11))</f>
        <v/>
      </c>
      <c r="Z68" s="7">
        <f>IF(A68="","",IF((A68+12)&gt;Model!$B$4,0,MAX(0,Model!$B$6-IF((A68+12)&gt;=Model!$B$11,Model!$B$20,0)-IF(12&lt;Model!$B$15,Model!$B$22,0))/(1-Model!$B$9)/(1+Model!$B$18)^12))</f>
        <v/>
      </c>
      <c r="AA68" s="7">
        <f>IF(A68="","",IF((A68+13)&gt;Model!$B$4,0,MAX(0,Model!$B$6-IF((A68+13)&gt;=Model!$B$11,Model!$B$20,0)-IF(13&lt;Model!$B$15,Model!$B$22,0))/(1-Model!$B$9)/(1+Model!$B$18)^13))</f>
        <v/>
      </c>
      <c r="AB68" s="7">
        <f>IF(A68="","",IF((A68+14)&gt;Model!$B$4,0,MAX(0,Model!$B$6-IF((A68+14)&gt;=Model!$B$11,Model!$B$20,0)-IF(14&lt;Model!$B$15,Model!$B$22,0))/(1-Model!$B$9)/(1+Model!$B$18)^14))</f>
        <v/>
      </c>
      <c r="AC68" s="7">
        <f>IF(A68="","",IF((A68+15)&gt;Model!$B$4,0,MAX(0,Model!$B$6-IF((A68+15)&gt;=Model!$B$11,Model!$B$20,0)-IF(15&lt;Model!$B$15,Model!$B$22,0))/(1-Model!$B$9)/(1+Model!$B$18)^15))</f>
        <v/>
      </c>
      <c r="AD68" s="7">
        <f>IF(A68="","",IF((A68+16)&gt;Model!$B$4,0,MAX(0,Model!$B$6-IF((A68+16)&gt;=Model!$B$11,Model!$B$20,0)-IF(16&lt;Model!$B$15,Model!$B$22,0))/(1-Model!$B$9)/(1+Model!$B$18)^16))</f>
        <v/>
      </c>
      <c r="AE68" s="7">
        <f>IF(A68="","",IF((A68+17)&gt;Model!$B$4,0,MAX(0,Model!$B$6-IF((A68+17)&gt;=Model!$B$11,Model!$B$20,0)-IF(17&lt;Model!$B$15,Model!$B$22,0))/(1-Model!$B$9)/(1+Model!$B$18)^17))</f>
        <v/>
      </c>
      <c r="AF68" s="7">
        <f>IF(A68="","",IF((A68+18)&gt;Model!$B$4,0,MAX(0,Model!$B$6-IF((A68+18)&gt;=Model!$B$11,Model!$B$20,0)-IF(18&lt;Model!$B$15,Model!$B$22,0))/(1-Model!$B$9)/(1+Model!$B$18)^18))</f>
        <v/>
      </c>
      <c r="AG68" s="7">
        <f>IF(A68="","",IF((A68+19)&gt;Model!$B$4,0,MAX(0,Model!$B$6-IF((A68+19)&gt;=Model!$B$11,Model!$B$20,0)-IF(19&lt;Model!$B$15,Model!$B$22,0))/(1-Model!$B$9)/(1+Model!$B$18)^19))</f>
        <v/>
      </c>
      <c r="AH68" s="7">
        <f>IF(A68="","",IF((A68+20)&gt;Model!$B$4,0,MAX(0,Model!$B$6-IF((A68+20)&gt;=Model!$B$11,Model!$B$20,0)-IF(20&lt;Model!$B$15,Model!$B$22,0))/(1-Model!$B$9)/(1+Model!$B$18)^20))</f>
        <v/>
      </c>
      <c r="AI68" s="7">
        <f>IF(A68="","",IF((A68+21)&gt;Model!$B$4,0,MAX(0,Model!$B$6-IF((A68+21)&gt;=Model!$B$11,Model!$B$20,0)-IF(21&lt;Model!$B$15,Model!$B$22,0))/(1-Model!$B$9)/(1+Model!$B$18)^21))</f>
        <v/>
      </c>
      <c r="AJ68" s="7">
        <f>IF(A68="","",IF((A68+22)&gt;Model!$B$4,0,MAX(0,Model!$B$6-IF((A68+22)&gt;=Model!$B$11,Model!$B$20,0)-IF(22&lt;Model!$B$15,Model!$B$22,0))/(1-Model!$B$9)/(1+Model!$B$18)^22))</f>
        <v/>
      </c>
      <c r="AK68" s="7">
        <f>IF(A68="","",IF((A68+23)&gt;Model!$B$4,0,MAX(0,Model!$B$6-IF((A68+23)&gt;=Model!$B$11,Model!$B$20,0)-IF(23&lt;Model!$B$15,Model!$B$22,0))/(1-Model!$B$9)/(1+Model!$B$18)^23))</f>
        <v/>
      </c>
      <c r="AL68" s="7">
        <f>IF(A68="","",IF((A68+24)&gt;Model!$B$4,0,MAX(0,Model!$B$6-IF((A68+24)&gt;=Model!$B$11,Model!$B$20,0)-IF(24&lt;Model!$B$15,Model!$B$22,0))/(1-Model!$B$9)/(1+Model!$B$18)^24))</f>
        <v/>
      </c>
      <c r="AM68" s="7">
        <f>IF(A68="","",IF((A68+25)&gt;Model!$B$4,0,MAX(0,Model!$B$6-IF((A68+25)&gt;=Model!$B$11,Model!$B$20,0)-IF(25&lt;Model!$B$15,Model!$B$22,0))/(1-Model!$B$9)/(1+Model!$B$18)^25))</f>
        <v/>
      </c>
      <c r="AN68" s="7">
        <f>IF(A68="","",IF((A68+26)&gt;Model!$B$4,0,MAX(0,Model!$B$6-IF((A68+26)&gt;=Model!$B$11,Model!$B$20,0)-IF(26&lt;Model!$B$15,Model!$B$22,0))/(1-Model!$B$9)/(1+Model!$B$18)^26))</f>
        <v/>
      </c>
      <c r="AO68" s="7">
        <f>IF(A68="","",IF((A68+27)&gt;Model!$B$4,0,MAX(0,Model!$B$6-IF((A68+27)&gt;=Model!$B$11,Model!$B$20,0)-IF(27&lt;Model!$B$15,Model!$B$22,0))/(1-Model!$B$9)/(1+Model!$B$18)^27))</f>
        <v/>
      </c>
      <c r="AP68" s="7">
        <f>IF(A68="","",IF((A68+28)&gt;Model!$B$4,0,MAX(0,Model!$B$6-IF((A68+28)&gt;=Model!$B$11,Model!$B$20,0)-IF(28&lt;Model!$B$15,Model!$B$22,0))/(1-Model!$B$9)/(1+Model!$B$18)^28))</f>
        <v/>
      </c>
      <c r="AQ68" s="7">
        <f>IF(A68="","",IF((A68+29)&gt;Model!$B$4,0,MAX(0,Model!$B$6-IF((A68+29)&gt;=Model!$B$11,Model!$B$20,0)-IF(29&lt;Model!$B$15,Model!$B$22,0))/(1-Model!$B$9)/(1+Model!$B$18)^29))</f>
        <v/>
      </c>
      <c r="AR68" s="7">
        <f>IF(A68="","",IF((A68+30)&gt;Model!$B$4,0,MAX(0,Model!$B$6-IF((A68+30)&gt;=Model!$B$11,Model!$B$20,0)-IF(30&lt;Model!$B$15,Model!$B$22,0))/(1-Model!$B$9)/(1+Model!$B$18)^30))</f>
        <v/>
      </c>
      <c r="AS68" s="7">
        <f>IF(A68="","",IF((A68+31)&gt;Model!$B$4,0,MAX(0,Model!$B$6-IF((A68+31)&gt;=Model!$B$11,Model!$B$20,0)-IF(31&lt;Model!$B$15,Model!$B$22,0))/(1-Model!$B$9)/(1+Model!$B$18)^31))</f>
        <v/>
      </c>
      <c r="AT68" s="7">
        <f>IF(A68="","",IF((A68+32)&gt;Model!$B$4,0,MAX(0,Model!$B$6-IF((A68+32)&gt;=Model!$B$11,Model!$B$20,0)-IF(32&lt;Model!$B$15,Model!$B$22,0))/(1-Model!$B$9)/(1+Model!$B$18)^32))</f>
        <v/>
      </c>
      <c r="AU68" s="7">
        <f>IF(A68="","",IF((A68+33)&gt;Model!$B$4,0,MAX(0,Model!$B$6-IF((A68+33)&gt;=Model!$B$11,Model!$B$20,0)-IF(33&lt;Model!$B$15,Model!$B$22,0))/(1-Model!$B$9)/(1+Model!$B$18)^33))</f>
        <v/>
      </c>
      <c r="AV68" s="7">
        <f>IF(A68="","",IF((A68+34)&gt;Model!$B$4,0,MAX(0,Model!$B$6-IF((A68+34)&gt;=Model!$B$11,Model!$B$20,0)-IF(34&lt;Model!$B$15,Model!$B$22,0))/(1-Model!$B$9)/(1+Model!$B$18)^34))</f>
        <v/>
      </c>
      <c r="AW68" s="7">
        <f>IF(A68="","",IF((A68+35)&gt;Model!$B$4,0,MAX(0,Model!$B$6-IF((A68+35)&gt;=Model!$B$11,Model!$B$20,0)-IF(35&lt;Model!$B$15,Model!$B$22,0))/(1-Model!$B$9)/(1+Model!$B$18)^35))</f>
        <v/>
      </c>
      <c r="AX68" s="7">
        <f>IF(A68="","",IF((A68+36)&gt;Model!$B$4,0,MAX(0,Model!$B$6-IF((A68+36)&gt;=Model!$B$11,Model!$B$20,0)-IF(36&lt;Model!$B$15,Model!$B$22,0))/(1-Model!$B$9)/(1+Model!$B$18)^36))</f>
        <v/>
      </c>
      <c r="AY68" s="7">
        <f>IF(A68="","",IF((A68+37)&gt;Model!$B$4,0,MAX(0,Model!$B$6-IF((A68+37)&gt;=Model!$B$11,Model!$B$20,0)-IF(37&lt;Model!$B$15,Model!$B$22,0))/(1-Model!$B$9)/(1+Model!$B$18)^37))</f>
        <v/>
      </c>
      <c r="AZ68" s="7">
        <f>IF(A68="","",IF((A68+38)&gt;Model!$B$4,0,MAX(0,Model!$B$6-IF((A68+38)&gt;=Model!$B$11,Model!$B$20,0)-IF(38&lt;Model!$B$15,Model!$B$22,0))/(1-Model!$B$9)/(1+Model!$B$18)^38))</f>
        <v/>
      </c>
      <c r="BA68" s="7">
        <f>IF(A68="","",IF((A68+39)&gt;Model!$B$4,0,MAX(0,Model!$B$6-IF((A68+39)&gt;=Model!$B$11,Model!$B$20,0)-IF(39&lt;Model!$B$15,Model!$B$22,0))/(1-Model!$B$9)/(1+Model!$B$18)^39))</f>
        <v/>
      </c>
      <c r="BB68" s="7">
        <f>IF(A68="","",IF((A68+40)&gt;Model!$B$4,0,MAX(0,Model!$B$6-IF((A68+40)&gt;=Model!$B$11,Model!$B$20,0)-IF(40&lt;Model!$B$15,Model!$B$22,0))/(1-Model!$B$9)/(1+Model!$B$18)^40))</f>
        <v/>
      </c>
      <c r="BC68" s="7">
        <f>IF(A68="","",IF((A68+41)&gt;Model!$B$4,0,MAX(0,Model!$B$6-IF((A68+41)&gt;=Model!$B$11,Model!$B$20,0)-IF(41&lt;Model!$B$15,Model!$B$22,0))/(1-Model!$B$9)/(1+Model!$B$18)^41))</f>
        <v/>
      </c>
      <c r="BD68" s="7">
        <f>IF(A68="","",IF((A68+42)&gt;Model!$B$4,0,MAX(0,Model!$B$6-IF((A68+42)&gt;=Model!$B$11,Model!$B$20,0)-IF(42&lt;Model!$B$15,Model!$B$22,0))/(1-Model!$B$9)/(1+Model!$B$18)^42))</f>
        <v/>
      </c>
      <c r="BE68" s="7">
        <f>IF(A68="","",IF((A68+43)&gt;Model!$B$4,0,MAX(0,Model!$B$6-IF((A68+43)&gt;=Model!$B$11,Model!$B$20,0)-IF(43&lt;Model!$B$15,Model!$B$22,0))/(1-Model!$B$9)/(1+Model!$B$18)^43))</f>
        <v/>
      </c>
      <c r="BF68" s="7">
        <f>IF(A68="","",IF((A68+44)&gt;Model!$B$4,0,MAX(0,Model!$B$6-IF((A68+44)&gt;=Model!$B$11,Model!$B$20,0)-IF(44&lt;Model!$B$15,Model!$B$22,0))/(1-Model!$B$9)/(1+Model!$B$18)^44))</f>
        <v/>
      </c>
      <c r="BG68" s="7">
        <f>IF(A68="","",IF((A68+45)&gt;Model!$B$4,0,MAX(0,Model!$B$6-IF((A68+45)&gt;=Model!$B$11,Model!$B$20,0)-IF(45&lt;Model!$B$15,Model!$B$22,0))/(1-Model!$B$9)/(1+Model!$B$18)^45))</f>
        <v/>
      </c>
      <c r="BH68" s="7">
        <f>IF(A68="","",IF((A68+46)&gt;Model!$B$4,0,MAX(0,Model!$B$6-IF((A68+46)&gt;=Model!$B$11,Model!$B$20,0)-IF(46&lt;Model!$B$15,Model!$B$22,0))/(1-Model!$B$9)/(1+Model!$B$18)^46))</f>
        <v/>
      </c>
      <c r="BI68" s="7">
        <f>IF(A68="","",IF((A68+47)&gt;Model!$B$4,0,MAX(0,Model!$B$6-IF((A68+47)&gt;=Model!$B$11,Model!$B$20,0)-IF(47&lt;Model!$B$15,Model!$B$22,0))/(1-Model!$B$9)/(1+Model!$B$18)^47))</f>
        <v/>
      </c>
      <c r="BJ68" s="7">
        <f>IF(A68="","",IF((A68+48)&gt;Model!$B$4,0,MAX(0,Model!$B$6-IF((A68+48)&gt;=Model!$B$11,Model!$B$20,0)-IF(48&lt;Model!$B$15,Model!$B$22,0))/(1-Model!$B$9)/(1+Model!$B$18)^48))</f>
        <v/>
      </c>
      <c r="BK68" s="7">
        <f>IF(A68="","",IF((A68+49)&gt;Model!$B$4,0,MAX(0,Model!$B$6-IF((A68+49)&gt;=Model!$B$11,Model!$B$20,0)-IF(49&lt;Model!$B$15,Model!$B$22,0))/(1-Model!$B$9)/(1+Model!$B$18)^49))</f>
        <v/>
      </c>
      <c r="BL68" s="7">
        <f>IF(A68="","",IF((A68+50)&gt;Model!$B$4,0,MAX(0,Model!$B$6-IF((A68+50)&gt;=Model!$B$11,Model!$B$20,0)-IF(50&lt;Model!$B$15,Model!$B$22,0))/(1-Model!$B$9)/(1+Model!$B$18)^50))</f>
        <v/>
      </c>
      <c r="BM68" s="7">
        <f>IF(A68="","",IF((A68+51)&gt;Model!$B$4,0,MAX(0,Model!$B$6-IF((A68+51)&gt;=Model!$B$11,Model!$B$20,0)-IF(51&lt;Model!$B$15,Model!$B$22,0))/(1-Model!$B$9)/(1+Model!$B$18)^51))</f>
        <v/>
      </c>
      <c r="BN68" s="7">
        <f>IF(A68="","",IF((A68+52)&gt;Model!$B$4,0,MAX(0,Model!$B$6-IF((A68+52)&gt;=Model!$B$11,Model!$B$20,0)-IF(52&lt;Model!$B$15,Model!$B$22,0))/(1-Model!$B$9)/(1+Model!$B$18)^52))</f>
        <v/>
      </c>
      <c r="BO68" s="7">
        <f>IF(A68="","",IF((A68+53)&gt;Model!$B$4,0,MAX(0,Model!$B$6-IF((A68+53)&gt;=Model!$B$11,Model!$B$20,0)-IF(53&lt;Model!$B$15,Model!$B$22,0))/(1-Model!$B$9)/(1+Model!$B$18)^53))</f>
        <v/>
      </c>
      <c r="BP68" s="7">
        <f>IF(A68="","",IF((A68+54)&gt;Model!$B$4,0,MAX(0,Model!$B$6-IF((A68+54)&gt;=Model!$B$11,Model!$B$20,0)-IF(54&lt;Model!$B$15,Model!$B$22,0))/(1-Model!$B$9)/(1+Model!$B$18)^54))</f>
        <v/>
      </c>
      <c r="BQ68" s="7">
        <f>IF(A68="","",IF((A68+55)&gt;Model!$B$4,0,MAX(0,Model!$B$6-IF((A68+55)&gt;=Model!$B$11,Model!$B$20,0)-IF(55&lt;Model!$B$15,Model!$B$22,0))/(1-Model!$B$9)/(1+Model!$B$18)^55))</f>
        <v/>
      </c>
      <c r="BR68" s="7">
        <f>IF(A68="","",IF((A68+56)&gt;Model!$B$4,0,MAX(0,Model!$B$6-IF((A68+56)&gt;=Model!$B$11,Model!$B$20,0)-IF(56&lt;Model!$B$15,Model!$B$22,0))/(1-Model!$B$9)/(1+Model!$B$18)^56))</f>
        <v/>
      </c>
      <c r="BS68" s="7">
        <f>IF(A68="","",IF((A68+57)&gt;Model!$B$4,0,MAX(0,Model!$B$6-IF((A68+57)&gt;=Model!$B$11,Model!$B$20,0)-IF(57&lt;Model!$B$15,Model!$B$22,0))/(1-Model!$B$9)/(1+Model!$B$18)^57))</f>
        <v/>
      </c>
      <c r="BT68" s="7">
        <f>IF(A68="","",IF((A68+58)&gt;Model!$B$4,0,MAX(0,Model!$B$6-IF((A68+58)&gt;=Model!$B$11,Model!$B$20,0)-IF(58&lt;Model!$B$15,Model!$B$22,0))/(1-Model!$B$9)/(1+Model!$B$18)^58))</f>
        <v/>
      </c>
      <c r="BU68" s="7">
        <f>IF(A68="","",IF((A68+59)&gt;Model!$B$4,0,MAX(0,Model!$B$6-IF((A68+59)&gt;=Model!$B$11,Model!$B$20,0)-IF(59&lt;Model!$B$15,Model!$B$22,0))/(1-Model!$B$9)/(1+Model!$B$18)^59))</f>
        <v/>
      </c>
      <c r="BV68" s="7">
        <f>IF(A68="","",IF((A68+60)&gt;Model!$B$4,0,MAX(0,Model!$B$6-IF((A68+60)&gt;=Model!$B$11,Model!$B$20,0)-IF(60&lt;Model!$B$15,Model!$B$22,0))/(1-Model!$B$9)/(1+Model!$B$18)^60))</f>
        <v/>
      </c>
      <c r="BW68" s="7">
        <f>IF(A68="","",IF((A68+61)&gt;Model!$B$4,0,MAX(0,Model!$B$6-IF((A68+61)&gt;=Model!$B$11,Model!$B$20,0)-IF(61&lt;Model!$B$15,Model!$B$22,0))/(1-Model!$B$9)/(1+Model!$B$18)^61))</f>
        <v/>
      </c>
      <c r="BX68" s="7">
        <f>IF(A68="","",IF((A68+62)&gt;Model!$B$4,0,MAX(0,Model!$B$6-IF((A68+62)&gt;=Model!$B$11,Model!$B$20,0)-IF(62&lt;Model!$B$15,Model!$B$22,0))/(1-Model!$B$9)/(1+Model!$B$18)^62))</f>
        <v/>
      </c>
      <c r="BY68" s="7">
        <f>IF(A68="","",IF((A68+63)&gt;Model!$B$4,0,MAX(0,Model!$B$6-IF((A68+63)&gt;=Model!$B$11,Model!$B$20,0)-IF(63&lt;Model!$B$15,Model!$B$22,0))/(1-Model!$B$9)/(1+Model!$B$18)^63))</f>
        <v/>
      </c>
      <c r="BZ68" s="7">
        <f>IF(A68="","",IF((A68+64)&gt;Model!$B$4,0,MAX(0,Model!$B$6-IF((A68+64)&gt;=Model!$B$11,Model!$B$20,0)-IF(64&lt;Model!$B$15,Model!$B$22,0))/(1-Model!$B$9)/(1+Model!$B$18)^64))</f>
        <v/>
      </c>
      <c r="CA68" s="7">
        <f>IF(A68="","",IF((A68+65)&gt;Model!$B$4,0,MAX(0,Model!$B$6-IF((A68+65)&gt;=Model!$B$11,Model!$B$20,0)-IF(65&lt;Model!$B$15,Model!$B$22,0))/(1-Model!$B$9)/(1+Model!$B$18)^65))</f>
        <v/>
      </c>
      <c r="CB68" s="7">
        <f>IF(A68="","",IF((A68+66)&gt;Model!$B$4,0,MAX(0,Model!$B$6-IF((A68+66)&gt;=Model!$B$11,Model!$B$20,0)-IF(66&lt;Model!$B$15,Model!$B$22,0))/(1-Model!$B$9)/(1+Model!$B$18)^66))</f>
        <v/>
      </c>
      <c r="CC68" s="7">
        <f>IF(A68="","",IF((A68+67)&gt;Model!$B$4,0,MAX(0,Model!$B$6-IF((A68+67)&gt;=Model!$B$11,Model!$B$20,0)-IF(67&lt;Model!$B$15,Model!$B$22,0))/(1-Model!$B$9)/(1+Model!$B$18)^67))</f>
        <v/>
      </c>
      <c r="CD68" s="7">
        <f>IF(A68="","",IF((A68+68)&gt;Model!$B$4,0,MAX(0,Model!$B$6-IF((A68+68)&gt;=Model!$B$11,Model!$B$20,0)-IF(68&lt;Model!$B$15,Model!$B$22,0))/(1-Model!$B$9)/(1+Model!$B$18)^68))</f>
        <v/>
      </c>
      <c r="CE68" s="7">
        <f>IF(A68="","",IF((A68+69)&gt;Model!$B$4,0,MAX(0,Model!$B$6-IF((A68+69)&gt;=Model!$B$11,Model!$B$20,0)-IF(69&lt;Model!$B$15,Model!$B$22,0))/(1-Model!$B$9)/(1+Model!$B$18)^69))</f>
        <v/>
      </c>
      <c r="CF68" s="7">
        <f>IF(A68="","",IF((A68+70)&gt;Model!$B$4,0,MAX(0,Model!$B$6-IF((A68+70)&gt;=Model!$B$11,Model!$B$20,0)-IF(70&lt;Model!$B$15,Model!$B$22,0))/(1-Model!$B$9)/(1+Model!$B$18)^70))</f>
        <v/>
      </c>
      <c r="CG68" s="7">
        <f>IF(A68="","",IF((A68+71)&gt;Model!$B$4,0,MAX(0,Model!$B$6-IF((A68+71)&gt;=Model!$B$11,Model!$B$20,0)-IF(71&lt;Model!$B$15,Model!$B$22,0))/(1-Model!$B$9)/(1+Model!$B$18)^71))</f>
        <v/>
      </c>
      <c r="CH68" s="7">
        <f>IF(A68="","",IF((A68+72)&gt;Model!$B$4,0,MAX(0,Model!$B$6-IF((A68+72)&gt;=Model!$B$11,Model!$B$20,0)-IF(72&lt;Model!$B$15,Model!$B$22,0))/(1-Model!$B$9)/(1+Model!$B$18)^72))</f>
        <v/>
      </c>
      <c r="CI68" s="7">
        <f>IF(A68="","",IF((A68+73)&gt;Model!$B$4,0,MAX(0,Model!$B$6-IF((A68+73)&gt;=Model!$B$11,Model!$B$20,0)-IF(73&lt;Model!$B$15,Model!$B$22,0))/(1-Model!$B$9)/(1+Model!$B$18)^73))</f>
        <v/>
      </c>
      <c r="CJ68" s="7">
        <f>IF(A68="","",IF((A68+74)&gt;Model!$B$4,0,MAX(0,Model!$B$6-IF((A68+74)&gt;=Model!$B$11,Model!$B$20,0)-IF(74&lt;Model!$B$15,Model!$B$22,0))/(1-Model!$B$9)/(1+Model!$B$18)^74))</f>
        <v/>
      </c>
      <c r="CK68" s="7">
        <f>IF(A68="","",IF((A68+75)&gt;Model!$B$4,0,MAX(0,Model!$B$6-IF((A68+75)&gt;=Model!$B$11,Model!$B$20,0)-IF(75&lt;Model!$B$15,Model!$B$22,0))/(1-Model!$B$9)/(1+Model!$B$18)^75))</f>
        <v/>
      </c>
      <c r="CL68" s="7">
        <f>IF(A68="","",IF((A68+76)&gt;Model!$B$4,0,MAX(0,Model!$B$6-IF((A68+76)&gt;=Model!$B$11,Model!$B$20,0)-IF(76&lt;Model!$B$15,Model!$B$22,0))/(1-Model!$B$9)/(1+Model!$B$18)^76))</f>
        <v/>
      </c>
      <c r="CM68" s="7">
        <f>IF(A68="","",IF((A68+77)&gt;Model!$B$4,0,MAX(0,Model!$B$6-IF((A68+77)&gt;=Model!$B$11,Model!$B$20,0)-IF(77&lt;Model!$B$15,Model!$B$22,0))/(1-Model!$B$9)/(1+Model!$B$18)^77))</f>
        <v/>
      </c>
      <c r="CN68" s="7">
        <f>IF(A68="","",IF((A68+78)&gt;Model!$B$4,0,MAX(0,Model!$B$6-IF((A68+78)&gt;=Model!$B$11,Model!$B$20,0)-IF(78&lt;Model!$B$15,Model!$B$22,0))/(1-Model!$B$9)/(1+Model!$B$18)^78))</f>
        <v/>
      </c>
      <c r="CO68" s="7">
        <f>IF(A68="","",IF((A68+79)&gt;Model!$B$4,0,MAX(0,Model!$B$6-IF((A68+79)&gt;=Model!$B$11,Model!$B$20,0)-IF(79&lt;Model!$B$15,Model!$B$22,0))/(1-Model!$B$9)/(1+Model!$B$18)^79))</f>
        <v/>
      </c>
      <c r="CP68" s="7">
        <f>IF(A68="","",IF((A68+80)&gt;Model!$B$4,0,MAX(0,Model!$B$6-IF((A68+80)&gt;=Model!$B$11,Model!$B$20,0)-IF(80&lt;Model!$B$15,Model!$B$22,0))/(1-Model!$B$9)/(1+Model!$B$18)^80))</f>
        <v/>
      </c>
      <c r="CQ68" s="7">
        <f>IF(A68="","",IF((A68+81)&gt;Model!$B$4,0,MAX(0,Model!$B$6-IF((A68+81)&gt;=Model!$B$11,Model!$B$20,0)-IF(81&lt;Model!$B$15,Model!$B$22,0))/(1-Model!$B$9)/(1+Model!$B$18)^81))</f>
        <v/>
      </c>
      <c r="CR68" s="7">
        <f>IF(A68="","",IF((A68+82)&gt;Model!$B$4,0,MAX(0,Model!$B$6-IF((A68+82)&gt;=Model!$B$11,Model!$B$20,0)-IF(82&lt;Model!$B$15,Model!$B$22,0))/(1-Model!$B$9)/(1+Model!$B$18)^82))</f>
        <v/>
      </c>
      <c r="CS68" s="7">
        <f>IF(A68="","",IF((A68+83)&gt;Model!$B$4,0,MAX(0,Model!$B$6-IF((A68+83)&gt;=Model!$B$11,Model!$B$20,0)-IF(83&lt;Model!$B$15,Model!$B$22,0))/(1-Model!$B$9)/(1+Model!$B$18)^83))</f>
        <v/>
      </c>
      <c r="CT68" s="7">
        <f>IF(A68="","",IF((A68+84)&gt;Model!$B$4,0,MAX(0,Model!$B$6-IF((A68+84)&gt;=Model!$B$11,Model!$B$20,0)-IF(84&lt;Model!$B$15,Model!$B$22,0))/(1-Model!$B$9)/(1+Model!$B$18)^84))</f>
        <v/>
      </c>
      <c r="CU68" s="7">
        <f>IF(A68="","",IF((A68+85)&gt;Model!$B$4,0,MAX(0,Model!$B$6-IF((A68+85)&gt;=Model!$B$11,Model!$B$20,0)-IF(85&lt;Model!$B$15,Model!$B$22,0))/(1-Model!$B$9)/(1+Model!$B$18)^85))</f>
        <v/>
      </c>
      <c r="CV68" s="7">
        <f>IF(A68="","",IF((A68+86)&gt;Model!$B$4,0,MAX(0,Model!$B$6-IF((A68+86)&gt;=Model!$B$11,Model!$B$20,0)-IF(86&lt;Model!$B$15,Model!$B$22,0))/(1-Model!$B$9)/(1+Model!$B$18)^86))</f>
        <v/>
      </c>
      <c r="CW68" s="7">
        <f>IF(A68="","",IF((A68+87)&gt;Model!$B$4,0,MAX(0,Model!$B$6-IF((A68+87)&gt;=Model!$B$11,Model!$B$20,0)-IF(87&lt;Model!$B$15,Model!$B$22,0))/(1-Model!$B$9)/(1+Model!$B$18)^87))</f>
        <v/>
      </c>
      <c r="CX68" s="7">
        <f>IF(A68="","",IF((A68+88)&gt;Model!$B$4,0,MAX(0,Model!$B$6-IF((A68+88)&gt;=Model!$B$11,Model!$B$20,0)-IF(88&lt;Model!$B$15,Model!$B$22,0))/(1-Model!$B$9)/(1+Model!$B$18)^88))</f>
        <v/>
      </c>
      <c r="CY68" s="7">
        <f>IF(A68="","",IF((A68+89)&gt;Model!$B$4,0,MAX(0,Model!$B$6-IF((A68+89)&gt;=Model!$B$11,Model!$B$20,0)-IF(89&lt;Model!$B$15,Model!$B$22,0))/(1-Model!$B$9)/(1+Model!$B$18)^89))</f>
        <v/>
      </c>
      <c r="CZ68" s="7">
        <f>IF(A68="","",IF((A68+90)&gt;Model!$B$4,0,MAX(0,Model!$B$6-IF((A68+90)&gt;=Model!$B$11,Model!$B$20,0)-IF(90&lt;Model!$B$15,Model!$B$22,0))/(1-Model!$B$9)/(1+Model!$B$18)^90))</f>
        <v/>
      </c>
      <c r="DA68" s="7">
        <f>IF(A68="","",IF((A68+91)&gt;Model!$B$4,0,MAX(0,Model!$B$6-IF((A68+91)&gt;=Model!$B$11,Model!$B$20,0)-IF(91&lt;Model!$B$15,Model!$B$22,0))/(1-Model!$B$9)/(1+Model!$B$18)^91))</f>
        <v/>
      </c>
      <c r="DB68" s="7">
        <f>IF(A68="","",IF((A68+92)&gt;Model!$B$4,0,MAX(0,Model!$B$6-IF((A68+92)&gt;=Model!$B$11,Model!$B$20,0)-IF(92&lt;Model!$B$15,Model!$B$22,0))/(1-Model!$B$9)/(1+Model!$B$18)^92))</f>
        <v/>
      </c>
      <c r="DC68" s="7">
        <f>IF(A68="","",IF((A68+93)&gt;Model!$B$4,0,MAX(0,Model!$B$6-IF((A68+93)&gt;=Model!$B$11,Model!$B$20,0)-IF(93&lt;Model!$B$15,Model!$B$22,0))/(1-Model!$B$9)/(1+Model!$B$18)^93))</f>
        <v/>
      </c>
      <c r="DD68" s="7">
        <f>IF(A68="","",IF((A68+94)&gt;Model!$B$4,0,MAX(0,Model!$B$6-IF((A68+94)&gt;=Model!$B$11,Model!$B$20,0)-IF(94&lt;Model!$B$15,Model!$B$22,0))/(1-Model!$B$9)/(1+Model!$B$18)^94))</f>
        <v/>
      </c>
      <c r="DE68" s="7">
        <f>IF(A68="","",IF((A68+95)&gt;Model!$B$4,0,MAX(0,Model!$B$6-IF((A68+95)&gt;=Model!$B$11,Model!$B$20,0)-IF(95&lt;Model!$B$15,Model!$B$22,0))/(1-Model!$B$9)/(1+Model!$B$18)^95))</f>
        <v/>
      </c>
      <c r="DF68" s="7">
        <f>IF(A68="","",IF((A68+96)&gt;Model!$B$4,0,MAX(0,Model!$B$6-IF((A68+96)&gt;=Model!$B$11,Model!$B$20,0)-IF(96&lt;Model!$B$15,Model!$B$22,0))/(1-Model!$B$9)/(1+Model!$B$18)^96))</f>
        <v/>
      </c>
      <c r="DG68" s="7">
        <f>IF(A68="","",IF((A68+97)&gt;Model!$B$4,0,MAX(0,Model!$B$6-IF((A68+97)&gt;=Model!$B$11,Model!$B$20,0)-IF(97&lt;Model!$B$15,Model!$B$22,0))/(1-Model!$B$9)/(1+Model!$B$18)^97))</f>
        <v/>
      </c>
      <c r="DH68" s="7">
        <f>IF(A68="","",IF((A68+98)&gt;Model!$B$4,0,MAX(0,Model!$B$6-IF((A68+98)&gt;=Model!$B$11,Model!$B$20,0)-IF(98&lt;Model!$B$15,Model!$B$22,0))/(1-Model!$B$9)/(1+Model!$B$18)^98))</f>
        <v/>
      </c>
      <c r="DI68" s="7">
        <f>IF(A68="","",IF((A68+99)&gt;Model!$B$4,0,MAX(0,Model!$B$6-IF((A68+99)&gt;=Model!$B$11,Model!$B$20,0)-IF(99&lt;Model!$B$15,Model!$B$22,0))/(1-Model!$B$9)/(1+Model!$B$18)^99))</f>
        <v/>
      </c>
      <c r="DJ68" s="7">
        <f>IF(A68="","",IF((A68+100)&gt;Model!$B$4,0,MAX(0,Model!$B$6-IF((A68+100)&gt;=Model!$B$11,Model!$B$20,0)-IF(100&lt;Model!$B$15,Model!$B$22,0))/(1-Model!$B$9)/(1+Model!$B$18)^100))</f>
        <v/>
      </c>
      <c r="DK68" s="7">
        <f>IF(A68="","",IF((A68+101)&gt;Model!$B$4,0,MAX(0,Model!$B$6-IF((A68+101)&gt;=Model!$B$11,Model!$B$20,0)-IF(101&lt;Model!$B$15,Model!$B$22,0))/(1-Model!$B$9)/(1+Model!$B$18)^101))</f>
        <v/>
      </c>
      <c r="DL68" s="7">
        <f>IF(A68="","",IF((A68+102)&gt;Model!$B$4,0,MAX(0,Model!$B$6-IF((A68+102)&gt;=Model!$B$11,Model!$B$20,0)-IF(102&lt;Model!$B$15,Model!$B$22,0))/(1-Model!$B$9)/(1+Model!$B$18)^102))</f>
        <v/>
      </c>
      <c r="DM68" s="7">
        <f>IF(A68="","",IF((A68+103)&gt;Model!$B$4,0,MAX(0,Model!$B$6-IF((A68+103)&gt;=Model!$B$11,Model!$B$20,0)-IF(103&lt;Model!$B$15,Model!$B$22,0))/(1-Model!$B$9)/(1+Model!$B$18)^103))</f>
        <v/>
      </c>
      <c r="DN68" s="7">
        <f>IF(A68="","",IF((A68+104)&gt;Model!$B$4,0,MAX(0,Model!$B$6-IF((A68+104)&gt;=Model!$B$11,Model!$B$20,0)-IF(104&lt;Model!$B$15,Model!$B$22,0))/(1-Model!$B$9)/(1+Model!$B$18)^104))</f>
        <v/>
      </c>
      <c r="DO68" s="7">
        <f>IF(A68="","",IF((A68+105)&gt;Model!$B$4,0,MAX(0,Model!$B$6-IF((A68+105)&gt;=Model!$B$11,Model!$B$20,0)-IF(105&lt;Model!$B$15,Model!$B$22,0))/(1-Model!$B$9)/(1+Model!$B$18)^105))</f>
        <v/>
      </c>
      <c r="DP68" s="7">
        <f>IF(A68="","",IF((A68+106)&gt;Model!$B$4,0,MAX(0,Model!$B$6-IF((A68+106)&gt;=Model!$B$11,Model!$B$20,0)-IF(106&lt;Model!$B$15,Model!$B$22,0))/(1-Model!$B$9)/(1+Model!$B$18)^106))</f>
        <v/>
      </c>
      <c r="DQ68" s="7">
        <f>IF(A68="","",IF((A68+107)&gt;Model!$B$4,0,MAX(0,Model!$B$6-IF((A68+107)&gt;=Model!$B$11,Model!$B$20,0)-IF(107&lt;Model!$B$15,Model!$B$22,0))/(1-Model!$B$9)/(1+Model!$B$18)^107))</f>
        <v/>
      </c>
      <c r="DR68" s="7">
        <f>IF(A68="","",IF((A68+108)&gt;Model!$B$4,0,MAX(0,Model!$B$6-IF((A68+108)&gt;=Model!$B$11,Model!$B$20,0)-IF(108&lt;Model!$B$15,Model!$B$22,0))/(1-Model!$B$9)/(1+Model!$B$18)^108))</f>
        <v/>
      </c>
      <c r="DS68" s="7">
        <f>IF(A68="","",IF((A68+109)&gt;Model!$B$4,0,MAX(0,Model!$B$6-IF((A68+109)&gt;=Model!$B$11,Model!$B$20,0)-IF(109&lt;Model!$B$15,Model!$B$22,0))/(1-Model!$B$9)/(1+Model!$B$18)^109))</f>
        <v/>
      </c>
      <c r="DT68" s="7">
        <f>IF(A68="","",IF((A68+110)&gt;Model!$B$4,0,MAX(0,Model!$B$6-IF((A68+110)&gt;=Model!$B$11,Model!$B$20,0)-IF(110&lt;Model!$B$15,Model!$B$22,0))/(1-Model!$B$9)/(1+Model!$B$18)^110))</f>
        <v/>
      </c>
      <c r="DU68" s="7">
        <f>IF(A68="","",IF((A68+111)&gt;Model!$B$4,0,MAX(0,Model!$B$6-IF((A68+111)&gt;=Model!$B$11,Model!$B$20,0)-IF(111&lt;Model!$B$15,Model!$B$22,0))/(1-Model!$B$9)/(1+Model!$B$18)^111))</f>
        <v/>
      </c>
      <c r="DV68" s="7">
        <f>IF(A68="","",IF((A68+112)&gt;Model!$B$4,0,MAX(0,Model!$B$6-IF((A68+112)&gt;=Model!$B$11,Model!$B$20,0)-IF(112&lt;Model!$B$15,Model!$B$22,0))/(1-Model!$B$9)/(1+Model!$B$18)^112))</f>
        <v/>
      </c>
      <c r="DW68" s="7">
        <f>IF(A68="","",IF((A68+113)&gt;Model!$B$4,0,MAX(0,Model!$B$6-IF((A68+113)&gt;=Model!$B$11,Model!$B$20,0)-IF(113&lt;Model!$B$15,Model!$B$22,0))/(1-Model!$B$9)/(1+Model!$B$18)^113))</f>
        <v/>
      </c>
      <c r="DX68" s="7">
        <f>IF(A68="","",IF((A68+114)&gt;Model!$B$4,0,MAX(0,Model!$B$6-IF((A68+114)&gt;=Model!$B$11,Model!$B$20,0)-IF(114&lt;Model!$B$15,Model!$B$22,0))/(1-Model!$B$9)/(1+Model!$B$18)^114))</f>
        <v/>
      </c>
      <c r="DY68" s="7">
        <f>IF(A68="","",IF((A68+115)&gt;Model!$B$4,0,MAX(0,Model!$B$6-IF((A68+115)&gt;=Model!$B$11,Model!$B$20,0)-IF(115&lt;Model!$B$15,Model!$B$22,0))/(1-Model!$B$9)/(1+Model!$B$18)^115))</f>
        <v/>
      </c>
      <c r="DZ68" s="7">
        <f>IF(A68="","",IF((A68+116)&gt;Model!$B$4,0,MAX(0,Model!$B$6-IF((A68+116)&gt;=Model!$B$11,Model!$B$20,0)-IF(116&lt;Model!$B$15,Model!$B$22,0))/(1-Model!$B$9)/(1+Model!$B$18)^116))</f>
        <v/>
      </c>
      <c r="EA68" s="7">
        <f>IF(A68="","",IF((A68+117)&gt;Model!$B$4,0,MAX(0,Model!$B$6-IF((A68+117)&gt;=Model!$B$11,Model!$B$20,0)-IF(117&lt;Model!$B$15,Model!$B$22,0))/(1-Model!$B$9)/(1+Model!$B$18)^117))</f>
        <v/>
      </c>
      <c r="EB68" s="7">
        <f>IF(A68="","",IF((A68+118)&gt;Model!$B$4,0,MAX(0,Model!$B$6-IF((A68+118)&gt;=Model!$B$11,Model!$B$20,0)-IF(118&lt;Model!$B$15,Model!$B$22,0))/(1-Model!$B$9)/(1+Model!$B$18)^118))</f>
        <v/>
      </c>
      <c r="EC68" s="7">
        <f>IF(A68="","",IF((A68+119)&gt;Model!$B$4,0,MAX(0,Model!$B$6-IF((A68+119)&gt;=Model!$B$11,Model!$B$20,0)-IF(119&lt;Model!$B$15,Model!$B$22,0))/(1-Model!$B$9)/(1+Model!$B$18)^119))</f>
        <v/>
      </c>
      <c r="ED68" s="7">
        <f>IF(A68="","",IF((A68+120)&gt;Model!$B$4,0,MAX(0,Model!$B$6-IF((A68+120)&gt;=Model!$B$11,Model!$B$20,0)-IF(120&lt;Model!$B$15,Model!$B$22,0))/(1-Model!$B$9)/(1+Model!$B$18)^120))</f>
        <v/>
      </c>
    </row>
    <row r="69">
      <c r="A69">
        <f>IF(Model!$B$10+ROW()-2&lt;=Model!$B$4,Model!$B$10+ROW()-2,"")</f>
        <v/>
      </c>
      <c r="B69">
        <f>IF(A69="","",A69-Model!$B$10)</f>
        <v/>
      </c>
      <c r="C69" s="7">
        <f>IF(A69="","",Model!$B$5*(1+Model!$B$18)^B69)</f>
        <v/>
      </c>
      <c r="D69" s="7">
        <f>IF(A69="","",SUM(N69:ED69))</f>
        <v/>
      </c>
      <c r="E69" s="7">
        <f>IF(A69="","",IF(A69&gt;=Model!$B$11,Model!$B$20,0))</f>
        <v/>
      </c>
      <c r="F69" s="7">
        <f>IF(A69="","",IF(Model!$B$15&gt;0,Model!$B$22,0))</f>
        <v/>
      </c>
      <c r="G69" s="7">
        <f>IF(A69="","",E69+F69)</f>
        <v/>
      </c>
      <c r="H69" s="7">
        <f>IF(A69="","",MAX(0,Model!$B$6-G69))</f>
        <v/>
      </c>
      <c r="I69" s="7">
        <f>IF(A69="","",H69/(1-Model!$B$9))</f>
        <v/>
      </c>
      <c r="J69" s="7">
        <f>IF(A69="","",C69-D69)</f>
        <v/>
      </c>
      <c r="K69">
        <f>IF(A69="","",C69&gt;=D69)</f>
        <v/>
      </c>
      <c r="L69" s="7">
        <f>IF(A69="","",IF(A69&gt;=Model!$B$11,Model!$B$19*(1+Model!$B$13)^B69,0))</f>
        <v/>
      </c>
      <c r="M69" s="7">
        <f>IF(A69="","",IF(Model!$B$15&gt;0,Model!$B$21*(1+Model!$B$13)^B69,0))</f>
        <v/>
      </c>
      <c r="N69" s="7">
        <f>IF(A69="","",IF((A69+0)&gt;Model!$B$4,0,MAX(0,Model!$B$6-IF((A69+0)&gt;=Model!$B$11,Model!$B$20,0)-IF(0&lt;Model!$B$15,Model!$B$22,0))/(1-Model!$B$9)/(1+Model!$B$18)^0))</f>
        <v/>
      </c>
      <c r="O69" s="7">
        <f>IF(A69="","",IF((A69+1)&gt;Model!$B$4,0,MAX(0,Model!$B$6-IF((A69+1)&gt;=Model!$B$11,Model!$B$20,0)-IF(1&lt;Model!$B$15,Model!$B$22,0))/(1-Model!$B$9)/(1+Model!$B$18)^1))</f>
        <v/>
      </c>
      <c r="P69" s="7">
        <f>IF(A69="","",IF((A69+2)&gt;Model!$B$4,0,MAX(0,Model!$B$6-IF((A69+2)&gt;=Model!$B$11,Model!$B$20,0)-IF(2&lt;Model!$B$15,Model!$B$22,0))/(1-Model!$B$9)/(1+Model!$B$18)^2))</f>
        <v/>
      </c>
      <c r="Q69" s="7">
        <f>IF(A69="","",IF((A69+3)&gt;Model!$B$4,0,MAX(0,Model!$B$6-IF((A69+3)&gt;=Model!$B$11,Model!$B$20,0)-IF(3&lt;Model!$B$15,Model!$B$22,0))/(1-Model!$B$9)/(1+Model!$B$18)^3))</f>
        <v/>
      </c>
      <c r="R69" s="7">
        <f>IF(A69="","",IF((A69+4)&gt;Model!$B$4,0,MAX(0,Model!$B$6-IF((A69+4)&gt;=Model!$B$11,Model!$B$20,0)-IF(4&lt;Model!$B$15,Model!$B$22,0))/(1-Model!$B$9)/(1+Model!$B$18)^4))</f>
        <v/>
      </c>
      <c r="S69" s="7">
        <f>IF(A69="","",IF((A69+5)&gt;Model!$B$4,0,MAX(0,Model!$B$6-IF((A69+5)&gt;=Model!$B$11,Model!$B$20,0)-IF(5&lt;Model!$B$15,Model!$B$22,0))/(1-Model!$B$9)/(1+Model!$B$18)^5))</f>
        <v/>
      </c>
      <c r="T69" s="7">
        <f>IF(A69="","",IF((A69+6)&gt;Model!$B$4,0,MAX(0,Model!$B$6-IF((A69+6)&gt;=Model!$B$11,Model!$B$20,0)-IF(6&lt;Model!$B$15,Model!$B$22,0))/(1-Model!$B$9)/(1+Model!$B$18)^6))</f>
        <v/>
      </c>
      <c r="U69" s="7">
        <f>IF(A69="","",IF((A69+7)&gt;Model!$B$4,0,MAX(0,Model!$B$6-IF((A69+7)&gt;=Model!$B$11,Model!$B$20,0)-IF(7&lt;Model!$B$15,Model!$B$22,0))/(1-Model!$B$9)/(1+Model!$B$18)^7))</f>
        <v/>
      </c>
      <c r="V69" s="7">
        <f>IF(A69="","",IF((A69+8)&gt;Model!$B$4,0,MAX(0,Model!$B$6-IF((A69+8)&gt;=Model!$B$11,Model!$B$20,0)-IF(8&lt;Model!$B$15,Model!$B$22,0))/(1-Model!$B$9)/(1+Model!$B$18)^8))</f>
        <v/>
      </c>
      <c r="W69" s="7">
        <f>IF(A69="","",IF((A69+9)&gt;Model!$B$4,0,MAX(0,Model!$B$6-IF((A69+9)&gt;=Model!$B$11,Model!$B$20,0)-IF(9&lt;Model!$B$15,Model!$B$22,0))/(1-Model!$B$9)/(1+Model!$B$18)^9))</f>
        <v/>
      </c>
      <c r="X69" s="7">
        <f>IF(A69="","",IF((A69+10)&gt;Model!$B$4,0,MAX(0,Model!$B$6-IF((A69+10)&gt;=Model!$B$11,Model!$B$20,0)-IF(10&lt;Model!$B$15,Model!$B$22,0))/(1-Model!$B$9)/(1+Model!$B$18)^10))</f>
        <v/>
      </c>
      <c r="Y69" s="7">
        <f>IF(A69="","",IF((A69+11)&gt;Model!$B$4,0,MAX(0,Model!$B$6-IF((A69+11)&gt;=Model!$B$11,Model!$B$20,0)-IF(11&lt;Model!$B$15,Model!$B$22,0))/(1-Model!$B$9)/(1+Model!$B$18)^11))</f>
        <v/>
      </c>
      <c r="Z69" s="7">
        <f>IF(A69="","",IF((A69+12)&gt;Model!$B$4,0,MAX(0,Model!$B$6-IF((A69+12)&gt;=Model!$B$11,Model!$B$20,0)-IF(12&lt;Model!$B$15,Model!$B$22,0))/(1-Model!$B$9)/(1+Model!$B$18)^12))</f>
        <v/>
      </c>
      <c r="AA69" s="7">
        <f>IF(A69="","",IF((A69+13)&gt;Model!$B$4,0,MAX(0,Model!$B$6-IF((A69+13)&gt;=Model!$B$11,Model!$B$20,0)-IF(13&lt;Model!$B$15,Model!$B$22,0))/(1-Model!$B$9)/(1+Model!$B$18)^13))</f>
        <v/>
      </c>
      <c r="AB69" s="7">
        <f>IF(A69="","",IF((A69+14)&gt;Model!$B$4,0,MAX(0,Model!$B$6-IF((A69+14)&gt;=Model!$B$11,Model!$B$20,0)-IF(14&lt;Model!$B$15,Model!$B$22,0))/(1-Model!$B$9)/(1+Model!$B$18)^14))</f>
        <v/>
      </c>
      <c r="AC69" s="7">
        <f>IF(A69="","",IF((A69+15)&gt;Model!$B$4,0,MAX(0,Model!$B$6-IF((A69+15)&gt;=Model!$B$11,Model!$B$20,0)-IF(15&lt;Model!$B$15,Model!$B$22,0))/(1-Model!$B$9)/(1+Model!$B$18)^15))</f>
        <v/>
      </c>
      <c r="AD69" s="7">
        <f>IF(A69="","",IF((A69+16)&gt;Model!$B$4,0,MAX(0,Model!$B$6-IF((A69+16)&gt;=Model!$B$11,Model!$B$20,0)-IF(16&lt;Model!$B$15,Model!$B$22,0))/(1-Model!$B$9)/(1+Model!$B$18)^16))</f>
        <v/>
      </c>
      <c r="AE69" s="7">
        <f>IF(A69="","",IF((A69+17)&gt;Model!$B$4,0,MAX(0,Model!$B$6-IF((A69+17)&gt;=Model!$B$11,Model!$B$20,0)-IF(17&lt;Model!$B$15,Model!$B$22,0))/(1-Model!$B$9)/(1+Model!$B$18)^17))</f>
        <v/>
      </c>
      <c r="AF69" s="7">
        <f>IF(A69="","",IF((A69+18)&gt;Model!$B$4,0,MAX(0,Model!$B$6-IF((A69+18)&gt;=Model!$B$11,Model!$B$20,0)-IF(18&lt;Model!$B$15,Model!$B$22,0))/(1-Model!$B$9)/(1+Model!$B$18)^18))</f>
        <v/>
      </c>
      <c r="AG69" s="7">
        <f>IF(A69="","",IF((A69+19)&gt;Model!$B$4,0,MAX(0,Model!$B$6-IF((A69+19)&gt;=Model!$B$11,Model!$B$20,0)-IF(19&lt;Model!$B$15,Model!$B$22,0))/(1-Model!$B$9)/(1+Model!$B$18)^19))</f>
        <v/>
      </c>
      <c r="AH69" s="7">
        <f>IF(A69="","",IF((A69+20)&gt;Model!$B$4,0,MAX(0,Model!$B$6-IF((A69+20)&gt;=Model!$B$11,Model!$B$20,0)-IF(20&lt;Model!$B$15,Model!$B$22,0))/(1-Model!$B$9)/(1+Model!$B$18)^20))</f>
        <v/>
      </c>
      <c r="AI69" s="7">
        <f>IF(A69="","",IF((A69+21)&gt;Model!$B$4,0,MAX(0,Model!$B$6-IF((A69+21)&gt;=Model!$B$11,Model!$B$20,0)-IF(21&lt;Model!$B$15,Model!$B$22,0))/(1-Model!$B$9)/(1+Model!$B$18)^21))</f>
        <v/>
      </c>
      <c r="AJ69" s="7">
        <f>IF(A69="","",IF((A69+22)&gt;Model!$B$4,0,MAX(0,Model!$B$6-IF((A69+22)&gt;=Model!$B$11,Model!$B$20,0)-IF(22&lt;Model!$B$15,Model!$B$22,0))/(1-Model!$B$9)/(1+Model!$B$18)^22))</f>
        <v/>
      </c>
      <c r="AK69" s="7">
        <f>IF(A69="","",IF((A69+23)&gt;Model!$B$4,0,MAX(0,Model!$B$6-IF((A69+23)&gt;=Model!$B$11,Model!$B$20,0)-IF(23&lt;Model!$B$15,Model!$B$22,0))/(1-Model!$B$9)/(1+Model!$B$18)^23))</f>
        <v/>
      </c>
      <c r="AL69" s="7">
        <f>IF(A69="","",IF((A69+24)&gt;Model!$B$4,0,MAX(0,Model!$B$6-IF((A69+24)&gt;=Model!$B$11,Model!$B$20,0)-IF(24&lt;Model!$B$15,Model!$B$22,0))/(1-Model!$B$9)/(1+Model!$B$18)^24))</f>
        <v/>
      </c>
      <c r="AM69" s="7">
        <f>IF(A69="","",IF((A69+25)&gt;Model!$B$4,0,MAX(0,Model!$B$6-IF((A69+25)&gt;=Model!$B$11,Model!$B$20,0)-IF(25&lt;Model!$B$15,Model!$B$22,0))/(1-Model!$B$9)/(1+Model!$B$18)^25))</f>
        <v/>
      </c>
      <c r="AN69" s="7">
        <f>IF(A69="","",IF((A69+26)&gt;Model!$B$4,0,MAX(0,Model!$B$6-IF((A69+26)&gt;=Model!$B$11,Model!$B$20,0)-IF(26&lt;Model!$B$15,Model!$B$22,0))/(1-Model!$B$9)/(1+Model!$B$18)^26))</f>
        <v/>
      </c>
      <c r="AO69" s="7">
        <f>IF(A69="","",IF((A69+27)&gt;Model!$B$4,0,MAX(0,Model!$B$6-IF((A69+27)&gt;=Model!$B$11,Model!$B$20,0)-IF(27&lt;Model!$B$15,Model!$B$22,0))/(1-Model!$B$9)/(1+Model!$B$18)^27))</f>
        <v/>
      </c>
      <c r="AP69" s="7">
        <f>IF(A69="","",IF((A69+28)&gt;Model!$B$4,0,MAX(0,Model!$B$6-IF((A69+28)&gt;=Model!$B$11,Model!$B$20,0)-IF(28&lt;Model!$B$15,Model!$B$22,0))/(1-Model!$B$9)/(1+Model!$B$18)^28))</f>
        <v/>
      </c>
      <c r="AQ69" s="7">
        <f>IF(A69="","",IF((A69+29)&gt;Model!$B$4,0,MAX(0,Model!$B$6-IF((A69+29)&gt;=Model!$B$11,Model!$B$20,0)-IF(29&lt;Model!$B$15,Model!$B$22,0))/(1-Model!$B$9)/(1+Model!$B$18)^29))</f>
        <v/>
      </c>
      <c r="AR69" s="7">
        <f>IF(A69="","",IF((A69+30)&gt;Model!$B$4,0,MAX(0,Model!$B$6-IF((A69+30)&gt;=Model!$B$11,Model!$B$20,0)-IF(30&lt;Model!$B$15,Model!$B$22,0))/(1-Model!$B$9)/(1+Model!$B$18)^30))</f>
        <v/>
      </c>
      <c r="AS69" s="7">
        <f>IF(A69="","",IF((A69+31)&gt;Model!$B$4,0,MAX(0,Model!$B$6-IF((A69+31)&gt;=Model!$B$11,Model!$B$20,0)-IF(31&lt;Model!$B$15,Model!$B$22,0))/(1-Model!$B$9)/(1+Model!$B$18)^31))</f>
        <v/>
      </c>
      <c r="AT69" s="7">
        <f>IF(A69="","",IF((A69+32)&gt;Model!$B$4,0,MAX(0,Model!$B$6-IF((A69+32)&gt;=Model!$B$11,Model!$B$20,0)-IF(32&lt;Model!$B$15,Model!$B$22,0))/(1-Model!$B$9)/(1+Model!$B$18)^32))</f>
        <v/>
      </c>
      <c r="AU69" s="7">
        <f>IF(A69="","",IF((A69+33)&gt;Model!$B$4,0,MAX(0,Model!$B$6-IF((A69+33)&gt;=Model!$B$11,Model!$B$20,0)-IF(33&lt;Model!$B$15,Model!$B$22,0))/(1-Model!$B$9)/(1+Model!$B$18)^33))</f>
        <v/>
      </c>
      <c r="AV69" s="7">
        <f>IF(A69="","",IF((A69+34)&gt;Model!$B$4,0,MAX(0,Model!$B$6-IF((A69+34)&gt;=Model!$B$11,Model!$B$20,0)-IF(34&lt;Model!$B$15,Model!$B$22,0))/(1-Model!$B$9)/(1+Model!$B$18)^34))</f>
        <v/>
      </c>
      <c r="AW69" s="7">
        <f>IF(A69="","",IF((A69+35)&gt;Model!$B$4,0,MAX(0,Model!$B$6-IF((A69+35)&gt;=Model!$B$11,Model!$B$20,0)-IF(35&lt;Model!$B$15,Model!$B$22,0))/(1-Model!$B$9)/(1+Model!$B$18)^35))</f>
        <v/>
      </c>
      <c r="AX69" s="7">
        <f>IF(A69="","",IF((A69+36)&gt;Model!$B$4,0,MAX(0,Model!$B$6-IF((A69+36)&gt;=Model!$B$11,Model!$B$20,0)-IF(36&lt;Model!$B$15,Model!$B$22,0))/(1-Model!$B$9)/(1+Model!$B$18)^36))</f>
        <v/>
      </c>
      <c r="AY69" s="7">
        <f>IF(A69="","",IF((A69+37)&gt;Model!$B$4,0,MAX(0,Model!$B$6-IF((A69+37)&gt;=Model!$B$11,Model!$B$20,0)-IF(37&lt;Model!$B$15,Model!$B$22,0))/(1-Model!$B$9)/(1+Model!$B$18)^37))</f>
        <v/>
      </c>
      <c r="AZ69" s="7">
        <f>IF(A69="","",IF((A69+38)&gt;Model!$B$4,0,MAX(0,Model!$B$6-IF((A69+38)&gt;=Model!$B$11,Model!$B$20,0)-IF(38&lt;Model!$B$15,Model!$B$22,0))/(1-Model!$B$9)/(1+Model!$B$18)^38))</f>
        <v/>
      </c>
      <c r="BA69" s="7">
        <f>IF(A69="","",IF((A69+39)&gt;Model!$B$4,0,MAX(0,Model!$B$6-IF((A69+39)&gt;=Model!$B$11,Model!$B$20,0)-IF(39&lt;Model!$B$15,Model!$B$22,0))/(1-Model!$B$9)/(1+Model!$B$18)^39))</f>
        <v/>
      </c>
      <c r="BB69" s="7">
        <f>IF(A69="","",IF((A69+40)&gt;Model!$B$4,0,MAX(0,Model!$B$6-IF((A69+40)&gt;=Model!$B$11,Model!$B$20,0)-IF(40&lt;Model!$B$15,Model!$B$22,0))/(1-Model!$B$9)/(1+Model!$B$18)^40))</f>
        <v/>
      </c>
      <c r="BC69" s="7">
        <f>IF(A69="","",IF((A69+41)&gt;Model!$B$4,0,MAX(0,Model!$B$6-IF((A69+41)&gt;=Model!$B$11,Model!$B$20,0)-IF(41&lt;Model!$B$15,Model!$B$22,0))/(1-Model!$B$9)/(1+Model!$B$18)^41))</f>
        <v/>
      </c>
      <c r="BD69" s="7">
        <f>IF(A69="","",IF((A69+42)&gt;Model!$B$4,0,MAX(0,Model!$B$6-IF((A69+42)&gt;=Model!$B$11,Model!$B$20,0)-IF(42&lt;Model!$B$15,Model!$B$22,0))/(1-Model!$B$9)/(1+Model!$B$18)^42))</f>
        <v/>
      </c>
      <c r="BE69" s="7">
        <f>IF(A69="","",IF((A69+43)&gt;Model!$B$4,0,MAX(0,Model!$B$6-IF((A69+43)&gt;=Model!$B$11,Model!$B$20,0)-IF(43&lt;Model!$B$15,Model!$B$22,0))/(1-Model!$B$9)/(1+Model!$B$18)^43))</f>
        <v/>
      </c>
      <c r="BF69" s="7">
        <f>IF(A69="","",IF((A69+44)&gt;Model!$B$4,0,MAX(0,Model!$B$6-IF((A69+44)&gt;=Model!$B$11,Model!$B$20,0)-IF(44&lt;Model!$B$15,Model!$B$22,0))/(1-Model!$B$9)/(1+Model!$B$18)^44))</f>
        <v/>
      </c>
      <c r="BG69" s="7">
        <f>IF(A69="","",IF((A69+45)&gt;Model!$B$4,0,MAX(0,Model!$B$6-IF((A69+45)&gt;=Model!$B$11,Model!$B$20,0)-IF(45&lt;Model!$B$15,Model!$B$22,0))/(1-Model!$B$9)/(1+Model!$B$18)^45))</f>
        <v/>
      </c>
      <c r="BH69" s="7">
        <f>IF(A69="","",IF((A69+46)&gt;Model!$B$4,0,MAX(0,Model!$B$6-IF((A69+46)&gt;=Model!$B$11,Model!$B$20,0)-IF(46&lt;Model!$B$15,Model!$B$22,0))/(1-Model!$B$9)/(1+Model!$B$18)^46))</f>
        <v/>
      </c>
      <c r="BI69" s="7">
        <f>IF(A69="","",IF((A69+47)&gt;Model!$B$4,0,MAX(0,Model!$B$6-IF((A69+47)&gt;=Model!$B$11,Model!$B$20,0)-IF(47&lt;Model!$B$15,Model!$B$22,0))/(1-Model!$B$9)/(1+Model!$B$18)^47))</f>
        <v/>
      </c>
      <c r="BJ69" s="7">
        <f>IF(A69="","",IF((A69+48)&gt;Model!$B$4,0,MAX(0,Model!$B$6-IF((A69+48)&gt;=Model!$B$11,Model!$B$20,0)-IF(48&lt;Model!$B$15,Model!$B$22,0))/(1-Model!$B$9)/(1+Model!$B$18)^48))</f>
        <v/>
      </c>
      <c r="BK69" s="7">
        <f>IF(A69="","",IF((A69+49)&gt;Model!$B$4,0,MAX(0,Model!$B$6-IF((A69+49)&gt;=Model!$B$11,Model!$B$20,0)-IF(49&lt;Model!$B$15,Model!$B$22,0))/(1-Model!$B$9)/(1+Model!$B$18)^49))</f>
        <v/>
      </c>
      <c r="BL69" s="7">
        <f>IF(A69="","",IF((A69+50)&gt;Model!$B$4,0,MAX(0,Model!$B$6-IF((A69+50)&gt;=Model!$B$11,Model!$B$20,0)-IF(50&lt;Model!$B$15,Model!$B$22,0))/(1-Model!$B$9)/(1+Model!$B$18)^50))</f>
        <v/>
      </c>
      <c r="BM69" s="7">
        <f>IF(A69="","",IF((A69+51)&gt;Model!$B$4,0,MAX(0,Model!$B$6-IF((A69+51)&gt;=Model!$B$11,Model!$B$20,0)-IF(51&lt;Model!$B$15,Model!$B$22,0))/(1-Model!$B$9)/(1+Model!$B$18)^51))</f>
        <v/>
      </c>
      <c r="BN69" s="7">
        <f>IF(A69="","",IF((A69+52)&gt;Model!$B$4,0,MAX(0,Model!$B$6-IF((A69+52)&gt;=Model!$B$11,Model!$B$20,0)-IF(52&lt;Model!$B$15,Model!$B$22,0))/(1-Model!$B$9)/(1+Model!$B$18)^52))</f>
        <v/>
      </c>
      <c r="BO69" s="7">
        <f>IF(A69="","",IF((A69+53)&gt;Model!$B$4,0,MAX(0,Model!$B$6-IF((A69+53)&gt;=Model!$B$11,Model!$B$20,0)-IF(53&lt;Model!$B$15,Model!$B$22,0))/(1-Model!$B$9)/(1+Model!$B$18)^53))</f>
        <v/>
      </c>
      <c r="BP69" s="7">
        <f>IF(A69="","",IF((A69+54)&gt;Model!$B$4,0,MAX(0,Model!$B$6-IF((A69+54)&gt;=Model!$B$11,Model!$B$20,0)-IF(54&lt;Model!$B$15,Model!$B$22,0))/(1-Model!$B$9)/(1+Model!$B$18)^54))</f>
        <v/>
      </c>
      <c r="BQ69" s="7">
        <f>IF(A69="","",IF((A69+55)&gt;Model!$B$4,0,MAX(0,Model!$B$6-IF((A69+55)&gt;=Model!$B$11,Model!$B$20,0)-IF(55&lt;Model!$B$15,Model!$B$22,0))/(1-Model!$B$9)/(1+Model!$B$18)^55))</f>
        <v/>
      </c>
      <c r="BR69" s="7">
        <f>IF(A69="","",IF((A69+56)&gt;Model!$B$4,0,MAX(0,Model!$B$6-IF((A69+56)&gt;=Model!$B$11,Model!$B$20,0)-IF(56&lt;Model!$B$15,Model!$B$22,0))/(1-Model!$B$9)/(1+Model!$B$18)^56))</f>
        <v/>
      </c>
      <c r="BS69" s="7">
        <f>IF(A69="","",IF((A69+57)&gt;Model!$B$4,0,MAX(0,Model!$B$6-IF((A69+57)&gt;=Model!$B$11,Model!$B$20,0)-IF(57&lt;Model!$B$15,Model!$B$22,0))/(1-Model!$B$9)/(1+Model!$B$18)^57))</f>
        <v/>
      </c>
      <c r="BT69" s="7">
        <f>IF(A69="","",IF((A69+58)&gt;Model!$B$4,0,MAX(0,Model!$B$6-IF((A69+58)&gt;=Model!$B$11,Model!$B$20,0)-IF(58&lt;Model!$B$15,Model!$B$22,0))/(1-Model!$B$9)/(1+Model!$B$18)^58))</f>
        <v/>
      </c>
      <c r="BU69" s="7">
        <f>IF(A69="","",IF((A69+59)&gt;Model!$B$4,0,MAX(0,Model!$B$6-IF((A69+59)&gt;=Model!$B$11,Model!$B$20,0)-IF(59&lt;Model!$B$15,Model!$B$22,0))/(1-Model!$B$9)/(1+Model!$B$18)^59))</f>
        <v/>
      </c>
      <c r="BV69" s="7">
        <f>IF(A69="","",IF((A69+60)&gt;Model!$B$4,0,MAX(0,Model!$B$6-IF((A69+60)&gt;=Model!$B$11,Model!$B$20,0)-IF(60&lt;Model!$B$15,Model!$B$22,0))/(1-Model!$B$9)/(1+Model!$B$18)^60))</f>
        <v/>
      </c>
      <c r="BW69" s="7">
        <f>IF(A69="","",IF((A69+61)&gt;Model!$B$4,0,MAX(0,Model!$B$6-IF((A69+61)&gt;=Model!$B$11,Model!$B$20,0)-IF(61&lt;Model!$B$15,Model!$B$22,0))/(1-Model!$B$9)/(1+Model!$B$18)^61))</f>
        <v/>
      </c>
      <c r="BX69" s="7">
        <f>IF(A69="","",IF((A69+62)&gt;Model!$B$4,0,MAX(0,Model!$B$6-IF((A69+62)&gt;=Model!$B$11,Model!$B$20,0)-IF(62&lt;Model!$B$15,Model!$B$22,0))/(1-Model!$B$9)/(1+Model!$B$18)^62))</f>
        <v/>
      </c>
      <c r="BY69" s="7">
        <f>IF(A69="","",IF((A69+63)&gt;Model!$B$4,0,MAX(0,Model!$B$6-IF((A69+63)&gt;=Model!$B$11,Model!$B$20,0)-IF(63&lt;Model!$B$15,Model!$B$22,0))/(1-Model!$B$9)/(1+Model!$B$18)^63))</f>
        <v/>
      </c>
      <c r="BZ69" s="7">
        <f>IF(A69="","",IF((A69+64)&gt;Model!$B$4,0,MAX(0,Model!$B$6-IF((A69+64)&gt;=Model!$B$11,Model!$B$20,0)-IF(64&lt;Model!$B$15,Model!$B$22,0))/(1-Model!$B$9)/(1+Model!$B$18)^64))</f>
        <v/>
      </c>
      <c r="CA69" s="7">
        <f>IF(A69="","",IF((A69+65)&gt;Model!$B$4,0,MAX(0,Model!$B$6-IF((A69+65)&gt;=Model!$B$11,Model!$B$20,0)-IF(65&lt;Model!$B$15,Model!$B$22,0))/(1-Model!$B$9)/(1+Model!$B$18)^65))</f>
        <v/>
      </c>
      <c r="CB69" s="7">
        <f>IF(A69="","",IF((A69+66)&gt;Model!$B$4,0,MAX(0,Model!$B$6-IF((A69+66)&gt;=Model!$B$11,Model!$B$20,0)-IF(66&lt;Model!$B$15,Model!$B$22,0))/(1-Model!$B$9)/(1+Model!$B$18)^66))</f>
        <v/>
      </c>
      <c r="CC69" s="7">
        <f>IF(A69="","",IF((A69+67)&gt;Model!$B$4,0,MAX(0,Model!$B$6-IF((A69+67)&gt;=Model!$B$11,Model!$B$20,0)-IF(67&lt;Model!$B$15,Model!$B$22,0))/(1-Model!$B$9)/(1+Model!$B$18)^67))</f>
        <v/>
      </c>
      <c r="CD69" s="7">
        <f>IF(A69="","",IF((A69+68)&gt;Model!$B$4,0,MAX(0,Model!$B$6-IF((A69+68)&gt;=Model!$B$11,Model!$B$20,0)-IF(68&lt;Model!$B$15,Model!$B$22,0))/(1-Model!$B$9)/(1+Model!$B$18)^68))</f>
        <v/>
      </c>
      <c r="CE69" s="7">
        <f>IF(A69="","",IF((A69+69)&gt;Model!$B$4,0,MAX(0,Model!$B$6-IF((A69+69)&gt;=Model!$B$11,Model!$B$20,0)-IF(69&lt;Model!$B$15,Model!$B$22,0))/(1-Model!$B$9)/(1+Model!$B$18)^69))</f>
        <v/>
      </c>
      <c r="CF69" s="7">
        <f>IF(A69="","",IF((A69+70)&gt;Model!$B$4,0,MAX(0,Model!$B$6-IF((A69+70)&gt;=Model!$B$11,Model!$B$20,0)-IF(70&lt;Model!$B$15,Model!$B$22,0))/(1-Model!$B$9)/(1+Model!$B$18)^70))</f>
        <v/>
      </c>
      <c r="CG69" s="7">
        <f>IF(A69="","",IF((A69+71)&gt;Model!$B$4,0,MAX(0,Model!$B$6-IF((A69+71)&gt;=Model!$B$11,Model!$B$20,0)-IF(71&lt;Model!$B$15,Model!$B$22,0))/(1-Model!$B$9)/(1+Model!$B$18)^71))</f>
        <v/>
      </c>
      <c r="CH69" s="7">
        <f>IF(A69="","",IF((A69+72)&gt;Model!$B$4,0,MAX(0,Model!$B$6-IF((A69+72)&gt;=Model!$B$11,Model!$B$20,0)-IF(72&lt;Model!$B$15,Model!$B$22,0))/(1-Model!$B$9)/(1+Model!$B$18)^72))</f>
        <v/>
      </c>
      <c r="CI69" s="7">
        <f>IF(A69="","",IF((A69+73)&gt;Model!$B$4,0,MAX(0,Model!$B$6-IF((A69+73)&gt;=Model!$B$11,Model!$B$20,0)-IF(73&lt;Model!$B$15,Model!$B$22,0))/(1-Model!$B$9)/(1+Model!$B$18)^73))</f>
        <v/>
      </c>
      <c r="CJ69" s="7">
        <f>IF(A69="","",IF((A69+74)&gt;Model!$B$4,0,MAX(0,Model!$B$6-IF((A69+74)&gt;=Model!$B$11,Model!$B$20,0)-IF(74&lt;Model!$B$15,Model!$B$22,0))/(1-Model!$B$9)/(1+Model!$B$18)^74))</f>
        <v/>
      </c>
      <c r="CK69" s="7">
        <f>IF(A69="","",IF((A69+75)&gt;Model!$B$4,0,MAX(0,Model!$B$6-IF((A69+75)&gt;=Model!$B$11,Model!$B$20,0)-IF(75&lt;Model!$B$15,Model!$B$22,0))/(1-Model!$B$9)/(1+Model!$B$18)^75))</f>
        <v/>
      </c>
      <c r="CL69" s="7">
        <f>IF(A69="","",IF((A69+76)&gt;Model!$B$4,0,MAX(0,Model!$B$6-IF((A69+76)&gt;=Model!$B$11,Model!$B$20,0)-IF(76&lt;Model!$B$15,Model!$B$22,0))/(1-Model!$B$9)/(1+Model!$B$18)^76))</f>
        <v/>
      </c>
      <c r="CM69" s="7">
        <f>IF(A69="","",IF((A69+77)&gt;Model!$B$4,0,MAX(0,Model!$B$6-IF((A69+77)&gt;=Model!$B$11,Model!$B$20,0)-IF(77&lt;Model!$B$15,Model!$B$22,0))/(1-Model!$B$9)/(1+Model!$B$18)^77))</f>
        <v/>
      </c>
      <c r="CN69" s="7">
        <f>IF(A69="","",IF((A69+78)&gt;Model!$B$4,0,MAX(0,Model!$B$6-IF((A69+78)&gt;=Model!$B$11,Model!$B$20,0)-IF(78&lt;Model!$B$15,Model!$B$22,0))/(1-Model!$B$9)/(1+Model!$B$18)^78))</f>
        <v/>
      </c>
      <c r="CO69" s="7">
        <f>IF(A69="","",IF((A69+79)&gt;Model!$B$4,0,MAX(0,Model!$B$6-IF((A69+79)&gt;=Model!$B$11,Model!$B$20,0)-IF(79&lt;Model!$B$15,Model!$B$22,0))/(1-Model!$B$9)/(1+Model!$B$18)^79))</f>
        <v/>
      </c>
      <c r="CP69" s="7">
        <f>IF(A69="","",IF((A69+80)&gt;Model!$B$4,0,MAX(0,Model!$B$6-IF((A69+80)&gt;=Model!$B$11,Model!$B$20,0)-IF(80&lt;Model!$B$15,Model!$B$22,0))/(1-Model!$B$9)/(1+Model!$B$18)^80))</f>
        <v/>
      </c>
      <c r="CQ69" s="7">
        <f>IF(A69="","",IF((A69+81)&gt;Model!$B$4,0,MAX(0,Model!$B$6-IF((A69+81)&gt;=Model!$B$11,Model!$B$20,0)-IF(81&lt;Model!$B$15,Model!$B$22,0))/(1-Model!$B$9)/(1+Model!$B$18)^81))</f>
        <v/>
      </c>
      <c r="CR69" s="7">
        <f>IF(A69="","",IF((A69+82)&gt;Model!$B$4,0,MAX(0,Model!$B$6-IF((A69+82)&gt;=Model!$B$11,Model!$B$20,0)-IF(82&lt;Model!$B$15,Model!$B$22,0))/(1-Model!$B$9)/(1+Model!$B$18)^82))</f>
        <v/>
      </c>
      <c r="CS69" s="7">
        <f>IF(A69="","",IF((A69+83)&gt;Model!$B$4,0,MAX(0,Model!$B$6-IF((A69+83)&gt;=Model!$B$11,Model!$B$20,0)-IF(83&lt;Model!$B$15,Model!$B$22,0))/(1-Model!$B$9)/(1+Model!$B$18)^83))</f>
        <v/>
      </c>
      <c r="CT69" s="7">
        <f>IF(A69="","",IF((A69+84)&gt;Model!$B$4,0,MAX(0,Model!$B$6-IF((A69+84)&gt;=Model!$B$11,Model!$B$20,0)-IF(84&lt;Model!$B$15,Model!$B$22,0))/(1-Model!$B$9)/(1+Model!$B$18)^84))</f>
        <v/>
      </c>
      <c r="CU69" s="7">
        <f>IF(A69="","",IF((A69+85)&gt;Model!$B$4,0,MAX(0,Model!$B$6-IF((A69+85)&gt;=Model!$B$11,Model!$B$20,0)-IF(85&lt;Model!$B$15,Model!$B$22,0))/(1-Model!$B$9)/(1+Model!$B$18)^85))</f>
        <v/>
      </c>
      <c r="CV69" s="7">
        <f>IF(A69="","",IF((A69+86)&gt;Model!$B$4,0,MAX(0,Model!$B$6-IF((A69+86)&gt;=Model!$B$11,Model!$B$20,0)-IF(86&lt;Model!$B$15,Model!$B$22,0))/(1-Model!$B$9)/(1+Model!$B$18)^86))</f>
        <v/>
      </c>
      <c r="CW69" s="7">
        <f>IF(A69="","",IF((A69+87)&gt;Model!$B$4,0,MAX(0,Model!$B$6-IF((A69+87)&gt;=Model!$B$11,Model!$B$20,0)-IF(87&lt;Model!$B$15,Model!$B$22,0))/(1-Model!$B$9)/(1+Model!$B$18)^87))</f>
        <v/>
      </c>
      <c r="CX69" s="7">
        <f>IF(A69="","",IF((A69+88)&gt;Model!$B$4,0,MAX(0,Model!$B$6-IF((A69+88)&gt;=Model!$B$11,Model!$B$20,0)-IF(88&lt;Model!$B$15,Model!$B$22,0))/(1-Model!$B$9)/(1+Model!$B$18)^88))</f>
        <v/>
      </c>
      <c r="CY69" s="7">
        <f>IF(A69="","",IF((A69+89)&gt;Model!$B$4,0,MAX(0,Model!$B$6-IF((A69+89)&gt;=Model!$B$11,Model!$B$20,0)-IF(89&lt;Model!$B$15,Model!$B$22,0))/(1-Model!$B$9)/(1+Model!$B$18)^89))</f>
        <v/>
      </c>
      <c r="CZ69" s="7">
        <f>IF(A69="","",IF((A69+90)&gt;Model!$B$4,0,MAX(0,Model!$B$6-IF((A69+90)&gt;=Model!$B$11,Model!$B$20,0)-IF(90&lt;Model!$B$15,Model!$B$22,0))/(1-Model!$B$9)/(1+Model!$B$18)^90))</f>
        <v/>
      </c>
      <c r="DA69" s="7">
        <f>IF(A69="","",IF((A69+91)&gt;Model!$B$4,0,MAX(0,Model!$B$6-IF((A69+91)&gt;=Model!$B$11,Model!$B$20,0)-IF(91&lt;Model!$B$15,Model!$B$22,0))/(1-Model!$B$9)/(1+Model!$B$18)^91))</f>
        <v/>
      </c>
      <c r="DB69" s="7">
        <f>IF(A69="","",IF((A69+92)&gt;Model!$B$4,0,MAX(0,Model!$B$6-IF((A69+92)&gt;=Model!$B$11,Model!$B$20,0)-IF(92&lt;Model!$B$15,Model!$B$22,0))/(1-Model!$B$9)/(1+Model!$B$18)^92))</f>
        <v/>
      </c>
      <c r="DC69" s="7">
        <f>IF(A69="","",IF((A69+93)&gt;Model!$B$4,0,MAX(0,Model!$B$6-IF((A69+93)&gt;=Model!$B$11,Model!$B$20,0)-IF(93&lt;Model!$B$15,Model!$B$22,0))/(1-Model!$B$9)/(1+Model!$B$18)^93))</f>
        <v/>
      </c>
      <c r="DD69" s="7">
        <f>IF(A69="","",IF((A69+94)&gt;Model!$B$4,0,MAX(0,Model!$B$6-IF((A69+94)&gt;=Model!$B$11,Model!$B$20,0)-IF(94&lt;Model!$B$15,Model!$B$22,0))/(1-Model!$B$9)/(1+Model!$B$18)^94))</f>
        <v/>
      </c>
      <c r="DE69" s="7">
        <f>IF(A69="","",IF((A69+95)&gt;Model!$B$4,0,MAX(0,Model!$B$6-IF((A69+95)&gt;=Model!$B$11,Model!$B$20,0)-IF(95&lt;Model!$B$15,Model!$B$22,0))/(1-Model!$B$9)/(1+Model!$B$18)^95))</f>
        <v/>
      </c>
      <c r="DF69" s="7">
        <f>IF(A69="","",IF((A69+96)&gt;Model!$B$4,0,MAX(0,Model!$B$6-IF((A69+96)&gt;=Model!$B$11,Model!$B$20,0)-IF(96&lt;Model!$B$15,Model!$B$22,0))/(1-Model!$B$9)/(1+Model!$B$18)^96))</f>
        <v/>
      </c>
      <c r="DG69" s="7">
        <f>IF(A69="","",IF((A69+97)&gt;Model!$B$4,0,MAX(0,Model!$B$6-IF((A69+97)&gt;=Model!$B$11,Model!$B$20,0)-IF(97&lt;Model!$B$15,Model!$B$22,0))/(1-Model!$B$9)/(1+Model!$B$18)^97))</f>
        <v/>
      </c>
      <c r="DH69" s="7">
        <f>IF(A69="","",IF((A69+98)&gt;Model!$B$4,0,MAX(0,Model!$B$6-IF((A69+98)&gt;=Model!$B$11,Model!$B$20,0)-IF(98&lt;Model!$B$15,Model!$B$22,0))/(1-Model!$B$9)/(1+Model!$B$18)^98))</f>
        <v/>
      </c>
      <c r="DI69" s="7">
        <f>IF(A69="","",IF((A69+99)&gt;Model!$B$4,0,MAX(0,Model!$B$6-IF((A69+99)&gt;=Model!$B$11,Model!$B$20,0)-IF(99&lt;Model!$B$15,Model!$B$22,0))/(1-Model!$B$9)/(1+Model!$B$18)^99))</f>
        <v/>
      </c>
      <c r="DJ69" s="7">
        <f>IF(A69="","",IF((A69+100)&gt;Model!$B$4,0,MAX(0,Model!$B$6-IF((A69+100)&gt;=Model!$B$11,Model!$B$20,0)-IF(100&lt;Model!$B$15,Model!$B$22,0))/(1-Model!$B$9)/(1+Model!$B$18)^100))</f>
        <v/>
      </c>
      <c r="DK69" s="7">
        <f>IF(A69="","",IF((A69+101)&gt;Model!$B$4,0,MAX(0,Model!$B$6-IF((A69+101)&gt;=Model!$B$11,Model!$B$20,0)-IF(101&lt;Model!$B$15,Model!$B$22,0))/(1-Model!$B$9)/(1+Model!$B$18)^101))</f>
        <v/>
      </c>
      <c r="DL69" s="7">
        <f>IF(A69="","",IF((A69+102)&gt;Model!$B$4,0,MAX(0,Model!$B$6-IF((A69+102)&gt;=Model!$B$11,Model!$B$20,0)-IF(102&lt;Model!$B$15,Model!$B$22,0))/(1-Model!$B$9)/(1+Model!$B$18)^102))</f>
        <v/>
      </c>
      <c r="DM69" s="7">
        <f>IF(A69="","",IF((A69+103)&gt;Model!$B$4,0,MAX(0,Model!$B$6-IF((A69+103)&gt;=Model!$B$11,Model!$B$20,0)-IF(103&lt;Model!$B$15,Model!$B$22,0))/(1-Model!$B$9)/(1+Model!$B$18)^103))</f>
        <v/>
      </c>
      <c r="DN69" s="7">
        <f>IF(A69="","",IF((A69+104)&gt;Model!$B$4,0,MAX(0,Model!$B$6-IF((A69+104)&gt;=Model!$B$11,Model!$B$20,0)-IF(104&lt;Model!$B$15,Model!$B$22,0))/(1-Model!$B$9)/(1+Model!$B$18)^104))</f>
        <v/>
      </c>
      <c r="DO69" s="7">
        <f>IF(A69="","",IF((A69+105)&gt;Model!$B$4,0,MAX(0,Model!$B$6-IF((A69+105)&gt;=Model!$B$11,Model!$B$20,0)-IF(105&lt;Model!$B$15,Model!$B$22,0))/(1-Model!$B$9)/(1+Model!$B$18)^105))</f>
        <v/>
      </c>
      <c r="DP69" s="7">
        <f>IF(A69="","",IF((A69+106)&gt;Model!$B$4,0,MAX(0,Model!$B$6-IF((A69+106)&gt;=Model!$B$11,Model!$B$20,0)-IF(106&lt;Model!$B$15,Model!$B$22,0))/(1-Model!$B$9)/(1+Model!$B$18)^106))</f>
        <v/>
      </c>
      <c r="DQ69" s="7">
        <f>IF(A69="","",IF((A69+107)&gt;Model!$B$4,0,MAX(0,Model!$B$6-IF((A69+107)&gt;=Model!$B$11,Model!$B$20,0)-IF(107&lt;Model!$B$15,Model!$B$22,0))/(1-Model!$B$9)/(1+Model!$B$18)^107))</f>
        <v/>
      </c>
      <c r="DR69" s="7">
        <f>IF(A69="","",IF((A69+108)&gt;Model!$B$4,0,MAX(0,Model!$B$6-IF((A69+108)&gt;=Model!$B$11,Model!$B$20,0)-IF(108&lt;Model!$B$15,Model!$B$22,0))/(1-Model!$B$9)/(1+Model!$B$18)^108))</f>
        <v/>
      </c>
      <c r="DS69" s="7">
        <f>IF(A69="","",IF((A69+109)&gt;Model!$B$4,0,MAX(0,Model!$B$6-IF((A69+109)&gt;=Model!$B$11,Model!$B$20,0)-IF(109&lt;Model!$B$15,Model!$B$22,0))/(1-Model!$B$9)/(1+Model!$B$18)^109))</f>
        <v/>
      </c>
      <c r="DT69" s="7">
        <f>IF(A69="","",IF((A69+110)&gt;Model!$B$4,0,MAX(0,Model!$B$6-IF((A69+110)&gt;=Model!$B$11,Model!$B$20,0)-IF(110&lt;Model!$B$15,Model!$B$22,0))/(1-Model!$B$9)/(1+Model!$B$18)^110))</f>
        <v/>
      </c>
      <c r="DU69" s="7">
        <f>IF(A69="","",IF((A69+111)&gt;Model!$B$4,0,MAX(0,Model!$B$6-IF((A69+111)&gt;=Model!$B$11,Model!$B$20,0)-IF(111&lt;Model!$B$15,Model!$B$22,0))/(1-Model!$B$9)/(1+Model!$B$18)^111))</f>
        <v/>
      </c>
      <c r="DV69" s="7">
        <f>IF(A69="","",IF((A69+112)&gt;Model!$B$4,0,MAX(0,Model!$B$6-IF((A69+112)&gt;=Model!$B$11,Model!$B$20,0)-IF(112&lt;Model!$B$15,Model!$B$22,0))/(1-Model!$B$9)/(1+Model!$B$18)^112))</f>
        <v/>
      </c>
      <c r="DW69" s="7">
        <f>IF(A69="","",IF((A69+113)&gt;Model!$B$4,0,MAX(0,Model!$B$6-IF((A69+113)&gt;=Model!$B$11,Model!$B$20,0)-IF(113&lt;Model!$B$15,Model!$B$22,0))/(1-Model!$B$9)/(1+Model!$B$18)^113))</f>
        <v/>
      </c>
      <c r="DX69" s="7">
        <f>IF(A69="","",IF((A69+114)&gt;Model!$B$4,0,MAX(0,Model!$B$6-IF((A69+114)&gt;=Model!$B$11,Model!$B$20,0)-IF(114&lt;Model!$B$15,Model!$B$22,0))/(1-Model!$B$9)/(1+Model!$B$18)^114))</f>
        <v/>
      </c>
      <c r="DY69" s="7">
        <f>IF(A69="","",IF((A69+115)&gt;Model!$B$4,0,MAX(0,Model!$B$6-IF((A69+115)&gt;=Model!$B$11,Model!$B$20,0)-IF(115&lt;Model!$B$15,Model!$B$22,0))/(1-Model!$B$9)/(1+Model!$B$18)^115))</f>
        <v/>
      </c>
      <c r="DZ69" s="7">
        <f>IF(A69="","",IF((A69+116)&gt;Model!$B$4,0,MAX(0,Model!$B$6-IF((A69+116)&gt;=Model!$B$11,Model!$B$20,0)-IF(116&lt;Model!$B$15,Model!$B$22,0))/(1-Model!$B$9)/(1+Model!$B$18)^116))</f>
        <v/>
      </c>
      <c r="EA69" s="7">
        <f>IF(A69="","",IF((A69+117)&gt;Model!$B$4,0,MAX(0,Model!$B$6-IF((A69+117)&gt;=Model!$B$11,Model!$B$20,0)-IF(117&lt;Model!$B$15,Model!$B$22,0))/(1-Model!$B$9)/(1+Model!$B$18)^117))</f>
        <v/>
      </c>
      <c r="EB69" s="7">
        <f>IF(A69="","",IF((A69+118)&gt;Model!$B$4,0,MAX(0,Model!$B$6-IF((A69+118)&gt;=Model!$B$11,Model!$B$20,0)-IF(118&lt;Model!$B$15,Model!$B$22,0))/(1-Model!$B$9)/(1+Model!$B$18)^118))</f>
        <v/>
      </c>
      <c r="EC69" s="7">
        <f>IF(A69="","",IF((A69+119)&gt;Model!$B$4,0,MAX(0,Model!$B$6-IF((A69+119)&gt;=Model!$B$11,Model!$B$20,0)-IF(119&lt;Model!$B$15,Model!$B$22,0))/(1-Model!$B$9)/(1+Model!$B$18)^119))</f>
        <v/>
      </c>
      <c r="ED69" s="7">
        <f>IF(A69="","",IF((A69+120)&gt;Model!$B$4,0,MAX(0,Model!$B$6-IF((A69+120)&gt;=Model!$B$11,Model!$B$20,0)-IF(120&lt;Model!$B$15,Model!$B$22,0))/(1-Model!$B$9)/(1+Model!$B$18)^120))</f>
        <v/>
      </c>
    </row>
    <row r="70">
      <c r="A70">
        <f>IF(Model!$B$10+ROW()-2&lt;=Model!$B$4,Model!$B$10+ROW()-2,"")</f>
        <v/>
      </c>
      <c r="B70">
        <f>IF(A70="","",A70-Model!$B$10)</f>
        <v/>
      </c>
      <c r="C70" s="7">
        <f>IF(A70="","",Model!$B$5*(1+Model!$B$18)^B70)</f>
        <v/>
      </c>
      <c r="D70" s="7">
        <f>IF(A70="","",SUM(N70:ED70))</f>
        <v/>
      </c>
      <c r="E70" s="7">
        <f>IF(A70="","",IF(A70&gt;=Model!$B$11,Model!$B$20,0))</f>
        <v/>
      </c>
      <c r="F70" s="7">
        <f>IF(A70="","",IF(Model!$B$15&gt;0,Model!$B$22,0))</f>
        <v/>
      </c>
      <c r="G70" s="7">
        <f>IF(A70="","",E70+F70)</f>
        <v/>
      </c>
      <c r="H70" s="7">
        <f>IF(A70="","",MAX(0,Model!$B$6-G70))</f>
        <v/>
      </c>
      <c r="I70" s="7">
        <f>IF(A70="","",H70/(1-Model!$B$9))</f>
        <v/>
      </c>
      <c r="J70" s="7">
        <f>IF(A70="","",C70-D70)</f>
        <v/>
      </c>
      <c r="K70">
        <f>IF(A70="","",C70&gt;=D70)</f>
        <v/>
      </c>
      <c r="L70" s="7">
        <f>IF(A70="","",IF(A70&gt;=Model!$B$11,Model!$B$19*(1+Model!$B$13)^B70,0))</f>
        <v/>
      </c>
      <c r="M70" s="7">
        <f>IF(A70="","",IF(Model!$B$15&gt;0,Model!$B$21*(1+Model!$B$13)^B70,0))</f>
        <v/>
      </c>
      <c r="N70" s="7">
        <f>IF(A70="","",IF((A70+0)&gt;Model!$B$4,0,MAX(0,Model!$B$6-IF((A70+0)&gt;=Model!$B$11,Model!$B$20,0)-IF(0&lt;Model!$B$15,Model!$B$22,0))/(1-Model!$B$9)/(1+Model!$B$18)^0))</f>
        <v/>
      </c>
      <c r="O70" s="7">
        <f>IF(A70="","",IF((A70+1)&gt;Model!$B$4,0,MAX(0,Model!$B$6-IF((A70+1)&gt;=Model!$B$11,Model!$B$20,0)-IF(1&lt;Model!$B$15,Model!$B$22,0))/(1-Model!$B$9)/(1+Model!$B$18)^1))</f>
        <v/>
      </c>
      <c r="P70" s="7">
        <f>IF(A70="","",IF((A70+2)&gt;Model!$B$4,0,MAX(0,Model!$B$6-IF((A70+2)&gt;=Model!$B$11,Model!$B$20,0)-IF(2&lt;Model!$B$15,Model!$B$22,0))/(1-Model!$B$9)/(1+Model!$B$18)^2))</f>
        <v/>
      </c>
      <c r="Q70" s="7">
        <f>IF(A70="","",IF((A70+3)&gt;Model!$B$4,0,MAX(0,Model!$B$6-IF((A70+3)&gt;=Model!$B$11,Model!$B$20,0)-IF(3&lt;Model!$B$15,Model!$B$22,0))/(1-Model!$B$9)/(1+Model!$B$18)^3))</f>
        <v/>
      </c>
      <c r="R70" s="7">
        <f>IF(A70="","",IF((A70+4)&gt;Model!$B$4,0,MAX(0,Model!$B$6-IF((A70+4)&gt;=Model!$B$11,Model!$B$20,0)-IF(4&lt;Model!$B$15,Model!$B$22,0))/(1-Model!$B$9)/(1+Model!$B$18)^4))</f>
        <v/>
      </c>
      <c r="S70" s="7">
        <f>IF(A70="","",IF((A70+5)&gt;Model!$B$4,0,MAX(0,Model!$B$6-IF((A70+5)&gt;=Model!$B$11,Model!$B$20,0)-IF(5&lt;Model!$B$15,Model!$B$22,0))/(1-Model!$B$9)/(1+Model!$B$18)^5))</f>
        <v/>
      </c>
      <c r="T70" s="7">
        <f>IF(A70="","",IF((A70+6)&gt;Model!$B$4,0,MAX(0,Model!$B$6-IF((A70+6)&gt;=Model!$B$11,Model!$B$20,0)-IF(6&lt;Model!$B$15,Model!$B$22,0))/(1-Model!$B$9)/(1+Model!$B$18)^6))</f>
        <v/>
      </c>
      <c r="U70" s="7">
        <f>IF(A70="","",IF((A70+7)&gt;Model!$B$4,0,MAX(0,Model!$B$6-IF((A70+7)&gt;=Model!$B$11,Model!$B$20,0)-IF(7&lt;Model!$B$15,Model!$B$22,0))/(1-Model!$B$9)/(1+Model!$B$18)^7))</f>
        <v/>
      </c>
      <c r="V70" s="7">
        <f>IF(A70="","",IF((A70+8)&gt;Model!$B$4,0,MAX(0,Model!$B$6-IF((A70+8)&gt;=Model!$B$11,Model!$B$20,0)-IF(8&lt;Model!$B$15,Model!$B$22,0))/(1-Model!$B$9)/(1+Model!$B$18)^8))</f>
        <v/>
      </c>
      <c r="W70" s="7">
        <f>IF(A70="","",IF((A70+9)&gt;Model!$B$4,0,MAX(0,Model!$B$6-IF((A70+9)&gt;=Model!$B$11,Model!$B$20,0)-IF(9&lt;Model!$B$15,Model!$B$22,0))/(1-Model!$B$9)/(1+Model!$B$18)^9))</f>
        <v/>
      </c>
      <c r="X70" s="7">
        <f>IF(A70="","",IF((A70+10)&gt;Model!$B$4,0,MAX(0,Model!$B$6-IF((A70+10)&gt;=Model!$B$11,Model!$B$20,0)-IF(10&lt;Model!$B$15,Model!$B$22,0))/(1-Model!$B$9)/(1+Model!$B$18)^10))</f>
        <v/>
      </c>
      <c r="Y70" s="7">
        <f>IF(A70="","",IF((A70+11)&gt;Model!$B$4,0,MAX(0,Model!$B$6-IF((A70+11)&gt;=Model!$B$11,Model!$B$20,0)-IF(11&lt;Model!$B$15,Model!$B$22,0))/(1-Model!$B$9)/(1+Model!$B$18)^11))</f>
        <v/>
      </c>
      <c r="Z70" s="7">
        <f>IF(A70="","",IF((A70+12)&gt;Model!$B$4,0,MAX(0,Model!$B$6-IF((A70+12)&gt;=Model!$B$11,Model!$B$20,0)-IF(12&lt;Model!$B$15,Model!$B$22,0))/(1-Model!$B$9)/(1+Model!$B$18)^12))</f>
        <v/>
      </c>
      <c r="AA70" s="7">
        <f>IF(A70="","",IF((A70+13)&gt;Model!$B$4,0,MAX(0,Model!$B$6-IF((A70+13)&gt;=Model!$B$11,Model!$B$20,0)-IF(13&lt;Model!$B$15,Model!$B$22,0))/(1-Model!$B$9)/(1+Model!$B$18)^13))</f>
        <v/>
      </c>
      <c r="AB70" s="7">
        <f>IF(A70="","",IF((A70+14)&gt;Model!$B$4,0,MAX(0,Model!$B$6-IF((A70+14)&gt;=Model!$B$11,Model!$B$20,0)-IF(14&lt;Model!$B$15,Model!$B$22,0))/(1-Model!$B$9)/(1+Model!$B$18)^14))</f>
        <v/>
      </c>
      <c r="AC70" s="7">
        <f>IF(A70="","",IF((A70+15)&gt;Model!$B$4,0,MAX(0,Model!$B$6-IF((A70+15)&gt;=Model!$B$11,Model!$B$20,0)-IF(15&lt;Model!$B$15,Model!$B$22,0))/(1-Model!$B$9)/(1+Model!$B$18)^15))</f>
        <v/>
      </c>
      <c r="AD70" s="7">
        <f>IF(A70="","",IF((A70+16)&gt;Model!$B$4,0,MAX(0,Model!$B$6-IF((A70+16)&gt;=Model!$B$11,Model!$B$20,0)-IF(16&lt;Model!$B$15,Model!$B$22,0))/(1-Model!$B$9)/(1+Model!$B$18)^16))</f>
        <v/>
      </c>
      <c r="AE70" s="7">
        <f>IF(A70="","",IF((A70+17)&gt;Model!$B$4,0,MAX(0,Model!$B$6-IF((A70+17)&gt;=Model!$B$11,Model!$B$20,0)-IF(17&lt;Model!$B$15,Model!$B$22,0))/(1-Model!$B$9)/(1+Model!$B$18)^17))</f>
        <v/>
      </c>
      <c r="AF70" s="7">
        <f>IF(A70="","",IF((A70+18)&gt;Model!$B$4,0,MAX(0,Model!$B$6-IF((A70+18)&gt;=Model!$B$11,Model!$B$20,0)-IF(18&lt;Model!$B$15,Model!$B$22,0))/(1-Model!$B$9)/(1+Model!$B$18)^18))</f>
        <v/>
      </c>
      <c r="AG70" s="7">
        <f>IF(A70="","",IF((A70+19)&gt;Model!$B$4,0,MAX(0,Model!$B$6-IF((A70+19)&gt;=Model!$B$11,Model!$B$20,0)-IF(19&lt;Model!$B$15,Model!$B$22,0))/(1-Model!$B$9)/(1+Model!$B$18)^19))</f>
        <v/>
      </c>
      <c r="AH70" s="7">
        <f>IF(A70="","",IF((A70+20)&gt;Model!$B$4,0,MAX(0,Model!$B$6-IF((A70+20)&gt;=Model!$B$11,Model!$B$20,0)-IF(20&lt;Model!$B$15,Model!$B$22,0))/(1-Model!$B$9)/(1+Model!$B$18)^20))</f>
        <v/>
      </c>
      <c r="AI70" s="7">
        <f>IF(A70="","",IF((A70+21)&gt;Model!$B$4,0,MAX(0,Model!$B$6-IF((A70+21)&gt;=Model!$B$11,Model!$B$20,0)-IF(21&lt;Model!$B$15,Model!$B$22,0))/(1-Model!$B$9)/(1+Model!$B$18)^21))</f>
        <v/>
      </c>
      <c r="AJ70" s="7">
        <f>IF(A70="","",IF((A70+22)&gt;Model!$B$4,0,MAX(0,Model!$B$6-IF((A70+22)&gt;=Model!$B$11,Model!$B$20,0)-IF(22&lt;Model!$B$15,Model!$B$22,0))/(1-Model!$B$9)/(1+Model!$B$18)^22))</f>
        <v/>
      </c>
      <c r="AK70" s="7">
        <f>IF(A70="","",IF((A70+23)&gt;Model!$B$4,0,MAX(0,Model!$B$6-IF((A70+23)&gt;=Model!$B$11,Model!$B$20,0)-IF(23&lt;Model!$B$15,Model!$B$22,0))/(1-Model!$B$9)/(1+Model!$B$18)^23))</f>
        <v/>
      </c>
      <c r="AL70" s="7">
        <f>IF(A70="","",IF((A70+24)&gt;Model!$B$4,0,MAX(0,Model!$B$6-IF((A70+24)&gt;=Model!$B$11,Model!$B$20,0)-IF(24&lt;Model!$B$15,Model!$B$22,0))/(1-Model!$B$9)/(1+Model!$B$18)^24))</f>
        <v/>
      </c>
      <c r="AM70" s="7">
        <f>IF(A70="","",IF((A70+25)&gt;Model!$B$4,0,MAX(0,Model!$B$6-IF((A70+25)&gt;=Model!$B$11,Model!$B$20,0)-IF(25&lt;Model!$B$15,Model!$B$22,0))/(1-Model!$B$9)/(1+Model!$B$18)^25))</f>
        <v/>
      </c>
      <c r="AN70" s="7">
        <f>IF(A70="","",IF((A70+26)&gt;Model!$B$4,0,MAX(0,Model!$B$6-IF((A70+26)&gt;=Model!$B$11,Model!$B$20,0)-IF(26&lt;Model!$B$15,Model!$B$22,0))/(1-Model!$B$9)/(1+Model!$B$18)^26))</f>
        <v/>
      </c>
      <c r="AO70" s="7">
        <f>IF(A70="","",IF((A70+27)&gt;Model!$B$4,0,MAX(0,Model!$B$6-IF((A70+27)&gt;=Model!$B$11,Model!$B$20,0)-IF(27&lt;Model!$B$15,Model!$B$22,0))/(1-Model!$B$9)/(1+Model!$B$18)^27))</f>
        <v/>
      </c>
      <c r="AP70" s="7">
        <f>IF(A70="","",IF((A70+28)&gt;Model!$B$4,0,MAX(0,Model!$B$6-IF((A70+28)&gt;=Model!$B$11,Model!$B$20,0)-IF(28&lt;Model!$B$15,Model!$B$22,0))/(1-Model!$B$9)/(1+Model!$B$18)^28))</f>
        <v/>
      </c>
      <c r="AQ70" s="7">
        <f>IF(A70="","",IF((A70+29)&gt;Model!$B$4,0,MAX(0,Model!$B$6-IF((A70+29)&gt;=Model!$B$11,Model!$B$20,0)-IF(29&lt;Model!$B$15,Model!$B$22,0))/(1-Model!$B$9)/(1+Model!$B$18)^29))</f>
        <v/>
      </c>
      <c r="AR70" s="7">
        <f>IF(A70="","",IF((A70+30)&gt;Model!$B$4,0,MAX(0,Model!$B$6-IF((A70+30)&gt;=Model!$B$11,Model!$B$20,0)-IF(30&lt;Model!$B$15,Model!$B$22,0))/(1-Model!$B$9)/(1+Model!$B$18)^30))</f>
        <v/>
      </c>
      <c r="AS70" s="7">
        <f>IF(A70="","",IF((A70+31)&gt;Model!$B$4,0,MAX(0,Model!$B$6-IF((A70+31)&gt;=Model!$B$11,Model!$B$20,0)-IF(31&lt;Model!$B$15,Model!$B$22,0))/(1-Model!$B$9)/(1+Model!$B$18)^31))</f>
        <v/>
      </c>
      <c r="AT70" s="7">
        <f>IF(A70="","",IF((A70+32)&gt;Model!$B$4,0,MAX(0,Model!$B$6-IF((A70+32)&gt;=Model!$B$11,Model!$B$20,0)-IF(32&lt;Model!$B$15,Model!$B$22,0))/(1-Model!$B$9)/(1+Model!$B$18)^32))</f>
        <v/>
      </c>
      <c r="AU70" s="7">
        <f>IF(A70="","",IF((A70+33)&gt;Model!$B$4,0,MAX(0,Model!$B$6-IF((A70+33)&gt;=Model!$B$11,Model!$B$20,0)-IF(33&lt;Model!$B$15,Model!$B$22,0))/(1-Model!$B$9)/(1+Model!$B$18)^33))</f>
        <v/>
      </c>
      <c r="AV70" s="7">
        <f>IF(A70="","",IF((A70+34)&gt;Model!$B$4,0,MAX(0,Model!$B$6-IF((A70+34)&gt;=Model!$B$11,Model!$B$20,0)-IF(34&lt;Model!$B$15,Model!$B$22,0))/(1-Model!$B$9)/(1+Model!$B$18)^34))</f>
        <v/>
      </c>
      <c r="AW70" s="7">
        <f>IF(A70="","",IF((A70+35)&gt;Model!$B$4,0,MAX(0,Model!$B$6-IF((A70+35)&gt;=Model!$B$11,Model!$B$20,0)-IF(35&lt;Model!$B$15,Model!$B$22,0))/(1-Model!$B$9)/(1+Model!$B$18)^35))</f>
        <v/>
      </c>
      <c r="AX70" s="7">
        <f>IF(A70="","",IF((A70+36)&gt;Model!$B$4,0,MAX(0,Model!$B$6-IF((A70+36)&gt;=Model!$B$11,Model!$B$20,0)-IF(36&lt;Model!$B$15,Model!$B$22,0))/(1-Model!$B$9)/(1+Model!$B$18)^36))</f>
        <v/>
      </c>
      <c r="AY70" s="7">
        <f>IF(A70="","",IF((A70+37)&gt;Model!$B$4,0,MAX(0,Model!$B$6-IF((A70+37)&gt;=Model!$B$11,Model!$B$20,0)-IF(37&lt;Model!$B$15,Model!$B$22,0))/(1-Model!$B$9)/(1+Model!$B$18)^37))</f>
        <v/>
      </c>
      <c r="AZ70" s="7">
        <f>IF(A70="","",IF((A70+38)&gt;Model!$B$4,0,MAX(0,Model!$B$6-IF((A70+38)&gt;=Model!$B$11,Model!$B$20,0)-IF(38&lt;Model!$B$15,Model!$B$22,0))/(1-Model!$B$9)/(1+Model!$B$18)^38))</f>
        <v/>
      </c>
      <c r="BA70" s="7">
        <f>IF(A70="","",IF((A70+39)&gt;Model!$B$4,0,MAX(0,Model!$B$6-IF((A70+39)&gt;=Model!$B$11,Model!$B$20,0)-IF(39&lt;Model!$B$15,Model!$B$22,0))/(1-Model!$B$9)/(1+Model!$B$18)^39))</f>
        <v/>
      </c>
      <c r="BB70" s="7">
        <f>IF(A70="","",IF((A70+40)&gt;Model!$B$4,0,MAX(0,Model!$B$6-IF((A70+40)&gt;=Model!$B$11,Model!$B$20,0)-IF(40&lt;Model!$B$15,Model!$B$22,0))/(1-Model!$B$9)/(1+Model!$B$18)^40))</f>
        <v/>
      </c>
      <c r="BC70" s="7">
        <f>IF(A70="","",IF((A70+41)&gt;Model!$B$4,0,MAX(0,Model!$B$6-IF((A70+41)&gt;=Model!$B$11,Model!$B$20,0)-IF(41&lt;Model!$B$15,Model!$B$22,0))/(1-Model!$B$9)/(1+Model!$B$18)^41))</f>
        <v/>
      </c>
      <c r="BD70" s="7">
        <f>IF(A70="","",IF((A70+42)&gt;Model!$B$4,0,MAX(0,Model!$B$6-IF((A70+42)&gt;=Model!$B$11,Model!$B$20,0)-IF(42&lt;Model!$B$15,Model!$B$22,0))/(1-Model!$B$9)/(1+Model!$B$18)^42))</f>
        <v/>
      </c>
      <c r="BE70" s="7">
        <f>IF(A70="","",IF((A70+43)&gt;Model!$B$4,0,MAX(0,Model!$B$6-IF((A70+43)&gt;=Model!$B$11,Model!$B$20,0)-IF(43&lt;Model!$B$15,Model!$B$22,0))/(1-Model!$B$9)/(1+Model!$B$18)^43))</f>
        <v/>
      </c>
      <c r="BF70" s="7">
        <f>IF(A70="","",IF((A70+44)&gt;Model!$B$4,0,MAX(0,Model!$B$6-IF((A70+44)&gt;=Model!$B$11,Model!$B$20,0)-IF(44&lt;Model!$B$15,Model!$B$22,0))/(1-Model!$B$9)/(1+Model!$B$18)^44))</f>
        <v/>
      </c>
      <c r="BG70" s="7">
        <f>IF(A70="","",IF((A70+45)&gt;Model!$B$4,0,MAX(0,Model!$B$6-IF((A70+45)&gt;=Model!$B$11,Model!$B$20,0)-IF(45&lt;Model!$B$15,Model!$B$22,0))/(1-Model!$B$9)/(1+Model!$B$18)^45))</f>
        <v/>
      </c>
      <c r="BH70" s="7">
        <f>IF(A70="","",IF((A70+46)&gt;Model!$B$4,0,MAX(0,Model!$B$6-IF((A70+46)&gt;=Model!$B$11,Model!$B$20,0)-IF(46&lt;Model!$B$15,Model!$B$22,0))/(1-Model!$B$9)/(1+Model!$B$18)^46))</f>
        <v/>
      </c>
      <c r="BI70" s="7">
        <f>IF(A70="","",IF((A70+47)&gt;Model!$B$4,0,MAX(0,Model!$B$6-IF((A70+47)&gt;=Model!$B$11,Model!$B$20,0)-IF(47&lt;Model!$B$15,Model!$B$22,0))/(1-Model!$B$9)/(1+Model!$B$18)^47))</f>
        <v/>
      </c>
      <c r="BJ70" s="7">
        <f>IF(A70="","",IF((A70+48)&gt;Model!$B$4,0,MAX(0,Model!$B$6-IF((A70+48)&gt;=Model!$B$11,Model!$B$20,0)-IF(48&lt;Model!$B$15,Model!$B$22,0))/(1-Model!$B$9)/(1+Model!$B$18)^48))</f>
        <v/>
      </c>
      <c r="BK70" s="7">
        <f>IF(A70="","",IF((A70+49)&gt;Model!$B$4,0,MAX(0,Model!$B$6-IF((A70+49)&gt;=Model!$B$11,Model!$B$20,0)-IF(49&lt;Model!$B$15,Model!$B$22,0))/(1-Model!$B$9)/(1+Model!$B$18)^49))</f>
        <v/>
      </c>
      <c r="BL70" s="7">
        <f>IF(A70="","",IF((A70+50)&gt;Model!$B$4,0,MAX(0,Model!$B$6-IF((A70+50)&gt;=Model!$B$11,Model!$B$20,0)-IF(50&lt;Model!$B$15,Model!$B$22,0))/(1-Model!$B$9)/(1+Model!$B$18)^50))</f>
        <v/>
      </c>
      <c r="BM70" s="7">
        <f>IF(A70="","",IF((A70+51)&gt;Model!$B$4,0,MAX(0,Model!$B$6-IF((A70+51)&gt;=Model!$B$11,Model!$B$20,0)-IF(51&lt;Model!$B$15,Model!$B$22,0))/(1-Model!$B$9)/(1+Model!$B$18)^51))</f>
        <v/>
      </c>
      <c r="BN70" s="7">
        <f>IF(A70="","",IF((A70+52)&gt;Model!$B$4,0,MAX(0,Model!$B$6-IF((A70+52)&gt;=Model!$B$11,Model!$B$20,0)-IF(52&lt;Model!$B$15,Model!$B$22,0))/(1-Model!$B$9)/(1+Model!$B$18)^52))</f>
        <v/>
      </c>
      <c r="BO70" s="7">
        <f>IF(A70="","",IF((A70+53)&gt;Model!$B$4,0,MAX(0,Model!$B$6-IF((A70+53)&gt;=Model!$B$11,Model!$B$20,0)-IF(53&lt;Model!$B$15,Model!$B$22,0))/(1-Model!$B$9)/(1+Model!$B$18)^53))</f>
        <v/>
      </c>
      <c r="BP70" s="7">
        <f>IF(A70="","",IF((A70+54)&gt;Model!$B$4,0,MAX(0,Model!$B$6-IF((A70+54)&gt;=Model!$B$11,Model!$B$20,0)-IF(54&lt;Model!$B$15,Model!$B$22,0))/(1-Model!$B$9)/(1+Model!$B$18)^54))</f>
        <v/>
      </c>
      <c r="BQ70" s="7">
        <f>IF(A70="","",IF((A70+55)&gt;Model!$B$4,0,MAX(0,Model!$B$6-IF((A70+55)&gt;=Model!$B$11,Model!$B$20,0)-IF(55&lt;Model!$B$15,Model!$B$22,0))/(1-Model!$B$9)/(1+Model!$B$18)^55))</f>
        <v/>
      </c>
      <c r="BR70" s="7">
        <f>IF(A70="","",IF((A70+56)&gt;Model!$B$4,0,MAX(0,Model!$B$6-IF((A70+56)&gt;=Model!$B$11,Model!$B$20,0)-IF(56&lt;Model!$B$15,Model!$B$22,0))/(1-Model!$B$9)/(1+Model!$B$18)^56))</f>
        <v/>
      </c>
      <c r="BS70" s="7">
        <f>IF(A70="","",IF((A70+57)&gt;Model!$B$4,0,MAX(0,Model!$B$6-IF((A70+57)&gt;=Model!$B$11,Model!$B$20,0)-IF(57&lt;Model!$B$15,Model!$B$22,0))/(1-Model!$B$9)/(1+Model!$B$18)^57))</f>
        <v/>
      </c>
      <c r="BT70" s="7">
        <f>IF(A70="","",IF((A70+58)&gt;Model!$B$4,0,MAX(0,Model!$B$6-IF((A70+58)&gt;=Model!$B$11,Model!$B$20,0)-IF(58&lt;Model!$B$15,Model!$B$22,0))/(1-Model!$B$9)/(1+Model!$B$18)^58))</f>
        <v/>
      </c>
      <c r="BU70" s="7">
        <f>IF(A70="","",IF((A70+59)&gt;Model!$B$4,0,MAX(0,Model!$B$6-IF((A70+59)&gt;=Model!$B$11,Model!$B$20,0)-IF(59&lt;Model!$B$15,Model!$B$22,0))/(1-Model!$B$9)/(1+Model!$B$18)^59))</f>
        <v/>
      </c>
      <c r="BV70" s="7">
        <f>IF(A70="","",IF((A70+60)&gt;Model!$B$4,0,MAX(0,Model!$B$6-IF((A70+60)&gt;=Model!$B$11,Model!$B$20,0)-IF(60&lt;Model!$B$15,Model!$B$22,0))/(1-Model!$B$9)/(1+Model!$B$18)^60))</f>
        <v/>
      </c>
      <c r="BW70" s="7">
        <f>IF(A70="","",IF((A70+61)&gt;Model!$B$4,0,MAX(0,Model!$B$6-IF((A70+61)&gt;=Model!$B$11,Model!$B$20,0)-IF(61&lt;Model!$B$15,Model!$B$22,0))/(1-Model!$B$9)/(1+Model!$B$18)^61))</f>
        <v/>
      </c>
      <c r="BX70" s="7">
        <f>IF(A70="","",IF((A70+62)&gt;Model!$B$4,0,MAX(0,Model!$B$6-IF((A70+62)&gt;=Model!$B$11,Model!$B$20,0)-IF(62&lt;Model!$B$15,Model!$B$22,0))/(1-Model!$B$9)/(1+Model!$B$18)^62))</f>
        <v/>
      </c>
      <c r="BY70" s="7">
        <f>IF(A70="","",IF((A70+63)&gt;Model!$B$4,0,MAX(0,Model!$B$6-IF((A70+63)&gt;=Model!$B$11,Model!$B$20,0)-IF(63&lt;Model!$B$15,Model!$B$22,0))/(1-Model!$B$9)/(1+Model!$B$18)^63))</f>
        <v/>
      </c>
      <c r="BZ70" s="7">
        <f>IF(A70="","",IF((A70+64)&gt;Model!$B$4,0,MAX(0,Model!$B$6-IF((A70+64)&gt;=Model!$B$11,Model!$B$20,0)-IF(64&lt;Model!$B$15,Model!$B$22,0))/(1-Model!$B$9)/(1+Model!$B$18)^64))</f>
        <v/>
      </c>
      <c r="CA70" s="7">
        <f>IF(A70="","",IF((A70+65)&gt;Model!$B$4,0,MAX(0,Model!$B$6-IF((A70+65)&gt;=Model!$B$11,Model!$B$20,0)-IF(65&lt;Model!$B$15,Model!$B$22,0))/(1-Model!$B$9)/(1+Model!$B$18)^65))</f>
        <v/>
      </c>
      <c r="CB70" s="7">
        <f>IF(A70="","",IF((A70+66)&gt;Model!$B$4,0,MAX(0,Model!$B$6-IF((A70+66)&gt;=Model!$B$11,Model!$B$20,0)-IF(66&lt;Model!$B$15,Model!$B$22,0))/(1-Model!$B$9)/(1+Model!$B$18)^66))</f>
        <v/>
      </c>
      <c r="CC70" s="7">
        <f>IF(A70="","",IF((A70+67)&gt;Model!$B$4,0,MAX(0,Model!$B$6-IF((A70+67)&gt;=Model!$B$11,Model!$B$20,0)-IF(67&lt;Model!$B$15,Model!$B$22,0))/(1-Model!$B$9)/(1+Model!$B$18)^67))</f>
        <v/>
      </c>
      <c r="CD70" s="7">
        <f>IF(A70="","",IF((A70+68)&gt;Model!$B$4,0,MAX(0,Model!$B$6-IF((A70+68)&gt;=Model!$B$11,Model!$B$20,0)-IF(68&lt;Model!$B$15,Model!$B$22,0))/(1-Model!$B$9)/(1+Model!$B$18)^68))</f>
        <v/>
      </c>
      <c r="CE70" s="7">
        <f>IF(A70="","",IF((A70+69)&gt;Model!$B$4,0,MAX(0,Model!$B$6-IF((A70+69)&gt;=Model!$B$11,Model!$B$20,0)-IF(69&lt;Model!$B$15,Model!$B$22,0))/(1-Model!$B$9)/(1+Model!$B$18)^69))</f>
        <v/>
      </c>
      <c r="CF70" s="7">
        <f>IF(A70="","",IF((A70+70)&gt;Model!$B$4,0,MAX(0,Model!$B$6-IF((A70+70)&gt;=Model!$B$11,Model!$B$20,0)-IF(70&lt;Model!$B$15,Model!$B$22,0))/(1-Model!$B$9)/(1+Model!$B$18)^70))</f>
        <v/>
      </c>
      <c r="CG70" s="7">
        <f>IF(A70="","",IF((A70+71)&gt;Model!$B$4,0,MAX(0,Model!$B$6-IF((A70+71)&gt;=Model!$B$11,Model!$B$20,0)-IF(71&lt;Model!$B$15,Model!$B$22,0))/(1-Model!$B$9)/(1+Model!$B$18)^71))</f>
        <v/>
      </c>
      <c r="CH70" s="7">
        <f>IF(A70="","",IF((A70+72)&gt;Model!$B$4,0,MAX(0,Model!$B$6-IF((A70+72)&gt;=Model!$B$11,Model!$B$20,0)-IF(72&lt;Model!$B$15,Model!$B$22,0))/(1-Model!$B$9)/(1+Model!$B$18)^72))</f>
        <v/>
      </c>
      <c r="CI70" s="7">
        <f>IF(A70="","",IF((A70+73)&gt;Model!$B$4,0,MAX(0,Model!$B$6-IF((A70+73)&gt;=Model!$B$11,Model!$B$20,0)-IF(73&lt;Model!$B$15,Model!$B$22,0))/(1-Model!$B$9)/(1+Model!$B$18)^73))</f>
        <v/>
      </c>
      <c r="CJ70" s="7">
        <f>IF(A70="","",IF((A70+74)&gt;Model!$B$4,0,MAX(0,Model!$B$6-IF((A70+74)&gt;=Model!$B$11,Model!$B$20,0)-IF(74&lt;Model!$B$15,Model!$B$22,0))/(1-Model!$B$9)/(1+Model!$B$18)^74))</f>
        <v/>
      </c>
      <c r="CK70" s="7">
        <f>IF(A70="","",IF((A70+75)&gt;Model!$B$4,0,MAX(0,Model!$B$6-IF((A70+75)&gt;=Model!$B$11,Model!$B$20,0)-IF(75&lt;Model!$B$15,Model!$B$22,0))/(1-Model!$B$9)/(1+Model!$B$18)^75))</f>
        <v/>
      </c>
      <c r="CL70" s="7">
        <f>IF(A70="","",IF((A70+76)&gt;Model!$B$4,0,MAX(0,Model!$B$6-IF((A70+76)&gt;=Model!$B$11,Model!$B$20,0)-IF(76&lt;Model!$B$15,Model!$B$22,0))/(1-Model!$B$9)/(1+Model!$B$18)^76))</f>
        <v/>
      </c>
      <c r="CM70" s="7">
        <f>IF(A70="","",IF((A70+77)&gt;Model!$B$4,0,MAX(0,Model!$B$6-IF((A70+77)&gt;=Model!$B$11,Model!$B$20,0)-IF(77&lt;Model!$B$15,Model!$B$22,0))/(1-Model!$B$9)/(1+Model!$B$18)^77))</f>
        <v/>
      </c>
      <c r="CN70" s="7">
        <f>IF(A70="","",IF((A70+78)&gt;Model!$B$4,0,MAX(0,Model!$B$6-IF((A70+78)&gt;=Model!$B$11,Model!$B$20,0)-IF(78&lt;Model!$B$15,Model!$B$22,0))/(1-Model!$B$9)/(1+Model!$B$18)^78))</f>
        <v/>
      </c>
      <c r="CO70" s="7">
        <f>IF(A70="","",IF((A70+79)&gt;Model!$B$4,0,MAX(0,Model!$B$6-IF((A70+79)&gt;=Model!$B$11,Model!$B$20,0)-IF(79&lt;Model!$B$15,Model!$B$22,0))/(1-Model!$B$9)/(1+Model!$B$18)^79))</f>
        <v/>
      </c>
      <c r="CP70" s="7">
        <f>IF(A70="","",IF((A70+80)&gt;Model!$B$4,0,MAX(0,Model!$B$6-IF((A70+80)&gt;=Model!$B$11,Model!$B$20,0)-IF(80&lt;Model!$B$15,Model!$B$22,0))/(1-Model!$B$9)/(1+Model!$B$18)^80))</f>
        <v/>
      </c>
      <c r="CQ70" s="7">
        <f>IF(A70="","",IF((A70+81)&gt;Model!$B$4,0,MAX(0,Model!$B$6-IF((A70+81)&gt;=Model!$B$11,Model!$B$20,0)-IF(81&lt;Model!$B$15,Model!$B$22,0))/(1-Model!$B$9)/(1+Model!$B$18)^81))</f>
        <v/>
      </c>
      <c r="CR70" s="7">
        <f>IF(A70="","",IF((A70+82)&gt;Model!$B$4,0,MAX(0,Model!$B$6-IF((A70+82)&gt;=Model!$B$11,Model!$B$20,0)-IF(82&lt;Model!$B$15,Model!$B$22,0))/(1-Model!$B$9)/(1+Model!$B$18)^82))</f>
        <v/>
      </c>
      <c r="CS70" s="7">
        <f>IF(A70="","",IF((A70+83)&gt;Model!$B$4,0,MAX(0,Model!$B$6-IF((A70+83)&gt;=Model!$B$11,Model!$B$20,0)-IF(83&lt;Model!$B$15,Model!$B$22,0))/(1-Model!$B$9)/(1+Model!$B$18)^83))</f>
        <v/>
      </c>
      <c r="CT70" s="7">
        <f>IF(A70="","",IF((A70+84)&gt;Model!$B$4,0,MAX(0,Model!$B$6-IF((A70+84)&gt;=Model!$B$11,Model!$B$20,0)-IF(84&lt;Model!$B$15,Model!$B$22,0))/(1-Model!$B$9)/(1+Model!$B$18)^84))</f>
        <v/>
      </c>
      <c r="CU70" s="7">
        <f>IF(A70="","",IF((A70+85)&gt;Model!$B$4,0,MAX(0,Model!$B$6-IF((A70+85)&gt;=Model!$B$11,Model!$B$20,0)-IF(85&lt;Model!$B$15,Model!$B$22,0))/(1-Model!$B$9)/(1+Model!$B$18)^85))</f>
        <v/>
      </c>
      <c r="CV70" s="7">
        <f>IF(A70="","",IF((A70+86)&gt;Model!$B$4,0,MAX(0,Model!$B$6-IF((A70+86)&gt;=Model!$B$11,Model!$B$20,0)-IF(86&lt;Model!$B$15,Model!$B$22,0))/(1-Model!$B$9)/(1+Model!$B$18)^86))</f>
        <v/>
      </c>
      <c r="CW70" s="7">
        <f>IF(A70="","",IF((A70+87)&gt;Model!$B$4,0,MAX(0,Model!$B$6-IF((A70+87)&gt;=Model!$B$11,Model!$B$20,0)-IF(87&lt;Model!$B$15,Model!$B$22,0))/(1-Model!$B$9)/(1+Model!$B$18)^87))</f>
        <v/>
      </c>
      <c r="CX70" s="7">
        <f>IF(A70="","",IF((A70+88)&gt;Model!$B$4,0,MAX(0,Model!$B$6-IF((A70+88)&gt;=Model!$B$11,Model!$B$20,0)-IF(88&lt;Model!$B$15,Model!$B$22,0))/(1-Model!$B$9)/(1+Model!$B$18)^88))</f>
        <v/>
      </c>
      <c r="CY70" s="7">
        <f>IF(A70="","",IF((A70+89)&gt;Model!$B$4,0,MAX(0,Model!$B$6-IF((A70+89)&gt;=Model!$B$11,Model!$B$20,0)-IF(89&lt;Model!$B$15,Model!$B$22,0))/(1-Model!$B$9)/(1+Model!$B$18)^89))</f>
        <v/>
      </c>
      <c r="CZ70" s="7">
        <f>IF(A70="","",IF((A70+90)&gt;Model!$B$4,0,MAX(0,Model!$B$6-IF((A70+90)&gt;=Model!$B$11,Model!$B$20,0)-IF(90&lt;Model!$B$15,Model!$B$22,0))/(1-Model!$B$9)/(1+Model!$B$18)^90))</f>
        <v/>
      </c>
      <c r="DA70" s="7">
        <f>IF(A70="","",IF((A70+91)&gt;Model!$B$4,0,MAX(0,Model!$B$6-IF((A70+91)&gt;=Model!$B$11,Model!$B$20,0)-IF(91&lt;Model!$B$15,Model!$B$22,0))/(1-Model!$B$9)/(1+Model!$B$18)^91))</f>
        <v/>
      </c>
      <c r="DB70" s="7">
        <f>IF(A70="","",IF((A70+92)&gt;Model!$B$4,0,MAX(0,Model!$B$6-IF((A70+92)&gt;=Model!$B$11,Model!$B$20,0)-IF(92&lt;Model!$B$15,Model!$B$22,0))/(1-Model!$B$9)/(1+Model!$B$18)^92))</f>
        <v/>
      </c>
      <c r="DC70" s="7">
        <f>IF(A70="","",IF((A70+93)&gt;Model!$B$4,0,MAX(0,Model!$B$6-IF((A70+93)&gt;=Model!$B$11,Model!$B$20,0)-IF(93&lt;Model!$B$15,Model!$B$22,0))/(1-Model!$B$9)/(1+Model!$B$18)^93))</f>
        <v/>
      </c>
      <c r="DD70" s="7">
        <f>IF(A70="","",IF((A70+94)&gt;Model!$B$4,0,MAX(0,Model!$B$6-IF((A70+94)&gt;=Model!$B$11,Model!$B$20,0)-IF(94&lt;Model!$B$15,Model!$B$22,0))/(1-Model!$B$9)/(1+Model!$B$18)^94))</f>
        <v/>
      </c>
      <c r="DE70" s="7">
        <f>IF(A70="","",IF((A70+95)&gt;Model!$B$4,0,MAX(0,Model!$B$6-IF((A70+95)&gt;=Model!$B$11,Model!$B$20,0)-IF(95&lt;Model!$B$15,Model!$B$22,0))/(1-Model!$B$9)/(1+Model!$B$18)^95))</f>
        <v/>
      </c>
      <c r="DF70" s="7">
        <f>IF(A70="","",IF((A70+96)&gt;Model!$B$4,0,MAX(0,Model!$B$6-IF((A70+96)&gt;=Model!$B$11,Model!$B$20,0)-IF(96&lt;Model!$B$15,Model!$B$22,0))/(1-Model!$B$9)/(1+Model!$B$18)^96))</f>
        <v/>
      </c>
      <c r="DG70" s="7">
        <f>IF(A70="","",IF((A70+97)&gt;Model!$B$4,0,MAX(0,Model!$B$6-IF((A70+97)&gt;=Model!$B$11,Model!$B$20,0)-IF(97&lt;Model!$B$15,Model!$B$22,0))/(1-Model!$B$9)/(1+Model!$B$18)^97))</f>
        <v/>
      </c>
      <c r="DH70" s="7">
        <f>IF(A70="","",IF((A70+98)&gt;Model!$B$4,0,MAX(0,Model!$B$6-IF((A70+98)&gt;=Model!$B$11,Model!$B$20,0)-IF(98&lt;Model!$B$15,Model!$B$22,0))/(1-Model!$B$9)/(1+Model!$B$18)^98))</f>
        <v/>
      </c>
      <c r="DI70" s="7">
        <f>IF(A70="","",IF((A70+99)&gt;Model!$B$4,0,MAX(0,Model!$B$6-IF((A70+99)&gt;=Model!$B$11,Model!$B$20,0)-IF(99&lt;Model!$B$15,Model!$B$22,0))/(1-Model!$B$9)/(1+Model!$B$18)^99))</f>
        <v/>
      </c>
      <c r="DJ70" s="7">
        <f>IF(A70="","",IF((A70+100)&gt;Model!$B$4,0,MAX(0,Model!$B$6-IF((A70+100)&gt;=Model!$B$11,Model!$B$20,0)-IF(100&lt;Model!$B$15,Model!$B$22,0))/(1-Model!$B$9)/(1+Model!$B$18)^100))</f>
        <v/>
      </c>
      <c r="DK70" s="7">
        <f>IF(A70="","",IF((A70+101)&gt;Model!$B$4,0,MAX(0,Model!$B$6-IF((A70+101)&gt;=Model!$B$11,Model!$B$20,0)-IF(101&lt;Model!$B$15,Model!$B$22,0))/(1-Model!$B$9)/(1+Model!$B$18)^101))</f>
        <v/>
      </c>
      <c r="DL70" s="7">
        <f>IF(A70="","",IF((A70+102)&gt;Model!$B$4,0,MAX(0,Model!$B$6-IF((A70+102)&gt;=Model!$B$11,Model!$B$20,0)-IF(102&lt;Model!$B$15,Model!$B$22,0))/(1-Model!$B$9)/(1+Model!$B$18)^102))</f>
        <v/>
      </c>
      <c r="DM70" s="7">
        <f>IF(A70="","",IF((A70+103)&gt;Model!$B$4,0,MAX(0,Model!$B$6-IF((A70+103)&gt;=Model!$B$11,Model!$B$20,0)-IF(103&lt;Model!$B$15,Model!$B$22,0))/(1-Model!$B$9)/(1+Model!$B$18)^103))</f>
        <v/>
      </c>
      <c r="DN70" s="7">
        <f>IF(A70="","",IF((A70+104)&gt;Model!$B$4,0,MAX(0,Model!$B$6-IF((A70+104)&gt;=Model!$B$11,Model!$B$20,0)-IF(104&lt;Model!$B$15,Model!$B$22,0))/(1-Model!$B$9)/(1+Model!$B$18)^104))</f>
        <v/>
      </c>
      <c r="DO70" s="7">
        <f>IF(A70="","",IF((A70+105)&gt;Model!$B$4,0,MAX(0,Model!$B$6-IF((A70+105)&gt;=Model!$B$11,Model!$B$20,0)-IF(105&lt;Model!$B$15,Model!$B$22,0))/(1-Model!$B$9)/(1+Model!$B$18)^105))</f>
        <v/>
      </c>
      <c r="DP70" s="7">
        <f>IF(A70="","",IF((A70+106)&gt;Model!$B$4,0,MAX(0,Model!$B$6-IF((A70+106)&gt;=Model!$B$11,Model!$B$20,0)-IF(106&lt;Model!$B$15,Model!$B$22,0))/(1-Model!$B$9)/(1+Model!$B$18)^106))</f>
        <v/>
      </c>
      <c r="DQ70" s="7">
        <f>IF(A70="","",IF((A70+107)&gt;Model!$B$4,0,MAX(0,Model!$B$6-IF((A70+107)&gt;=Model!$B$11,Model!$B$20,0)-IF(107&lt;Model!$B$15,Model!$B$22,0))/(1-Model!$B$9)/(1+Model!$B$18)^107))</f>
        <v/>
      </c>
      <c r="DR70" s="7">
        <f>IF(A70="","",IF((A70+108)&gt;Model!$B$4,0,MAX(0,Model!$B$6-IF((A70+108)&gt;=Model!$B$11,Model!$B$20,0)-IF(108&lt;Model!$B$15,Model!$B$22,0))/(1-Model!$B$9)/(1+Model!$B$18)^108))</f>
        <v/>
      </c>
      <c r="DS70" s="7">
        <f>IF(A70="","",IF((A70+109)&gt;Model!$B$4,0,MAX(0,Model!$B$6-IF((A70+109)&gt;=Model!$B$11,Model!$B$20,0)-IF(109&lt;Model!$B$15,Model!$B$22,0))/(1-Model!$B$9)/(1+Model!$B$18)^109))</f>
        <v/>
      </c>
      <c r="DT70" s="7">
        <f>IF(A70="","",IF((A70+110)&gt;Model!$B$4,0,MAX(0,Model!$B$6-IF((A70+110)&gt;=Model!$B$11,Model!$B$20,0)-IF(110&lt;Model!$B$15,Model!$B$22,0))/(1-Model!$B$9)/(1+Model!$B$18)^110))</f>
        <v/>
      </c>
      <c r="DU70" s="7">
        <f>IF(A70="","",IF((A70+111)&gt;Model!$B$4,0,MAX(0,Model!$B$6-IF((A70+111)&gt;=Model!$B$11,Model!$B$20,0)-IF(111&lt;Model!$B$15,Model!$B$22,0))/(1-Model!$B$9)/(1+Model!$B$18)^111))</f>
        <v/>
      </c>
      <c r="DV70" s="7">
        <f>IF(A70="","",IF((A70+112)&gt;Model!$B$4,0,MAX(0,Model!$B$6-IF((A70+112)&gt;=Model!$B$11,Model!$B$20,0)-IF(112&lt;Model!$B$15,Model!$B$22,0))/(1-Model!$B$9)/(1+Model!$B$18)^112))</f>
        <v/>
      </c>
      <c r="DW70" s="7">
        <f>IF(A70="","",IF((A70+113)&gt;Model!$B$4,0,MAX(0,Model!$B$6-IF((A70+113)&gt;=Model!$B$11,Model!$B$20,0)-IF(113&lt;Model!$B$15,Model!$B$22,0))/(1-Model!$B$9)/(1+Model!$B$18)^113))</f>
        <v/>
      </c>
      <c r="DX70" s="7">
        <f>IF(A70="","",IF((A70+114)&gt;Model!$B$4,0,MAX(0,Model!$B$6-IF((A70+114)&gt;=Model!$B$11,Model!$B$20,0)-IF(114&lt;Model!$B$15,Model!$B$22,0))/(1-Model!$B$9)/(1+Model!$B$18)^114))</f>
        <v/>
      </c>
      <c r="DY70" s="7">
        <f>IF(A70="","",IF((A70+115)&gt;Model!$B$4,0,MAX(0,Model!$B$6-IF((A70+115)&gt;=Model!$B$11,Model!$B$20,0)-IF(115&lt;Model!$B$15,Model!$B$22,0))/(1-Model!$B$9)/(1+Model!$B$18)^115))</f>
        <v/>
      </c>
      <c r="DZ70" s="7">
        <f>IF(A70="","",IF((A70+116)&gt;Model!$B$4,0,MAX(0,Model!$B$6-IF((A70+116)&gt;=Model!$B$11,Model!$B$20,0)-IF(116&lt;Model!$B$15,Model!$B$22,0))/(1-Model!$B$9)/(1+Model!$B$18)^116))</f>
        <v/>
      </c>
      <c r="EA70" s="7">
        <f>IF(A70="","",IF((A70+117)&gt;Model!$B$4,0,MAX(0,Model!$B$6-IF((A70+117)&gt;=Model!$B$11,Model!$B$20,0)-IF(117&lt;Model!$B$15,Model!$B$22,0))/(1-Model!$B$9)/(1+Model!$B$18)^117))</f>
        <v/>
      </c>
      <c r="EB70" s="7">
        <f>IF(A70="","",IF((A70+118)&gt;Model!$B$4,0,MAX(0,Model!$B$6-IF((A70+118)&gt;=Model!$B$11,Model!$B$20,0)-IF(118&lt;Model!$B$15,Model!$B$22,0))/(1-Model!$B$9)/(1+Model!$B$18)^118))</f>
        <v/>
      </c>
      <c r="EC70" s="7">
        <f>IF(A70="","",IF((A70+119)&gt;Model!$B$4,0,MAX(0,Model!$B$6-IF((A70+119)&gt;=Model!$B$11,Model!$B$20,0)-IF(119&lt;Model!$B$15,Model!$B$22,0))/(1-Model!$B$9)/(1+Model!$B$18)^119))</f>
        <v/>
      </c>
      <c r="ED70" s="7">
        <f>IF(A70="","",IF((A70+120)&gt;Model!$B$4,0,MAX(0,Model!$B$6-IF((A70+120)&gt;=Model!$B$11,Model!$B$20,0)-IF(120&lt;Model!$B$15,Model!$B$22,0))/(1-Model!$B$9)/(1+Model!$B$18)^120))</f>
        <v/>
      </c>
    </row>
    <row r="71">
      <c r="A71">
        <f>IF(Model!$B$10+ROW()-2&lt;=Model!$B$4,Model!$B$10+ROW()-2,"")</f>
        <v/>
      </c>
      <c r="B71">
        <f>IF(A71="","",A71-Model!$B$10)</f>
        <v/>
      </c>
      <c r="C71" s="7">
        <f>IF(A71="","",Model!$B$5*(1+Model!$B$18)^B71)</f>
        <v/>
      </c>
      <c r="D71" s="7">
        <f>IF(A71="","",SUM(N71:ED71))</f>
        <v/>
      </c>
      <c r="E71" s="7">
        <f>IF(A71="","",IF(A71&gt;=Model!$B$11,Model!$B$20,0))</f>
        <v/>
      </c>
      <c r="F71" s="7">
        <f>IF(A71="","",IF(Model!$B$15&gt;0,Model!$B$22,0))</f>
        <v/>
      </c>
      <c r="G71" s="7">
        <f>IF(A71="","",E71+F71)</f>
        <v/>
      </c>
      <c r="H71" s="7">
        <f>IF(A71="","",MAX(0,Model!$B$6-G71))</f>
        <v/>
      </c>
      <c r="I71" s="7">
        <f>IF(A71="","",H71/(1-Model!$B$9))</f>
        <v/>
      </c>
      <c r="J71" s="7">
        <f>IF(A71="","",C71-D71)</f>
        <v/>
      </c>
      <c r="K71">
        <f>IF(A71="","",C71&gt;=D71)</f>
        <v/>
      </c>
      <c r="L71" s="7">
        <f>IF(A71="","",IF(A71&gt;=Model!$B$11,Model!$B$19*(1+Model!$B$13)^B71,0))</f>
        <v/>
      </c>
      <c r="M71" s="7">
        <f>IF(A71="","",IF(Model!$B$15&gt;0,Model!$B$21*(1+Model!$B$13)^B71,0))</f>
        <v/>
      </c>
      <c r="N71" s="7">
        <f>IF(A71="","",IF((A71+0)&gt;Model!$B$4,0,MAX(0,Model!$B$6-IF((A71+0)&gt;=Model!$B$11,Model!$B$20,0)-IF(0&lt;Model!$B$15,Model!$B$22,0))/(1-Model!$B$9)/(1+Model!$B$18)^0))</f>
        <v/>
      </c>
      <c r="O71" s="7">
        <f>IF(A71="","",IF((A71+1)&gt;Model!$B$4,0,MAX(0,Model!$B$6-IF((A71+1)&gt;=Model!$B$11,Model!$B$20,0)-IF(1&lt;Model!$B$15,Model!$B$22,0))/(1-Model!$B$9)/(1+Model!$B$18)^1))</f>
        <v/>
      </c>
      <c r="P71" s="7">
        <f>IF(A71="","",IF((A71+2)&gt;Model!$B$4,0,MAX(0,Model!$B$6-IF((A71+2)&gt;=Model!$B$11,Model!$B$20,0)-IF(2&lt;Model!$B$15,Model!$B$22,0))/(1-Model!$B$9)/(1+Model!$B$18)^2))</f>
        <v/>
      </c>
      <c r="Q71" s="7">
        <f>IF(A71="","",IF((A71+3)&gt;Model!$B$4,0,MAX(0,Model!$B$6-IF((A71+3)&gt;=Model!$B$11,Model!$B$20,0)-IF(3&lt;Model!$B$15,Model!$B$22,0))/(1-Model!$B$9)/(1+Model!$B$18)^3))</f>
        <v/>
      </c>
      <c r="R71" s="7">
        <f>IF(A71="","",IF((A71+4)&gt;Model!$B$4,0,MAX(0,Model!$B$6-IF((A71+4)&gt;=Model!$B$11,Model!$B$20,0)-IF(4&lt;Model!$B$15,Model!$B$22,0))/(1-Model!$B$9)/(1+Model!$B$18)^4))</f>
        <v/>
      </c>
      <c r="S71" s="7">
        <f>IF(A71="","",IF((A71+5)&gt;Model!$B$4,0,MAX(0,Model!$B$6-IF((A71+5)&gt;=Model!$B$11,Model!$B$20,0)-IF(5&lt;Model!$B$15,Model!$B$22,0))/(1-Model!$B$9)/(1+Model!$B$18)^5))</f>
        <v/>
      </c>
      <c r="T71" s="7">
        <f>IF(A71="","",IF((A71+6)&gt;Model!$B$4,0,MAX(0,Model!$B$6-IF((A71+6)&gt;=Model!$B$11,Model!$B$20,0)-IF(6&lt;Model!$B$15,Model!$B$22,0))/(1-Model!$B$9)/(1+Model!$B$18)^6))</f>
        <v/>
      </c>
      <c r="U71" s="7">
        <f>IF(A71="","",IF((A71+7)&gt;Model!$B$4,0,MAX(0,Model!$B$6-IF((A71+7)&gt;=Model!$B$11,Model!$B$20,0)-IF(7&lt;Model!$B$15,Model!$B$22,0))/(1-Model!$B$9)/(1+Model!$B$18)^7))</f>
        <v/>
      </c>
      <c r="V71" s="7">
        <f>IF(A71="","",IF((A71+8)&gt;Model!$B$4,0,MAX(0,Model!$B$6-IF((A71+8)&gt;=Model!$B$11,Model!$B$20,0)-IF(8&lt;Model!$B$15,Model!$B$22,0))/(1-Model!$B$9)/(1+Model!$B$18)^8))</f>
        <v/>
      </c>
      <c r="W71" s="7">
        <f>IF(A71="","",IF((A71+9)&gt;Model!$B$4,0,MAX(0,Model!$B$6-IF((A71+9)&gt;=Model!$B$11,Model!$B$20,0)-IF(9&lt;Model!$B$15,Model!$B$22,0))/(1-Model!$B$9)/(1+Model!$B$18)^9))</f>
        <v/>
      </c>
      <c r="X71" s="7">
        <f>IF(A71="","",IF((A71+10)&gt;Model!$B$4,0,MAX(0,Model!$B$6-IF((A71+10)&gt;=Model!$B$11,Model!$B$20,0)-IF(10&lt;Model!$B$15,Model!$B$22,0))/(1-Model!$B$9)/(1+Model!$B$18)^10))</f>
        <v/>
      </c>
      <c r="Y71" s="7">
        <f>IF(A71="","",IF((A71+11)&gt;Model!$B$4,0,MAX(0,Model!$B$6-IF((A71+11)&gt;=Model!$B$11,Model!$B$20,0)-IF(11&lt;Model!$B$15,Model!$B$22,0))/(1-Model!$B$9)/(1+Model!$B$18)^11))</f>
        <v/>
      </c>
      <c r="Z71" s="7">
        <f>IF(A71="","",IF((A71+12)&gt;Model!$B$4,0,MAX(0,Model!$B$6-IF((A71+12)&gt;=Model!$B$11,Model!$B$20,0)-IF(12&lt;Model!$B$15,Model!$B$22,0))/(1-Model!$B$9)/(1+Model!$B$18)^12))</f>
        <v/>
      </c>
      <c r="AA71" s="7">
        <f>IF(A71="","",IF((A71+13)&gt;Model!$B$4,0,MAX(0,Model!$B$6-IF((A71+13)&gt;=Model!$B$11,Model!$B$20,0)-IF(13&lt;Model!$B$15,Model!$B$22,0))/(1-Model!$B$9)/(1+Model!$B$18)^13))</f>
        <v/>
      </c>
      <c r="AB71" s="7">
        <f>IF(A71="","",IF((A71+14)&gt;Model!$B$4,0,MAX(0,Model!$B$6-IF((A71+14)&gt;=Model!$B$11,Model!$B$20,0)-IF(14&lt;Model!$B$15,Model!$B$22,0))/(1-Model!$B$9)/(1+Model!$B$18)^14))</f>
        <v/>
      </c>
      <c r="AC71" s="7">
        <f>IF(A71="","",IF((A71+15)&gt;Model!$B$4,0,MAX(0,Model!$B$6-IF((A71+15)&gt;=Model!$B$11,Model!$B$20,0)-IF(15&lt;Model!$B$15,Model!$B$22,0))/(1-Model!$B$9)/(1+Model!$B$18)^15))</f>
        <v/>
      </c>
      <c r="AD71" s="7">
        <f>IF(A71="","",IF((A71+16)&gt;Model!$B$4,0,MAX(0,Model!$B$6-IF((A71+16)&gt;=Model!$B$11,Model!$B$20,0)-IF(16&lt;Model!$B$15,Model!$B$22,0))/(1-Model!$B$9)/(1+Model!$B$18)^16))</f>
        <v/>
      </c>
      <c r="AE71" s="7">
        <f>IF(A71="","",IF((A71+17)&gt;Model!$B$4,0,MAX(0,Model!$B$6-IF((A71+17)&gt;=Model!$B$11,Model!$B$20,0)-IF(17&lt;Model!$B$15,Model!$B$22,0))/(1-Model!$B$9)/(1+Model!$B$18)^17))</f>
        <v/>
      </c>
      <c r="AF71" s="7">
        <f>IF(A71="","",IF((A71+18)&gt;Model!$B$4,0,MAX(0,Model!$B$6-IF((A71+18)&gt;=Model!$B$11,Model!$B$20,0)-IF(18&lt;Model!$B$15,Model!$B$22,0))/(1-Model!$B$9)/(1+Model!$B$18)^18))</f>
        <v/>
      </c>
      <c r="AG71" s="7">
        <f>IF(A71="","",IF((A71+19)&gt;Model!$B$4,0,MAX(0,Model!$B$6-IF((A71+19)&gt;=Model!$B$11,Model!$B$20,0)-IF(19&lt;Model!$B$15,Model!$B$22,0))/(1-Model!$B$9)/(1+Model!$B$18)^19))</f>
        <v/>
      </c>
      <c r="AH71" s="7">
        <f>IF(A71="","",IF((A71+20)&gt;Model!$B$4,0,MAX(0,Model!$B$6-IF((A71+20)&gt;=Model!$B$11,Model!$B$20,0)-IF(20&lt;Model!$B$15,Model!$B$22,0))/(1-Model!$B$9)/(1+Model!$B$18)^20))</f>
        <v/>
      </c>
      <c r="AI71" s="7">
        <f>IF(A71="","",IF((A71+21)&gt;Model!$B$4,0,MAX(0,Model!$B$6-IF((A71+21)&gt;=Model!$B$11,Model!$B$20,0)-IF(21&lt;Model!$B$15,Model!$B$22,0))/(1-Model!$B$9)/(1+Model!$B$18)^21))</f>
        <v/>
      </c>
      <c r="AJ71" s="7">
        <f>IF(A71="","",IF((A71+22)&gt;Model!$B$4,0,MAX(0,Model!$B$6-IF((A71+22)&gt;=Model!$B$11,Model!$B$20,0)-IF(22&lt;Model!$B$15,Model!$B$22,0))/(1-Model!$B$9)/(1+Model!$B$18)^22))</f>
        <v/>
      </c>
      <c r="AK71" s="7">
        <f>IF(A71="","",IF((A71+23)&gt;Model!$B$4,0,MAX(0,Model!$B$6-IF((A71+23)&gt;=Model!$B$11,Model!$B$20,0)-IF(23&lt;Model!$B$15,Model!$B$22,0))/(1-Model!$B$9)/(1+Model!$B$18)^23))</f>
        <v/>
      </c>
      <c r="AL71" s="7">
        <f>IF(A71="","",IF((A71+24)&gt;Model!$B$4,0,MAX(0,Model!$B$6-IF((A71+24)&gt;=Model!$B$11,Model!$B$20,0)-IF(24&lt;Model!$B$15,Model!$B$22,0))/(1-Model!$B$9)/(1+Model!$B$18)^24))</f>
        <v/>
      </c>
      <c r="AM71" s="7">
        <f>IF(A71="","",IF((A71+25)&gt;Model!$B$4,0,MAX(0,Model!$B$6-IF((A71+25)&gt;=Model!$B$11,Model!$B$20,0)-IF(25&lt;Model!$B$15,Model!$B$22,0))/(1-Model!$B$9)/(1+Model!$B$18)^25))</f>
        <v/>
      </c>
      <c r="AN71" s="7">
        <f>IF(A71="","",IF((A71+26)&gt;Model!$B$4,0,MAX(0,Model!$B$6-IF((A71+26)&gt;=Model!$B$11,Model!$B$20,0)-IF(26&lt;Model!$B$15,Model!$B$22,0))/(1-Model!$B$9)/(1+Model!$B$18)^26))</f>
        <v/>
      </c>
      <c r="AO71" s="7">
        <f>IF(A71="","",IF((A71+27)&gt;Model!$B$4,0,MAX(0,Model!$B$6-IF((A71+27)&gt;=Model!$B$11,Model!$B$20,0)-IF(27&lt;Model!$B$15,Model!$B$22,0))/(1-Model!$B$9)/(1+Model!$B$18)^27))</f>
        <v/>
      </c>
      <c r="AP71" s="7">
        <f>IF(A71="","",IF((A71+28)&gt;Model!$B$4,0,MAX(0,Model!$B$6-IF((A71+28)&gt;=Model!$B$11,Model!$B$20,0)-IF(28&lt;Model!$B$15,Model!$B$22,0))/(1-Model!$B$9)/(1+Model!$B$18)^28))</f>
        <v/>
      </c>
      <c r="AQ71" s="7">
        <f>IF(A71="","",IF((A71+29)&gt;Model!$B$4,0,MAX(0,Model!$B$6-IF((A71+29)&gt;=Model!$B$11,Model!$B$20,0)-IF(29&lt;Model!$B$15,Model!$B$22,0))/(1-Model!$B$9)/(1+Model!$B$18)^29))</f>
        <v/>
      </c>
      <c r="AR71" s="7">
        <f>IF(A71="","",IF((A71+30)&gt;Model!$B$4,0,MAX(0,Model!$B$6-IF((A71+30)&gt;=Model!$B$11,Model!$B$20,0)-IF(30&lt;Model!$B$15,Model!$B$22,0))/(1-Model!$B$9)/(1+Model!$B$18)^30))</f>
        <v/>
      </c>
      <c r="AS71" s="7">
        <f>IF(A71="","",IF((A71+31)&gt;Model!$B$4,0,MAX(0,Model!$B$6-IF((A71+31)&gt;=Model!$B$11,Model!$B$20,0)-IF(31&lt;Model!$B$15,Model!$B$22,0))/(1-Model!$B$9)/(1+Model!$B$18)^31))</f>
        <v/>
      </c>
      <c r="AT71" s="7">
        <f>IF(A71="","",IF((A71+32)&gt;Model!$B$4,0,MAX(0,Model!$B$6-IF((A71+32)&gt;=Model!$B$11,Model!$B$20,0)-IF(32&lt;Model!$B$15,Model!$B$22,0))/(1-Model!$B$9)/(1+Model!$B$18)^32))</f>
        <v/>
      </c>
      <c r="AU71" s="7">
        <f>IF(A71="","",IF((A71+33)&gt;Model!$B$4,0,MAX(0,Model!$B$6-IF((A71+33)&gt;=Model!$B$11,Model!$B$20,0)-IF(33&lt;Model!$B$15,Model!$B$22,0))/(1-Model!$B$9)/(1+Model!$B$18)^33))</f>
        <v/>
      </c>
      <c r="AV71" s="7">
        <f>IF(A71="","",IF((A71+34)&gt;Model!$B$4,0,MAX(0,Model!$B$6-IF((A71+34)&gt;=Model!$B$11,Model!$B$20,0)-IF(34&lt;Model!$B$15,Model!$B$22,0))/(1-Model!$B$9)/(1+Model!$B$18)^34))</f>
        <v/>
      </c>
      <c r="AW71" s="7">
        <f>IF(A71="","",IF((A71+35)&gt;Model!$B$4,0,MAX(0,Model!$B$6-IF((A71+35)&gt;=Model!$B$11,Model!$B$20,0)-IF(35&lt;Model!$B$15,Model!$B$22,0))/(1-Model!$B$9)/(1+Model!$B$18)^35))</f>
        <v/>
      </c>
      <c r="AX71" s="7">
        <f>IF(A71="","",IF((A71+36)&gt;Model!$B$4,0,MAX(0,Model!$B$6-IF((A71+36)&gt;=Model!$B$11,Model!$B$20,0)-IF(36&lt;Model!$B$15,Model!$B$22,0))/(1-Model!$B$9)/(1+Model!$B$18)^36))</f>
        <v/>
      </c>
      <c r="AY71" s="7">
        <f>IF(A71="","",IF((A71+37)&gt;Model!$B$4,0,MAX(0,Model!$B$6-IF((A71+37)&gt;=Model!$B$11,Model!$B$20,0)-IF(37&lt;Model!$B$15,Model!$B$22,0))/(1-Model!$B$9)/(1+Model!$B$18)^37))</f>
        <v/>
      </c>
      <c r="AZ71" s="7">
        <f>IF(A71="","",IF((A71+38)&gt;Model!$B$4,0,MAX(0,Model!$B$6-IF((A71+38)&gt;=Model!$B$11,Model!$B$20,0)-IF(38&lt;Model!$B$15,Model!$B$22,0))/(1-Model!$B$9)/(1+Model!$B$18)^38))</f>
        <v/>
      </c>
      <c r="BA71" s="7">
        <f>IF(A71="","",IF((A71+39)&gt;Model!$B$4,0,MAX(0,Model!$B$6-IF((A71+39)&gt;=Model!$B$11,Model!$B$20,0)-IF(39&lt;Model!$B$15,Model!$B$22,0))/(1-Model!$B$9)/(1+Model!$B$18)^39))</f>
        <v/>
      </c>
      <c r="BB71" s="7">
        <f>IF(A71="","",IF((A71+40)&gt;Model!$B$4,0,MAX(0,Model!$B$6-IF((A71+40)&gt;=Model!$B$11,Model!$B$20,0)-IF(40&lt;Model!$B$15,Model!$B$22,0))/(1-Model!$B$9)/(1+Model!$B$18)^40))</f>
        <v/>
      </c>
      <c r="BC71" s="7">
        <f>IF(A71="","",IF((A71+41)&gt;Model!$B$4,0,MAX(0,Model!$B$6-IF((A71+41)&gt;=Model!$B$11,Model!$B$20,0)-IF(41&lt;Model!$B$15,Model!$B$22,0))/(1-Model!$B$9)/(1+Model!$B$18)^41))</f>
        <v/>
      </c>
      <c r="BD71" s="7">
        <f>IF(A71="","",IF((A71+42)&gt;Model!$B$4,0,MAX(0,Model!$B$6-IF((A71+42)&gt;=Model!$B$11,Model!$B$20,0)-IF(42&lt;Model!$B$15,Model!$B$22,0))/(1-Model!$B$9)/(1+Model!$B$18)^42))</f>
        <v/>
      </c>
      <c r="BE71" s="7">
        <f>IF(A71="","",IF((A71+43)&gt;Model!$B$4,0,MAX(0,Model!$B$6-IF((A71+43)&gt;=Model!$B$11,Model!$B$20,0)-IF(43&lt;Model!$B$15,Model!$B$22,0))/(1-Model!$B$9)/(1+Model!$B$18)^43))</f>
        <v/>
      </c>
      <c r="BF71" s="7">
        <f>IF(A71="","",IF((A71+44)&gt;Model!$B$4,0,MAX(0,Model!$B$6-IF((A71+44)&gt;=Model!$B$11,Model!$B$20,0)-IF(44&lt;Model!$B$15,Model!$B$22,0))/(1-Model!$B$9)/(1+Model!$B$18)^44))</f>
        <v/>
      </c>
      <c r="BG71" s="7">
        <f>IF(A71="","",IF((A71+45)&gt;Model!$B$4,0,MAX(0,Model!$B$6-IF((A71+45)&gt;=Model!$B$11,Model!$B$20,0)-IF(45&lt;Model!$B$15,Model!$B$22,0))/(1-Model!$B$9)/(1+Model!$B$18)^45))</f>
        <v/>
      </c>
      <c r="BH71" s="7">
        <f>IF(A71="","",IF((A71+46)&gt;Model!$B$4,0,MAX(0,Model!$B$6-IF((A71+46)&gt;=Model!$B$11,Model!$B$20,0)-IF(46&lt;Model!$B$15,Model!$B$22,0))/(1-Model!$B$9)/(1+Model!$B$18)^46))</f>
        <v/>
      </c>
      <c r="BI71" s="7">
        <f>IF(A71="","",IF((A71+47)&gt;Model!$B$4,0,MAX(0,Model!$B$6-IF((A71+47)&gt;=Model!$B$11,Model!$B$20,0)-IF(47&lt;Model!$B$15,Model!$B$22,0))/(1-Model!$B$9)/(1+Model!$B$18)^47))</f>
        <v/>
      </c>
      <c r="BJ71" s="7">
        <f>IF(A71="","",IF((A71+48)&gt;Model!$B$4,0,MAX(0,Model!$B$6-IF((A71+48)&gt;=Model!$B$11,Model!$B$20,0)-IF(48&lt;Model!$B$15,Model!$B$22,0))/(1-Model!$B$9)/(1+Model!$B$18)^48))</f>
        <v/>
      </c>
      <c r="BK71" s="7">
        <f>IF(A71="","",IF((A71+49)&gt;Model!$B$4,0,MAX(0,Model!$B$6-IF((A71+49)&gt;=Model!$B$11,Model!$B$20,0)-IF(49&lt;Model!$B$15,Model!$B$22,0))/(1-Model!$B$9)/(1+Model!$B$18)^49))</f>
        <v/>
      </c>
      <c r="BL71" s="7">
        <f>IF(A71="","",IF((A71+50)&gt;Model!$B$4,0,MAX(0,Model!$B$6-IF((A71+50)&gt;=Model!$B$11,Model!$B$20,0)-IF(50&lt;Model!$B$15,Model!$B$22,0))/(1-Model!$B$9)/(1+Model!$B$18)^50))</f>
        <v/>
      </c>
      <c r="BM71" s="7">
        <f>IF(A71="","",IF((A71+51)&gt;Model!$B$4,0,MAX(0,Model!$B$6-IF((A71+51)&gt;=Model!$B$11,Model!$B$20,0)-IF(51&lt;Model!$B$15,Model!$B$22,0))/(1-Model!$B$9)/(1+Model!$B$18)^51))</f>
        <v/>
      </c>
      <c r="BN71" s="7">
        <f>IF(A71="","",IF((A71+52)&gt;Model!$B$4,0,MAX(0,Model!$B$6-IF((A71+52)&gt;=Model!$B$11,Model!$B$20,0)-IF(52&lt;Model!$B$15,Model!$B$22,0))/(1-Model!$B$9)/(1+Model!$B$18)^52))</f>
        <v/>
      </c>
      <c r="BO71" s="7">
        <f>IF(A71="","",IF((A71+53)&gt;Model!$B$4,0,MAX(0,Model!$B$6-IF((A71+53)&gt;=Model!$B$11,Model!$B$20,0)-IF(53&lt;Model!$B$15,Model!$B$22,0))/(1-Model!$B$9)/(1+Model!$B$18)^53))</f>
        <v/>
      </c>
      <c r="BP71" s="7">
        <f>IF(A71="","",IF((A71+54)&gt;Model!$B$4,0,MAX(0,Model!$B$6-IF((A71+54)&gt;=Model!$B$11,Model!$B$20,0)-IF(54&lt;Model!$B$15,Model!$B$22,0))/(1-Model!$B$9)/(1+Model!$B$18)^54))</f>
        <v/>
      </c>
      <c r="BQ71" s="7">
        <f>IF(A71="","",IF((A71+55)&gt;Model!$B$4,0,MAX(0,Model!$B$6-IF((A71+55)&gt;=Model!$B$11,Model!$B$20,0)-IF(55&lt;Model!$B$15,Model!$B$22,0))/(1-Model!$B$9)/(1+Model!$B$18)^55))</f>
        <v/>
      </c>
      <c r="BR71" s="7">
        <f>IF(A71="","",IF((A71+56)&gt;Model!$B$4,0,MAX(0,Model!$B$6-IF((A71+56)&gt;=Model!$B$11,Model!$B$20,0)-IF(56&lt;Model!$B$15,Model!$B$22,0))/(1-Model!$B$9)/(1+Model!$B$18)^56))</f>
        <v/>
      </c>
      <c r="BS71" s="7">
        <f>IF(A71="","",IF((A71+57)&gt;Model!$B$4,0,MAX(0,Model!$B$6-IF((A71+57)&gt;=Model!$B$11,Model!$B$20,0)-IF(57&lt;Model!$B$15,Model!$B$22,0))/(1-Model!$B$9)/(1+Model!$B$18)^57))</f>
        <v/>
      </c>
      <c r="BT71" s="7">
        <f>IF(A71="","",IF((A71+58)&gt;Model!$B$4,0,MAX(0,Model!$B$6-IF((A71+58)&gt;=Model!$B$11,Model!$B$20,0)-IF(58&lt;Model!$B$15,Model!$B$22,0))/(1-Model!$B$9)/(1+Model!$B$18)^58))</f>
        <v/>
      </c>
      <c r="BU71" s="7">
        <f>IF(A71="","",IF((A71+59)&gt;Model!$B$4,0,MAX(0,Model!$B$6-IF((A71+59)&gt;=Model!$B$11,Model!$B$20,0)-IF(59&lt;Model!$B$15,Model!$B$22,0))/(1-Model!$B$9)/(1+Model!$B$18)^59))</f>
        <v/>
      </c>
      <c r="BV71" s="7">
        <f>IF(A71="","",IF((A71+60)&gt;Model!$B$4,0,MAX(0,Model!$B$6-IF((A71+60)&gt;=Model!$B$11,Model!$B$20,0)-IF(60&lt;Model!$B$15,Model!$B$22,0))/(1-Model!$B$9)/(1+Model!$B$18)^60))</f>
        <v/>
      </c>
      <c r="BW71" s="7">
        <f>IF(A71="","",IF((A71+61)&gt;Model!$B$4,0,MAX(0,Model!$B$6-IF((A71+61)&gt;=Model!$B$11,Model!$B$20,0)-IF(61&lt;Model!$B$15,Model!$B$22,0))/(1-Model!$B$9)/(1+Model!$B$18)^61))</f>
        <v/>
      </c>
      <c r="BX71" s="7">
        <f>IF(A71="","",IF((A71+62)&gt;Model!$B$4,0,MAX(0,Model!$B$6-IF((A71+62)&gt;=Model!$B$11,Model!$B$20,0)-IF(62&lt;Model!$B$15,Model!$B$22,0))/(1-Model!$B$9)/(1+Model!$B$18)^62))</f>
        <v/>
      </c>
      <c r="BY71" s="7">
        <f>IF(A71="","",IF((A71+63)&gt;Model!$B$4,0,MAX(0,Model!$B$6-IF((A71+63)&gt;=Model!$B$11,Model!$B$20,0)-IF(63&lt;Model!$B$15,Model!$B$22,0))/(1-Model!$B$9)/(1+Model!$B$18)^63))</f>
        <v/>
      </c>
      <c r="BZ71" s="7">
        <f>IF(A71="","",IF((A71+64)&gt;Model!$B$4,0,MAX(0,Model!$B$6-IF((A71+64)&gt;=Model!$B$11,Model!$B$20,0)-IF(64&lt;Model!$B$15,Model!$B$22,0))/(1-Model!$B$9)/(1+Model!$B$18)^64))</f>
        <v/>
      </c>
      <c r="CA71" s="7">
        <f>IF(A71="","",IF((A71+65)&gt;Model!$B$4,0,MAX(0,Model!$B$6-IF((A71+65)&gt;=Model!$B$11,Model!$B$20,0)-IF(65&lt;Model!$B$15,Model!$B$22,0))/(1-Model!$B$9)/(1+Model!$B$18)^65))</f>
        <v/>
      </c>
      <c r="CB71" s="7">
        <f>IF(A71="","",IF((A71+66)&gt;Model!$B$4,0,MAX(0,Model!$B$6-IF((A71+66)&gt;=Model!$B$11,Model!$B$20,0)-IF(66&lt;Model!$B$15,Model!$B$22,0))/(1-Model!$B$9)/(1+Model!$B$18)^66))</f>
        <v/>
      </c>
      <c r="CC71" s="7">
        <f>IF(A71="","",IF((A71+67)&gt;Model!$B$4,0,MAX(0,Model!$B$6-IF((A71+67)&gt;=Model!$B$11,Model!$B$20,0)-IF(67&lt;Model!$B$15,Model!$B$22,0))/(1-Model!$B$9)/(1+Model!$B$18)^67))</f>
        <v/>
      </c>
      <c r="CD71" s="7">
        <f>IF(A71="","",IF((A71+68)&gt;Model!$B$4,0,MAX(0,Model!$B$6-IF((A71+68)&gt;=Model!$B$11,Model!$B$20,0)-IF(68&lt;Model!$B$15,Model!$B$22,0))/(1-Model!$B$9)/(1+Model!$B$18)^68))</f>
        <v/>
      </c>
      <c r="CE71" s="7">
        <f>IF(A71="","",IF((A71+69)&gt;Model!$B$4,0,MAX(0,Model!$B$6-IF((A71+69)&gt;=Model!$B$11,Model!$B$20,0)-IF(69&lt;Model!$B$15,Model!$B$22,0))/(1-Model!$B$9)/(1+Model!$B$18)^69))</f>
        <v/>
      </c>
      <c r="CF71" s="7">
        <f>IF(A71="","",IF((A71+70)&gt;Model!$B$4,0,MAX(0,Model!$B$6-IF((A71+70)&gt;=Model!$B$11,Model!$B$20,0)-IF(70&lt;Model!$B$15,Model!$B$22,0))/(1-Model!$B$9)/(1+Model!$B$18)^70))</f>
        <v/>
      </c>
      <c r="CG71" s="7">
        <f>IF(A71="","",IF((A71+71)&gt;Model!$B$4,0,MAX(0,Model!$B$6-IF((A71+71)&gt;=Model!$B$11,Model!$B$20,0)-IF(71&lt;Model!$B$15,Model!$B$22,0))/(1-Model!$B$9)/(1+Model!$B$18)^71))</f>
        <v/>
      </c>
      <c r="CH71" s="7">
        <f>IF(A71="","",IF((A71+72)&gt;Model!$B$4,0,MAX(0,Model!$B$6-IF((A71+72)&gt;=Model!$B$11,Model!$B$20,0)-IF(72&lt;Model!$B$15,Model!$B$22,0))/(1-Model!$B$9)/(1+Model!$B$18)^72))</f>
        <v/>
      </c>
      <c r="CI71" s="7">
        <f>IF(A71="","",IF((A71+73)&gt;Model!$B$4,0,MAX(0,Model!$B$6-IF((A71+73)&gt;=Model!$B$11,Model!$B$20,0)-IF(73&lt;Model!$B$15,Model!$B$22,0))/(1-Model!$B$9)/(1+Model!$B$18)^73))</f>
        <v/>
      </c>
      <c r="CJ71" s="7">
        <f>IF(A71="","",IF((A71+74)&gt;Model!$B$4,0,MAX(0,Model!$B$6-IF((A71+74)&gt;=Model!$B$11,Model!$B$20,0)-IF(74&lt;Model!$B$15,Model!$B$22,0))/(1-Model!$B$9)/(1+Model!$B$18)^74))</f>
        <v/>
      </c>
      <c r="CK71" s="7">
        <f>IF(A71="","",IF((A71+75)&gt;Model!$B$4,0,MAX(0,Model!$B$6-IF((A71+75)&gt;=Model!$B$11,Model!$B$20,0)-IF(75&lt;Model!$B$15,Model!$B$22,0))/(1-Model!$B$9)/(1+Model!$B$18)^75))</f>
        <v/>
      </c>
      <c r="CL71" s="7">
        <f>IF(A71="","",IF((A71+76)&gt;Model!$B$4,0,MAX(0,Model!$B$6-IF((A71+76)&gt;=Model!$B$11,Model!$B$20,0)-IF(76&lt;Model!$B$15,Model!$B$22,0))/(1-Model!$B$9)/(1+Model!$B$18)^76))</f>
        <v/>
      </c>
      <c r="CM71" s="7">
        <f>IF(A71="","",IF((A71+77)&gt;Model!$B$4,0,MAX(0,Model!$B$6-IF((A71+77)&gt;=Model!$B$11,Model!$B$20,0)-IF(77&lt;Model!$B$15,Model!$B$22,0))/(1-Model!$B$9)/(1+Model!$B$18)^77))</f>
        <v/>
      </c>
      <c r="CN71" s="7">
        <f>IF(A71="","",IF((A71+78)&gt;Model!$B$4,0,MAX(0,Model!$B$6-IF((A71+78)&gt;=Model!$B$11,Model!$B$20,0)-IF(78&lt;Model!$B$15,Model!$B$22,0))/(1-Model!$B$9)/(1+Model!$B$18)^78))</f>
        <v/>
      </c>
      <c r="CO71" s="7">
        <f>IF(A71="","",IF((A71+79)&gt;Model!$B$4,0,MAX(0,Model!$B$6-IF((A71+79)&gt;=Model!$B$11,Model!$B$20,0)-IF(79&lt;Model!$B$15,Model!$B$22,0))/(1-Model!$B$9)/(1+Model!$B$18)^79))</f>
        <v/>
      </c>
      <c r="CP71" s="7">
        <f>IF(A71="","",IF((A71+80)&gt;Model!$B$4,0,MAX(0,Model!$B$6-IF((A71+80)&gt;=Model!$B$11,Model!$B$20,0)-IF(80&lt;Model!$B$15,Model!$B$22,0))/(1-Model!$B$9)/(1+Model!$B$18)^80))</f>
        <v/>
      </c>
      <c r="CQ71" s="7">
        <f>IF(A71="","",IF((A71+81)&gt;Model!$B$4,0,MAX(0,Model!$B$6-IF((A71+81)&gt;=Model!$B$11,Model!$B$20,0)-IF(81&lt;Model!$B$15,Model!$B$22,0))/(1-Model!$B$9)/(1+Model!$B$18)^81))</f>
        <v/>
      </c>
      <c r="CR71" s="7">
        <f>IF(A71="","",IF((A71+82)&gt;Model!$B$4,0,MAX(0,Model!$B$6-IF((A71+82)&gt;=Model!$B$11,Model!$B$20,0)-IF(82&lt;Model!$B$15,Model!$B$22,0))/(1-Model!$B$9)/(1+Model!$B$18)^82))</f>
        <v/>
      </c>
      <c r="CS71" s="7">
        <f>IF(A71="","",IF((A71+83)&gt;Model!$B$4,0,MAX(0,Model!$B$6-IF((A71+83)&gt;=Model!$B$11,Model!$B$20,0)-IF(83&lt;Model!$B$15,Model!$B$22,0))/(1-Model!$B$9)/(1+Model!$B$18)^83))</f>
        <v/>
      </c>
      <c r="CT71" s="7">
        <f>IF(A71="","",IF((A71+84)&gt;Model!$B$4,0,MAX(0,Model!$B$6-IF((A71+84)&gt;=Model!$B$11,Model!$B$20,0)-IF(84&lt;Model!$B$15,Model!$B$22,0))/(1-Model!$B$9)/(1+Model!$B$18)^84))</f>
        <v/>
      </c>
      <c r="CU71" s="7">
        <f>IF(A71="","",IF((A71+85)&gt;Model!$B$4,0,MAX(0,Model!$B$6-IF((A71+85)&gt;=Model!$B$11,Model!$B$20,0)-IF(85&lt;Model!$B$15,Model!$B$22,0))/(1-Model!$B$9)/(1+Model!$B$18)^85))</f>
        <v/>
      </c>
      <c r="CV71" s="7">
        <f>IF(A71="","",IF((A71+86)&gt;Model!$B$4,0,MAX(0,Model!$B$6-IF((A71+86)&gt;=Model!$B$11,Model!$B$20,0)-IF(86&lt;Model!$B$15,Model!$B$22,0))/(1-Model!$B$9)/(1+Model!$B$18)^86))</f>
        <v/>
      </c>
      <c r="CW71" s="7">
        <f>IF(A71="","",IF((A71+87)&gt;Model!$B$4,0,MAX(0,Model!$B$6-IF((A71+87)&gt;=Model!$B$11,Model!$B$20,0)-IF(87&lt;Model!$B$15,Model!$B$22,0))/(1-Model!$B$9)/(1+Model!$B$18)^87))</f>
        <v/>
      </c>
      <c r="CX71" s="7">
        <f>IF(A71="","",IF((A71+88)&gt;Model!$B$4,0,MAX(0,Model!$B$6-IF((A71+88)&gt;=Model!$B$11,Model!$B$20,0)-IF(88&lt;Model!$B$15,Model!$B$22,0))/(1-Model!$B$9)/(1+Model!$B$18)^88))</f>
        <v/>
      </c>
      <c r="CY71" s="7">
        <f>IF(A71="","",IF((A71+89)&gt;Model!$B$4,0,MAX(0,Model!$B$6-IF((A71+89)&gt;=Model!$B$11,Model!$B$20,0)-IF(89&lt;Model!$B$15,Model!$B$22,0))/(1-Model!$B$9)/(1+Model!$B$18)^89))</f>
        <v/>
      </c>
      <c r="CZ71" s="7">
        <f>IF(A71="","",IF((A71+90)&gt;Model!$B$4,0,MAX(0,Model!$B$6-IF((A71+90)&gt;=Model!$B$11,Model!$B$20,0)-IF(90&lt;Model!$B$15,Model!$B$22,0))/(1-Model!$B$9)/(1+Model!$B$18)^90))</f>
        <v/>
      </c>
      <c r="DA71" s="7">
        <f>IF(A71="","",IF((A71+91)&gt;Model!$B$4,0,MAX(0,Model!$B$6-IF((A71+91)&gt;=Model!$B$11,Model!$B$20,0)-IF(91&lt;Model!$B$15,Model!$B$22,0))/(1-Model!$B$9)/(1+Model!$B$18)^91))</f>
        <v/>
      </c>
      <c r="DB71" s="7">
        <f>IF(A71="","",IF((A71+92)&gt;Model!$B$4,0,MAX(0,Model!$B$6-IF((A71+92)&gt;=Model!$B$11,Model!$B$20,0)-IF(92&lt;Model!$B$15,Model!$B$22,0))/(1-Model!$B$9)/(1+Model!$B$18)^92))</f>
        <v/>
      </c>
      <c r="DC71" s="7">
        <f>IF(A71="","",IF((A71+93)&gt;Model!$B$4,0,MAX(0,Model!$B$6-IF((A71+93)&gt;=Model!$B$11,Model!$B$20,0)-IF(93&lt;Model!$B$15,Model!$B$22,0))/(1-Model!$B$9)/(1+Model!$B$18)^93))</f>
        <v/>
      </c>
      <c r="DD71" s="7">
        <f>IF(A71="","",IF((A71+94)&gt;Model!$B$4,0,MAX(0,Model!$B$6-IF((A71+94)&gt;=Model!$B$11,Model!$B$20,0)-IF(94&lt;Model!$B$15,Model!$B$22,0))/(1-Model!$B$9)/(1+Model!$B$18)^94))</f>
        <v/>
      </c>
      <c r="DE71" s="7">
        <f>IF(A71="","",IF((A71+95)&gt;Model!$B$4,0,MAX(0,Model!$B$6-IF((A71+95)&gt;=Model!$B$11,Model!$B$20,0)-IF(95&lt;Model!$B$15,Model!$B$22,0))/(1-Model!$B$9)/(1+Model!$B$18)^95))</f>
        <v/>
      </c>
      <c r="DF71" s="7">
        <f>IF(A71="","",IF((A71+96)&gt;Model!$B$4,0,MAX(0,Model!$B$6-IF((A71+96)&gt;=Model!$B$11,Model!$B$20,0)-IF(96&lt;Model!$B$15,Model!$B$22,0))/(1-Model!$B$9)/(1+Model!$B$18)^96))</f>
        <v/>
      </c>
      <c r="DG71" s="7">
        <f>IF(A71="","",IF((A71+97)&gt;Model!$B$4,0,MAX(0,Model!$B$6-IF((A71+97)&gt;=Model!$B$11,Model!$B$20,0)-IF(97&lt;Model!$B$15,Model!$B$22,0))/(1-Model!$B$9)/(1+Model!$B$18)^97))</f>
        <v/>
      </c>
      <c r="DH71" s="7">
        <f>IF(A71="","",IF((A71+98)&gt;Model!$B$4,0,MAX(0,Model!$B$6-IF((A71+98)&gt;=Model!$B$11,Model!$B$20,0)-IF(98&lt;Model!$B$15,Model!$B$22,0))/(1-Model!$B$9)/(1+Model!$B$18)^98))</f>
        <v/>
      </c>
      <c r="DI71" s="7">
        <f>IF(A71="","",IF((A71+99)&gt;Model!$B$4,0,MAX(0,Model!$B$6-IF((A71+99)&gt;=Model!$B$11,Model!$B$20,0)-IF(99&lt;Model!$B$15,Model!$B$22,0))/(1-Model!$B$9)/(1+Model!$B$18)^99))</f>
        <v/>
      </c>
      <c r="DJ71" s="7">
        <f>IF(A71="","",IF((A71+100)&gt;Model!$B$4,0,MAX(0,Model!$B$6-IF((A71+100)&gt;=Model!$B$11,Model!$B$20,0)-IF(100&lt;Model!$B$15,Model!$B$22,0))/(1-Model!$B$9)/(1+Model!$B$18)^100))</f>
        <v/>
      </c>
      <c r="DK71" s="7">
        <f>IF(A71="","",IF((A71+101)&gt;Model!$B$4,0,MAX(0,Model!$B$6-IF((A71+101)&gt;=Model!$B$11,Model!$B$20,0)-IF(101&lt;Model!$B$15,Model!$B$22,0))/(1-Model!$B$9)/(1+Model!$B$18)^101))</f>
        <v/>
      </c>
      <c r="DL71" s="7">
        <f>IF(A71="","",IF((A71+102)&gt;Model!$B$4,0,MAX(0,Model!$B$6-IF((A71+102)&gt;=Model!$B$11,Model!$B$20,0)-IF(102&lt;Model!$B$15,Model!$B$22,0))/(1-Model!$B$9)/(1+Model!$B$18)^102))</f>
        <v/>
      </c>
      <c r="DM71" s="7">
        <f>IF(A71="","",IF((A71+103)&gt;Model!$B$4,0,MAX(0,Model!$B$6-IF((A71+103)&gt;=Model!$B$11,Model!$B$20,0)-IF(103&lt;Model!$B$15,Model!$B$22,0))/(1-Model!$B$9)/(1+Model!$B$18)^103))</f>
        <v/>
      </c>
      <c r="DN71" s="7">
        <f>IF(A71="","",IF((A71+104)&gt;Model!$B$4,0,MAX(0,Model!$B$6-IF((A71+104)&gt;=Model!$B$11,Model!$B$20,0)-IF(104&lt;Model!$B$15,Model!$B$22,0))/(1-Model!$B$9)/(1+Model!$B$18)^104))</f>
        <v/>
      </c>
      <c r="DO71" s="7">
        <f>IF(A71="","",IF((A71+105)&gt;Model!$B$4,0,MAX(0,Model!$B$6-IF((A71+105)&gt;=Model!$B$11,Model!$B$20,0)-IF(105&lt;Model!$B$15,Model!$B$22,0))/(1-Model!$B$9)/(1+Model!$B$18)^105))</f>
        <v/>
      </c>
      <c r="DP71" s="7">
        <f>IF(A71="","",IF((A71+106)&gt;Model!$B$4,0,MAX(0,Model!$B$6-IF((A71+106)&gt;=Model!$B$11,Model!$B$20,0)-IF(106&lt;Model!$B$15,Model!$B$22,0))/(1-Model!$B$9)/(1+Model!$B$18)^106))</f>
        <v/>
      </c>
      <c r="DQ71" s="7">
        <f>IF(A71="","",IF((A71+107)&gt;Model!$B$4,0,MAX(0,Model!$B$6-IF((A71+107)&gt;=Model!$B$11,Model!$B$20,0)-IF(107&lt;Model!$B$15,Model!$B$22,0))/(1-Model!$B$9)/(1+Model!$B$18)^107))</f>
        <v/>
      </c>
      <c r="DR71" s="7">
        <f>IF(A71="","",IF((A71+108)&gt;Model!$B$4,0,MAX(0,Model!$B$6-IF((A71+108)&gt;=Model!$B$11,Model!$B$20,0)-IF(108&lt;Model!$B$15,Model!$B$22,0))/(1-Model!$B$9)/(1+Model!$B$18)^108))</f>
        <v/>
      </c>
      <c r="DS71" s="7">
        <f>IF(A71="","",IF((A71+109)&gt;Model!$B$4,0,MAX(0,Model!$B$6-IF((A71+109)&gt;=Model!$B$11,Model!$B$20,0)-IF(109&lt;Model!$B$15,Model!$B$22,0))/(1-Model!$B$9)/(1+Model!$B$18)^109))</f>
        <v/>
      </c>
      <c r="DT71" s="7">
        <f>IF(A71="","",IF((A71+110)&gt;Model!$B$4,0,MAX(0,Model!$B$6-IF((A71+110)&gt;=Model!$B$11,Model!$B$20,0)-IF(110&lt;Model!$B$15,Model!$B$22,0))/(1-Model!$B$9)/(1+Model!$B$18)^110))</f>
        <v/>
      </c>
      <c r="DU71" s="7">
        <f>IF(A71="","",IF((A71+111)&gt;Model!$B$4,0,MAX(0,Model!$B$6-IF((A71+111)&gt;=Model!$B$11,Model!$B$20,0)-IF(111&lt;Model!$B$15,Model!$B$22,0))/(1-Model!$B$9)/(1+Model!$B$18)^111))</f>
        <v/>
      </c>
      <c r="DV71" s="7">
        <f>IF(A71="","",IF((A71+112)&gt;Model!$B$4,0,MAX(0,Model!$B$6-IF((A71+112)&gt;=Model!$B$11,Model!$B$20,0)-IF(112&lt;Model!$B$15,Model!$B$22,0))/(1-Model!$B$9)/(1+Model!$B$18)^112))</f>
        <v/>
      </c>
      <c r="DW71" s="7">
        <f>IF(A71="","",IF((A71+113)&gt;Model!$B$4,0,MAX(0,Model!$B$6-IF((A71+113)&gt;=Model!$B$11,Model!$B$20,0)-IF(113&lt;Model!$B$15,Model!$B$22,0))/(1-Model!$B$9)/(1+Model!$B$18)^113))</f>
        <v/>
      </c>
      <c r="DX71" s="7">
        <f>IF(A71="","",IF((A71+114)&gt;Model!$B$4,0,MAX(0,Model!$B$6-IF((A71+114)&gt;=Model!$B$11,Model!$B$20,0)-IF(114&lt;Model!$B$15,Model!$B$22,0))/(1-Model!$B$9)/(1+Model!$B$18)^114))</f>
        <v/>
      </c>
      <c r="DY71" s="7">
        <f>IF(A71="","",IF((A71+115)&gt;Model!$B$4,0,MAX(0,Model!$B$6-IF((A71+115)&gt;=Model!$B$11,Model!$B$20,0)-IF(115&lt;Model!$B$15,Model!$B$22,0))/(1-Model!$B$9)/(1+Model!$B$18)^115))</f>
        <v/>
      </c>
      <c r="DZ71" s="7">
        <f>IF(A71="","",IF((A71+116)&gt;Model!$B$4,0,MAX(0,Model!$B$6-IF((A71+116)&gt;=Model!$B$11,Model!$B$20,0)-IF(116&lt;Model!$B$15,Model!$B$22,0))/(1-Model!$B$9)/(1+Model!$B$18)^116))</f>
        <v/>
      </c>
      <c r="EA71" s="7">
        <f>IF(A71="","",IF((A71+117)&gt;Model!$B$4,0,MAX(0,Model!$B$6-IF((A71+117)&gt;=Model!$B$11,Model!$B$20,0)-IF(117&lt;Model!$B$15,Model!$B$22,0))/(1-Model!$B$9)/(1+Model!$B$18)^117))</f>
        <v/>
      </c>
      <c r="EB71" s="7">
        <f>IF(A71="","",IF((A71+118)&gt;Model!$B$4,0,MAX(0,Model!$B$6-IF((A71+118)&gt;=Model!$B$11,Model!$B$20,0)-IF(118&lt;Model!$B$15,Model!$B$22,0))/(1-Model!$B$9)/(1+Model!$B$18)^118))</f>
        <v/>
      </c>
      <c r="EC71" s="7">
        <f>IF(A71="","",IF((A71+119)&gt;Model!$B$4,0,MAX(0,Model!$B$6-IF((A71+119)&gt;=Model!$B$11,Model!$B$20,0)-IF(119&lt;Model!$B$15,Model!$B$22,0))/(1-Model!$B$9)/(1+Model!$B$18)^119))</f>
        <v/>
      </c>
      <c r="ED71" s="7">
        <f>IF(A71="","",IF((A71+120)&gt;Model!$B$4,0,MAX(0,Model!$B$6-IF((A71+120)&gt;=Model!$B$11,Model!$B$20,0)-IF(120&lt;Model!$B$15,Model!$B$22,0))/(1-Model!$B$9)/(1+Model!$B$18)^120))</f>
        <v/>
      </c>
    </row>
    <row r="72">
      <c r="A72">
        <f>IF(Model!$B$10+ROW()-2&lt;=Model!$B$4,Model!$B$10+ROW()-2,"")</f>
        <v/>
      </c>
      <c r="B72">
        <f>IF(A72="","",A72-Model!$B$10)</f>
        <v/>
      </c>
      <c r="C72" s="7">
        <f>IF(A72="","",Model!$B$5*(1+Model!$B$18)^B72)</f>
        <v/>
      </c>
      <c r="D72" s="7">
        <f>IF(A72="","",SUM(N72:ED72))</f>
        <v/>
      </c>
      <c r="E72" s="7">
        <f>IF(A72="","",IF(A72&gt;=Model!$B$11,Model!$B$20,0))</f>
        <v/>
      </c>
      <c r="F72" s="7">
        <f>IF(A72="","",IF(Model!$B$15&gt;0,Model!$B$22,0))</f>
        <v/>
      </c>
      <c r="G72" s="7">
        <f>IF(A72="","",E72+F72)</f>
        <v/>
      </c>
      <c r="H72" s="7">
        <f>IF(A72="","",MAX(0,Model!$B$6-G72))</f>
        <v/>
      </c>
      <c r="I72" s="7">
        <f>IF(A72="","",H72/(1-Model!$B$9))</f>
        <v/>
      </c>
      <c r="J72" s="7">
        <f>IF(A72="","",C72-D72)</f>
        <v/>
      </c>
      <c r="K72">
        <f>IF(A72="","",C72&gt;=D72)</f>
        <v/>
      </c>
      <c r="L72" s="7">
        <f>IF(A72="","",IF(A72&gt;=Model!$B$11,Model!$B$19*(1+Model!$B$13)^B72,0))</f>
        <v/>
      </c>
      <c r="M72" s="7">
        <f>IF(A72="","",IF(Model!$B$15&gt;0,Model!$B$21*(1+Model!$B$13)^B72,0))</f>
        <v/>
      </c>
      <c r="N72" s="7">
        <f>IF(A72="","",IF((A72+0)&gt;Model!$B$4,0,MAX(0,Model!$B$6-IF((A72+0)&gt;=Model!$B$11,Model!$B$20,0)-IF(0&lt;Model!$B$15,Model!$B$22,0))/(1-Model!$B$9)/(1+Model!$B$18)^0))</f>
        <v/>
      </c>
      <c r="O72" s="7">
        <f>IF(A72="","",IF((A72+1)&gt;Model!$B$4,0,MAX(0,Model!$B$6-IF((A72+1)&gt;=Model!$B$11,Model!$B$20,0)-IF(1&lt;Model!$B$15,Model!$B$22,0))/(1-Model!$B$9)/(1+Model!$B$18)^1))</f>
        <v/>
      </c>
      <c r="P72" s="7">
        <f>IF(A72="","",IF((A72+2)&gt;Model!$B$4,0,MAX(0,Model!$B$6-IF((A72+2)&gt;=Model!$B$11,Model!$B$20,0)-IF(2&lt;Model!$B$15,Model!$B$22,0))/(1-Model!$B$9)/(1+Model!$B$18)^2))</f>
        <v/>
      </c>
      <c r="Q72" s="7">
        <f>IF(A72="","",IF((A72+3)&gt;Model!$B$4,0,MAX(0,Model!$B$6-IF((A72+3)&gt;=Model!$B$11,Model!$B$20,0)-IF(3&lt;Model!$B$15,Model!$B$22,0))/(1-Model!$B$9)/(1+Model!$B$18)^3))</f>
        <v/>
      </c>
      <c r="R72" s="7">
        <f>IF(A72="","",IF((A72+4)&gt;Model!$B$4,0,MAX(0,Model!$B$6-IF((A72+4)&gt;=Model!$B$11,Model!$B$20,0)-IF(4&lt;Model!$B$15,Model!$B$22,0))/(1-Model!$B$9)/(1+Model!$B$18)^4))</f>
        <v/>
      </c>
      <c r="S72" s="7">
        <f>IF(A72="","",IF((A72+5)&gt;Model!$B$4,0,MAX(0,Model!$B$6-IF((A72+5)&gt;=Model!$B$11,Model!$B$20,0)-IF(5&lt;Model!$B$15,Model!$B$22,0))/(1-Model!$B$9)/(1+Model!$B$18)^5))</f>
        <v/>
      </c>
      <c r="T72" s="7">
        <f>IF(A72="","",IF((A72+6)&gt;Model!$B$4,0,MAX(0,Model!$B$6-IF((A72+6)&gt;=Model!$B$11,Model!$B$20,0)-IF(6&lt;Model!$B$15,Model!$B$22,0))/(1-Model!$B$9)/(1+Model!$B$18)^6))</f>
        <v/>
      </c>
      <c r="U72" s="7">
        <f>IF(A72="","",IF((A72+7)&gt;Model!$B$4,0,MAX(0,Model!$B$6-IF((A72+7)&gt;=Model!$B$11,Model!$B$20,0)-IF(7&lt;Model!$B$15,Model!$B$22,0))/(1-Model!$B$9)/(1+Model!$B$18)^7))</f>
        <v/>
      </c>
      <c r="V72" s="7">
        <f>IF(A72="","",IF((A72+8)&gt;Model!$B$4,0,MAX(0,Model!$B$6-IF((A72+8)&gt;=Model!$B$11,Model!$B$20,0)-IF(8&lt;Model!$B$15,Model!$B$22,0))/(1-Model!$B$9)/(1+Model!$B$18)^8))</f>
        <v/>
      </c>
      <c r="W72" s="7">
        <f>IF(A72="","",IF((A72+9)&gt;Model!$B$4,0,MAX(0,Model!$B$6-IF((A72+9)&gt;=Model!$B$11,Model!$B$20,0)-IF(9&lt;Model!$B$15,Model!$B$22,0))/(1-Model!$B$9)/(1+Model!$B$18)^9))</f>
        <v/>
      </c>
      <c r="X72" s="7">
        <f>IF(A72="","",IF((A72+10)&gt;Model!$B$4,0,MAX(0,Model!$B$6-IF((A72+10)&gt;=Model!$B$11,Model!$B$20,0)-IF(10&lt;Model!$B$15,Model!$B$22,0))/(1-Model!$B$9)/(1+Model!$B$18)^10))</f>
        <v/>
      </c>
      <c r="Y72" s="7">
        <f>IF(A72="","",IF((A72+11)&gt;Model!$B$4,0,MAX(0,Model!$B$6-IF((A72+11)&gt;=Model!$B$11,Model!$B$20,0)-IF(11&lt;Model!$B$15,Model!$B$22,0))/(1-Model!$B$9)/(1+Model!$B$18)^11))</f>
        <v/>
      </c>
      <c r="Z72" s="7">
        <f>IF(A72="","",IF((A72+12)&gt;Model!$B$4,0,MAX(0,Model!$B$6-IF((A72+12)&gt;=Model!$B$11,Model!$B$20,0)-IF(12&lt;Model!$B$15,Model!$B$22,0))/(1-Model!$B$9)/(1+Model!$B$18)^12))</f>
        <v/>
      </c>
      <c r="AA72" s="7">
        <f>IF(A72="","",IF((A72+13)&gt;Model!$B$4,0,MAX(0,Model!$B$6-IF((A72+13)&gt;=Model!$B$11,Model!$B$20,0)-IF(13&lt;Model!$B$15,Model!$B$22,0))/(1-Model!$B$9)/(1+Model!$B$18)^13))</f>
        <v/>
      </c>
      <c r="AB72" s="7">
        <f>IF(A72="","",IF((A72+14)&gt;Model!$B$4,0,MAX(0,Model!$B$6-IF((A72+14)&gt;=Model!$B$11,Model!$B$20,0)-IF(14&lt;Model!$B$15,Model!$B$22,0))/(1-Model!$B$9)/(1+Model!$B$18)^14))</f>
        <v/>
      </c>
      <c r="AC72" s="7">
        <f>IF(A72="","",IF((A72+15)&gt;Model!$B$4,0,MAX(0,Model!$B$6-IF((A72+15)&gt;=Model!$B$11,Model!$B$20,0)-IF(15&lt;Model!$B$15,Model!$B$22,0))/(1-Model!$B$9)/(1+Model!$B$18)^15))</f>
        <v/>
      </c>
      <c r="AD72" s="7">
        <f>IF(A72="","",IF((A72+16)&gt;Model!$B$4,0,MAX(0,Model!$B$6-IF((A72+16)&gt;=Model!$B$11,Model!$B$20,0)-IF(16&lt;Model!$B$15,Model!$B$22,0))/(1-Model!$B$9)/(1+Model!$B$18)^16))</f>
        <v/>
      </c>
      <c r="AE72" s="7">
        <f>IF(A72="","",IF((A72+17)&gt;Model!$B$4,0,MAX(0,Model!$B$6-IF((A72+17)&gt;=Model!$B$11,Model!$B$20,0)-IF(17&lt;Model!$B$15,Model!$B$22,0))/(1-Model!$B$9)/(1+Model!$B$18)^17))</f>
        <v/>
      </c>
      <c r="AF72" s="7">
        <f>IF(A72="","",IF((A72+18)&gt;Model!$B$4,0,MAX(0,Model!$B$6-IF((A72+18)&gt;=Model!$B$11,Model!$B$20,0)-IF(18&lt;Model!$B$15,Model!$B$22,0))/(1-Model!$B$9)/(1+Model!$B$18)^18))</f>
        <v/>
      </c>
      <c r="AG72" s="7">
        <f>IF(A72="","",IF((A72+19)&gt;Model!$B$4,0,MAX(0,Model!$B$6-IF((A72+19)&gt;=Model!$B$11,Model!$B$20,0)-IF(19&lt;Model!$B$15,Model!$B$22,0))/(1-Model!$B$9)/(1+Model!$B$18)^19))</f>
        <v/>
      </c>
      <c r="AH72" s="7">
        <f>IF(A72="","",IF((A72+20)&gt;Model!$B$4,0,MAX(0,Model!$B$6-IF((A72+20)&gt;=Model!$B$11,Model!$B$20,0)-IF(20&lt;Model!$B$15,Model!$B$22,0))/(1-Model!$B$9)/(1+Model!$B$18)^20))</f>
        <v/>
      </c>
      <c r="AI72" s="7">
        <f>IF(A72="","",IF((A72+21)&gt;Model!$B$4,0,MAX(0,Model!$B$6-IF((A72+21)&gt;=Model!$B$11,Model!$B$20,0)-IF(21&lt;Model!$B$15,Model!$B$22,0))/(1-Model!$B$9)/(1+Model!$B$18)^21))</f>
        <v/>
      </c>
      <c r="AJ72" s="7">
        <f>IF(A72="","",IF((A72+22)&gt;Model!$B$4,0,MAX(0,Model!$B$6-IF((A72+22)&gt;=Model!$B$11,Model!$B$20,0)-IF(22&lt;Model!$B$15,Model!$B$22,0))/(1-Model!$B$9)/(1+Model!$B$18)^22))</f>
        <v/>
      </c>
      <c r="AK72" s="7">
        <f>IF(A72="","",IF((A72+23)&gt;Model!$B$4,0,MAX(0,Model!$B$6-IF((A72+23)&gt;=Model!$B$11,Model!$B$20,0)-IF(23&lt;Model!$B$15,Model!$B$22,0))/(1-Model!$B$9)/(1+Model!$B$18)^23))</f>
        <v/>
      </c>
      <c r="AL72" s="7">
        <f>IF(A72="","",IF((A72+24)&gt;Model!$B$4,0,MAX(0,Model!$B$6-IF((A72+24)&gt;=Model!$B$11,Model!$B$20,0)-IF(24&lt;Model!$B$15,Model!$B$22,0))/(1-Model!$B$9)/(1+Model!$B$18)^24))</f>
        <v/>
      </c>
      <c r="AM72" s="7">
        <f>IF(A72="","",IF((A72+25)&gt;Model!$B$4,0,MAX(0,Model!$B$6-IF((A72+25)&gt;=Model!$B$11,Model!$B$20,0)-IF(25&lt;Model!$B$15,Model!$B$22,0))/(1-Model!$B$9)/(1+Model!$B$18)^25))</f>
        <v/>
      </c>
      <c r="AN72" s="7">
        <f>IF(A72="","",IF((A72+26)&gt;Model!$B$4,0,MAX(0,Model!$B$6-IF((A72+26)&gt;=Model!$B$11,Model!$B$20,0)-IF(26&lt;Model!$B$15,Model!$B$22,0))/(1-Model!$B$9)/(1+Model!$B$18)^26))</f>
        <v/>
      </c>
      <c r="AO72" s="7">
        <f>IF(A72="","",IF((A72+27)&gt;Model!$B$4,0,MAX(0,Model!$B$6-IF((A72+27)&gt;=Model!$B$11,Model!$B$20,0)-IF(27&lt;Model!$B$15,Model!$B$22,0))/(1-Model!$B$9)/(1+Model!$B$18)^27))</f>
        <v/>
      </c>
      <c r="AP72" s="7">
        <f>IF(A72="","",IF((A72+28)&gt;Model!$B$4,0,MAX(0,Model!$B$6-IF((A72+28)&gt;=Model!$B$11,Model!$B$20,0)-IF(28&lt;Model!$B$15,Model!$B$22,0))/(1-Model!$B$9)/(1+Model!$B$18)^28))</f>
        <v/>
      </c>
      <c r="AQ72" s="7">
        <f>IF(A72="","",IF((A72+29)&gt;Model!$B$4,0,MAX(0,Model!$B$6-IF((A72+29)&gt;=Model!$B$11,Model!$B$20,0)-IF(29&lt;Model!$B$15,Model!$B$22,0))/(1-Model!$B$9)/(1+Model!$B$18)^29))</f>
        <v/>
      </c>
      <c r="AR72" s="7">
        <f>IF(A72="","",IF((A72+30)&gt;Model!$B$4,0,MAX(0,Model!$B$6-IF((A72+30)&gt;=Model!$B$11,Model!$B$20,0)-IF(30&lt;Model!$B$15,Model!$B$22,0))/(1-Model!$B$9)/(1+Model!$B$18)^30))</f>
        <v/>
      </c>
      <c r="AS72" s="7">
        <f>IF(A72="","",IF((A72+31)&gt;Model!$B$4,0,MAX(0,Model!$B$6-IF((A72+31)&gt;=Model!$B$11,Model!$B$20,0)-IF(31&lt;Model!$B$15,Model!$B$22,0))/(1-Model!$B$9)/(1+Model!$B$18)^31))</f>
        <v/>
      </c>
      <c r="AT72" s="7">
        <f>IF(A72="","",IF((A72+32)&gt;Model!$B$4,0,MAX(0,Model!$B$6-IF((A72+32)&gt;=Model!$B$11,Model!$B$20,0)-IF(32&lt;Model!$B$15,Model!$B$22,0))/(1-Model!$B$9)/(1+Model!$B$18)^32))</f>
        <v/>
      </c>
      <c r="AU72" s="7">
        <f>IF(A72="","",IF((A72+33)&gt;Model!$B$4,0,MAX(0,Model!$B$6-IF((A72+33)&gt;=Model!$B$11,Model!$B$20,0)-IF(33&lt;Model!$B$15,Model!$B$22,0))/(1-Model!$B$9)/(1+Model!$B$18)^33))</f>
        <v/>
      </c>
      <c r="AV72" s="7">
        <f>IF(A72="","",IF((A72+34)&gt;Model!$B$4,0,MAX(0,Model!$B$6-IF((A72+34)&gt;=Model!$B$11,Model!$B$20,0)-IF(34&lt;Model!$B$15,Model!$B$22,0))/(1-Model!$B$9)/(1+Model!$B$18)^34))</f>
        <v/>
      </c>
      <c r="AW72" s="7">
        <f>IF(A72="","",IF((A72+35)&gt;Model!$B$4,0,MAX(0,Model!$B$6-IF((A72+35)&gt;=Model!$B$11,Model!$B$20,0)-IF(35&lt;Model!$B$15,Model!$B$22,0))/(1-Model!$B$9)/(1+Model!$B$18)^35))</f>
        <v/>
      </c>
      <c r="AX72" s="7">
        <f>IF(A72="","",IF((A72+36)&gt;Model!$B$4,0,MAX(0,Model!$B$6-IF((A72+36)&gt;=Model!$B$11,Model!$B$20,0)-IF(36&lt;Model!$B$15,Model!$B$22,0))/(1-Model!$B$9)/(1+Model!$B$18)^36))</f>
        <v/>
      </c>
      <c r="AY72" s="7">
        <f>IF(A72="","",IF((A72+37)&gt;Model!$B$4,0,MAX(0,Model!$B$6-IF((A72+37)&gt;=Model!$B$11,Model!$B$20,0)-IF(37&lt;Model!$B$15,Model!$B$22,0))/(1-Model!$B$9)/(1+Model!$B$18)^37))</f>
        <v/>
      </c>
      <c r="AZ72" s="7">
        <f>IF(A72="","",IF((A72+38)&gt;Model!$B$4,0,MAX(0,Model!$B$6-IF((A72+38)&gt;=Model!$B$11,Model!$B$20,0)-IF(38&lt;Model!$B$15,Model!$B$22,0))/(1-Model!$B$9)/(1+Model!$B$18)^38))</f>
        <v/>
      </c>
      <c r="BA72" s="7">
        <f>IF(A72="","",IF((A72+39)&gt;Model!$B$4,0,MAX(0,Model!$B$6-IF((A72+39)&gt;=Model!$B$11,Model!$B$20,0)-IF(39&lt;Model!$B$15,Model!$B$22,0))/(1-Model!$B$9)/(1+Model!$B$18)^39))</f>
        <v/>
      </c>
      <c r="BB72" s="7">
        <f>IF(A72="","",IF((A72+40)&gt;Model!$B$4,0,MAX(0,Model!$B$6-IF((A72+40)&gt;=Model!$B$11,Model!$B$20,0)-IF(40&lt;Model!$B$15,Model!$B$22,0))/(1-Model!$B$9)/(1+Model!$B$18)^40))</f>
        <v/>
      </c>
      <c r="BC72" s="7">
        <f>IF(A72="","",IF((A72+41)&gt;Model!$B$4,0,MAX(0,Model!$B$6-IF((A72+41)&gt;=Model!$B$11,Model!$B$20,0)-IF(41&lt;Model!$B$15,Model!$B$22,0))/(1-Model!$B$9)/(1+Model!$B$18)^41))</f>
        <v/>
      </c>
      <c r="BD72" s="7">
        <f>IF(A72="","",IF((A72+42)&gt;Model!$B$4,0,MAX(0,Model!$B$6-IF((A72+42)&gt;=Model!$B$11,Model!$B$20,0)-IF(42&lt;Model!$B$15,Model!$B$22,0))/(1-Model!$B$9)/(1+Model!$B$18)^42))</f>
        <v/>
      </c>
      <c r="BE72" s="7">
        <f>IF(A72="","",IF((A72+43)&gt;Model!$B$4,0,MAX(0,Model!$B$6-IF((A72+43)&gt;=Model!$B$11,Model!$B$20,0)-IF(43&lt;Model!$B$15,Model!$B$22,0))/(1-Model!$B$9)/(1+Model!$B$18)^43))</f>
        <v/>
      </c>
      <c r="BF72" s="7">
        <f>IF(A72="","",IF((A72+44)&gt;Model!$B$4,0,MAX(0,Model!$B$6-IF((A72+44)&gt;=Model!$B$11,Model!$B$20,0)-IF(44&lt;Model!$B$15,Model!$B$22,0))/(1-Model!$B$9)/(1+Model!$B$18)^44))</f>
        <v/>
      </c>
      <c r="BG72" s="7">
        <f>IF(A72="","",IF((A72+45)&gt;Model!$B$4,0,MAX(0,Model!$B$6-IF((A72+45)&gt;=Model!$B$11,Model!$B$20,0)-IF(45&lt;Model!$B$15,Model!$B$22,0))/(1-Model!$B$9)/(1+Model!$B$18)^45))</f>
        <v/>
      </c>
      <c r="BH72" s="7">
        <f>IF(A72="","",IF((A72+46)&gt;Model!$B$4,0,MAX(0,Model!$B$6-IF((A72+46)&gt;=Model!$B$11,Model!$B$20,0)-IF(46&lt;Model!$B$15,Model!$B$22,0))/(1-Model!$B$9)/(1+Model!$B$18)^46))</f>
        <v/>
      </c>
      <c r="BI72" s="7">
        <f>IF(A72="","",IF((A72+47)&gt;Model!$B$4,0,MAX(0,Model!$B$6-IF((A72+47)&gt;=Model!$B$11,Model!$B$20,0)-IF(47&lt;Model!$B$15,Model!$B$22,0))/(1-Model!$B$9)/(1+Model!$B$18)^47))</f>
        <v/>
      </c>
      <c r="BJ72" s="7">
        <f>IF(A72="","",IF((A72+48)&gt;Model!$B$4,0,MAX(0,Model!$B$6-IF((A72+48)&gt;=Model!$B$11,Model!$B$20,0)-IF(48&lt;Model!$B$15,Model!$B$22,0))/(1-Model!$B$9)/(1+Model!$B$18)^48))</f>
        <v/>
      </c>
      <c r="BK72" s="7">
        <f>IF(A72="","",IF((A72+49)&gt;Model!$B$4,0,MAX(0,Model!$B$6-IF((A72+49)&gt;=Model!$B$11,Model!$B$20,0)-IF(49&lt;Model!$B$15,Model!$B$22,0))/(1-Model!$B$9)/(1+Model!$B$18)^49))</f>
        <v/>
      </c>
      <c r="BL72" s="7">
        <f>IF(A72="","",IF((A72+50)&gt;Model!$B$4,0,MAX(0,Model!$B$6-IF((A72+50)&gt;=Model!$B$11,Model!$B$20,0)-IF(50&lt;Model!$B$15,Model!$B$22,0))/(1-Model!$B$9)/(1+Model!$B$18)^50))</f>
        <v/>
      </c>
      <c r="BM72" s="7">
        <f>IF(A72="","",IF((A72+51)&gt;Model!$B$4,0,MAX(0,Model!$B$6-IF((A72+51)&gt;=Model!$B$11,Model!$B$20,0)-IF(51&lt;Model!$B$15,Model!$B$22,0))/(1-Model!$B$9)/(1+Model!$B$18)^51))</f>
        <v/>
      </c>
      <c r="BN72" s="7">
        <f>IF(A72="","",IF((A72+52)&gt;Model!$B$4,0,MAX(0,Model!$B$6-IF((A72+52)&gt;=Model!$B$11,Model!$B$20,0)-IF(52&lt;Model!$B$15,Model!$B$22,0))/(1-Model!$B$9)/(1+Model!$B$18)^52))</f>
        <v/>
      </c>
      <c r="BO72" s="7">
        <f>IF(A72="","",IF((A72+53)&gt;Model!$B$4,0,MAX(0,Model!$B$6-IF((A72+53)&gt;=Model!$B$11,Model!$B$20,0)-IF(53&lt;Model!$B$15,Model!$B$22,0))/(1-Model!$B$9)/(1+Model!$B$18)^53))</f>
        <v/>
      </c>
      <c r="BP72" s="7">
        <f>IF(A72="","",IF((A72+54)&gt;Model!$B$4,0,MAX(0,Model!$B$6-IF((A72+54)&gt;=Model!$B$11,Model!$B$20,0)-IF(54&lt;Model!$B$15,Model!$B$22,0))/(1-Model!$B$9)/(1+Model!$B$18)^54))</f>
        <v/>
      </c>
      <c r="BQ72" s="7">
        <f>IF(A72="","",IF((A72+55)&gt;Model!$B$4,0,MAX(0,Model!$B$6-IF((A72+55)&gt;=Model!$B$11,Model!$B$20,0)-IF(55&lt;Model!$B$15,Model!$B$22,0))/(1-Model!$B$9)/(1+Model!$B$18)^55))</f>
        <v/>
      </c>
      <c r="BR72" s="7">
        <f>IF(A72="","",IF((A72+56)&gt;Model!$B$4,0,MAX(0,Model!$B$6-IF((A72+56)&gt;=Model!$B$11,Model!$B$20,0)-IF(56&lt;Model!$B$15,Model!$B$22,0))/(1-Model!$B$9)/(1+Model!$B$18)^56))</f>
        <v/>
      </c>
      <c r="BS72" s="7">
        <f>IF(A72="","",IF((A72+57)&gt;Model!$B$4,0,MAX(0,Model!$B$6-IF((A72+57)&gt;=Model!$B$11,Model!$B$20,0)-IF(57&lt;Model!$B$15,Model!$B$22,0))/(1-Model!$B$9)/(1+Model!$B$18)^57))</f>
        <v/>
      </c>
      <c r="BT72" s="7">
        <f>IF(A72="","",IF((A72+58)&gt;Model!$B$4,0,MAX(0,Model!$B$6-IF((A72+58)&gt;=Model!$B$11,Model!$B$20,0)-IF(58&lt;Model!$B$15,Model!$B$22,0))/(1-Model!$B$9)/(1+Model!$B$18)^58))</f>
        <v/>
      </c>
      <c r="BU72" s="7">
        <f>IF(A72="","",IF((A72+59)&gt;Model!$B$4,0,MAX(0,Model!$B$6-IF((A72+59)&gt;=Model!$B$11,Model!$B$20,0)-IF(59&lt;Model!$B$15,Model!$B$22,0))/(1-Model!$B$9)/(1+Model!$B$18)^59))</f>
        <v/>
      </c>
      <c r="BV72" s="7">
        <f>IF(A72="","",IF((A72+60)&gt;Model!$B$4,0,MAX(0,Model!$B$6-IF((A72+60)&gt;=Model!$B$11,Model!$B$20,0)-IF(60&lt;Model!$B$15,Model!$B$22,0))/(1-Model!$B$9)/(1+Model!$B$18)^60))</f>
        <v/>
      </c>
      <c r="BW72" s="7">
        <f>IF(A72="","",IF((A72+61)&gt;Model!$B$4,0,MAX(0,Model!$B$6-IF((A72+61)&gt;=Model!$B$11,Model!$B$20,0)-IF(61&lt;Model!$B$15,Model!$B$22,0))/(1-Model!$B$9)/(1+Model!$B$18)^61))</f>
        <v/>
      </c>
      <c r="BX72" s="7">
        <f>IF(A72="","",IF((A72+62)&gt;Model!$B$4,0,MAX(0,Model!$B$6-IF((A72+62)&gt;=Model!$B$11,Model!$B$20,0)-IF(62&lt;Model!$B$15,Model!$B$22,0))/(1-Model!$B$9)/(1+Model!$B$18)^62))</f>
        <v/>
      </c>
      <c r="BY72" s="7">
        <f>IF(A72="","",IF((A72+63)&gt;Model!$B$4,0,MAX(0,Model!$B$6-IF((A72+63)&gt;=Model!$B$11,Model!$B$20,0)-IF(63&lt;Model!$B$15,Model!$B$22,0))/(1-Model!$B$9)/(1+Model!$B$18)^63))</f>
        <v/>
      </c>
      <c r="BZ72" s="7">
        <f>IF(A72="","",IF((A72+64)&gt;Model!$B$4,0,MAX(0,Model!$B$6-IF((A72+64)&gt;=Model!$B$11,Model!$B$20,0)-IF(64&lt;Model!$B$15,Model!$B$22,0))/(1-Model!$B$9)/(1+Model!$B$18)^64))</f>
        <v/>
      </c>
      <c r="CA72" s="7">
        <f>IF(A72="","",IF((A72+65)&gt;Model!$B$4,0,MAX(0,Model!$B$6-IF((A72+65)&gt;=Model!$B$11,Model!$B$20,0)-IF(65&lt;Model!$B$15,Model!$B$22,0))/(1-Model!$B$9)/(1+Model!$B$18)^65))</f>
        <v/>
      </c>
      <c r="CB72" s="7">
        <f>IF(A72="","",IF((A72+66)&gt;Model!$B$4,0,MAX(0,Model!$B$6-IF((A72+66)&gt;=Model!$B$11,Model!$B$20,0)-IF(66&lt;Model!$B$15,Model!$B$22,0))/(1-Model!$B$9)/(1+Model!$B$18)^66))</f>
        <v/>
      </c>
      <c r="CC72" s="7">
        <f>IF(A72="","",IF((A72+67)&gt;Model!$B$4,0,MAX(0,Model!$B$6-IF((A72+67)&gt;=Model!$B$11,Model!$B$20,0)-IF(67&lt;Model!$B$15,Model!$B$22,0))/(1-Model!$B$9)/(1+Model!$B$18)^67))</f>
        <v/>
      </c>
      <c r="CD72" s="7">
        <f>IF(A72="","",IF((A72+68)&gt;Model!$B$4,0,MAX(0,Model!$B$6-IF((A72+68)&gt;=Model!$B$11,Model!$B$20,0)-IF(68&lt;Model!$B$15,Model!$B$22,0))/(1-Model!$B$9)/(1+Model!$B$18)^68))</f>
        <v/>
      </c>
      <c r="CE72" s="7">
        <f>IF(A72="","",IF((A72+69)&gt;Model!$B$4,0,MAX(0,Model!$B$6-IF((A72+69)&gt;=Model!$B$11,Model!$B$20,0)-IF(69&lt;Model!$B$15,Model!$B$22,0))/(1-Model!$B$9)/(1+Model!$B$18)^69))</f>
        <v/>
      </c>
      <c r="CF72" s="7">
        <f>IF(A72="","",IF((A72+70)&gt;Model!$B$4,0,MAX(0,Model!$B$6-IF((A72+70)&gt;=Model!$B$11,Model!$B$20,0)-IF(70&lt;Model!$B$15,Model!$B$22,0))/(1-Model!$B$9)/(1+Model!$B$18)^70))</f>
        <v/>
      </c>
      <c r="CG72" s="7">
        <f>IF(A72="","",IF((A72+71)&gt;Model!$B$4,0,MAX(0,Model!$B$6-IF((A72+71)&gt;=Model!$B$11,Model!$B$20,0)-IF(71&lt;Model!$B$15,Model!$B$22,0))/(1-Model!$B$9)/(1+Model!$B$18)^71))</f>
        <v/>
      </c>
      <c r="CH72" s="7">
        <f>IF(A72="","",IF((A72+72)&gt;Model!$B$4,0,MAX(0,Model!$B$6-IF((A72+72)&gt;=Model!$B$11,Model!$B$20,0)-IF(72&lt;Model!$B$15,Model!$B$22,0))/(1-Model!$B$9)/(1+Model!$B$18)^72))</f>
        <v/>
      </c>
      <c r="CI72" s="7">
        <f>IF(A72="","",IF((A72+73)&gt;Model!$B$4,0,MAX(0,Model!$B$6-IF((A72+73)&gt;=Model!$B$11,Model!$B$20,0)-IF(73&lt;Model!$B$15,Model!$B$22,0))/(1-Model!$B$9)/(1+Model!$B$18)^73))</f>
        <v/>
      </c>
      <c r="CJ72" s="7">
        <f>IF(A72="","",IF((A72+74)&gt;Model!$B$4,0,MAX(0,Model!$B$6-IF((A72+74)&gt;=Model!$B$11,Model!$B$20,0)-IF(74&lt;Model!$B$15,Model!$B$22,0))/(1-Model!$B$9)/(1+Model!$B$18)^74))</f>
        <v/>
      </c>
      <c r="CK72" s="7">
        <f>IF(A72="","",IF((A72+75)&gt;Model!$B$4,0,MAX(0,Model!$B$6-IF((A72+75)&gt;=Model!$B$11,Model!$B$20,0)-IF(75&lt;Model!$B$15,Model!$B$22,0))/(1-Model!$B$9)/(1+Model!$B$18)^75))</f>
        <v/>
      </c>
      <c r="CL72" s="7">
        <f>IF(A72="","",IF((A72+76)&gt;Model!$B$4,0,MAX(0,Model!$B$6-IF((A72+76)&gt;=Model!$B$11,Model!$B$20,0)-IF(76&lt;Model!$B$15,Model!$B$22,0))/(1-Model!$B$9)/(1+Model!$B$18)^76))</f>
        <v/>
      </c>
      <c r="CM72" s="7">
        <f>IF(A72="","",IF((A72+77)&gt;Model!$B$4,0,MAX(0,Model!$B$6-IF((A72+77)&gt;=Model!$B$11,Model!$B$20,0)-IF(77&lt;Model!$B$15,Model!$B$22,0))/(1-Model!$B$9)/(1+Model!$B$18)^77))</f>
        <v/>
      </c>
      <c r="CN72" s="7">
        <f>IF(A72="","",IF((A72+78)&gt;Model!$B$4,0,MAX(0,Model!$B$6-IF((A72+78)&gt;=Model!$B$11,Model!$B$20,0)-IF(78&lt;Model!$B$15,Model!$B$22,0))/(1-Model!$B$9)/(1+Model!$B$18)^78))</f>
        <v/>
      </c>
      <c r="CO72" s="7">
        <f>IF(A72="","",IF((A72+79)&gt;Model!$B$4,0,MAX(0,Model!$B$6-IF((A72+79)&gt;=Model!$B$11,Model!$B$20,0)-IF(79&lt;Model!$B$15,Model!$B$22,0))/(1-Model!$B$9)/(1+Model!$B$18)^79))</f>
        <v/>
      </c>
      <c r="CP72" s="7">
        <f>IF(A72="","",IF((A72+80)&gt;Model!$B$4,0,MAX(0,Model!$B$6-IF((A72+80)&gt;=Model!$B$11,Model!$B$20,0)-IF(80&lt;Model!$B$15,Model!$B$22,0))/(1-Model!$B$9)/(1+Model!$B$18)^80))</f>
        <v/>
      </c>
      <c r="CQ72" s="7">
        <f>IF(A72="","",IF((A72+81)&gt;Model!$B$4,0,MAX(0,Model!$B$6-IF((A72+81)&gt;=Model!$B$11,Model!$B$20,0)-IF(81&lt;Model!$B$15,Model!$B$22,0))/(1-Model!$B$9)/(1+Model!$B$18)^81))</f>
        <v/>
      </c>
      <c r="CR72" s="7">
        <f>IF(A72="","",IF((A72+82)&gt;Model!$B$4,0,MAX(0,Model!$B$6-IF((A72+82)&gt;=Model!$B$11,Model!$B$20,0)-IF(82&lt;Model!$B$15,Model!$B$22,0))/(1-Model!$B$9)/(1+Model!$B$18)^82))</f>
        <v/>
      </c>
      <c r="CS72" s="7">
        <f>IF(A72="","",IF((A72+83)&gt;Model!$B$4,0,MAX(0,Model!$B$6-IF((A72+83)&gt;=Model!$B$11,Model!$B$20,0)-IF(83&lt;Model!$B$15,Model!$B$22,0))/(1-Model!$B$9)/(1+Model!$B$18)^83))</f>
        <v/>
      </c>
      <c r="CT72" s="7">
        <f>IF(A72="","",IF((A72+84)&gt;Model!$B$4,0,MAX(0,Model!$B$6-IF((A72+84)&gt;=Model!$B$11,Model!$B$20,0)-IF(84&lt;Model!$B$15,Model!$B$22,0))/(1-Model!$B$9)/(1+Model!$B$18)^84))</f>
        <v/>
      </c>
      <c r="CU72" s="7">
        <f>IF(A72="","",IF((A72+85)&gt;Model!$B$4,0,MAX(0,Model!$B$6-IF((A72+85)&gt;=Model!$B$11,Model!$B$20,0)-IF(85&lt;Model!$B$15,Model!$B$22,0))/(1-Model!$B$9)/(1+Model!$B$18)^85))</f>
        <v/>
      </c>
      <c r="CV72" s="7">
        <f>IF(A72="","",IF((A72+86)&gt;Model!$B$4,0,MAX(0,Model!$B$6-IF((A72+86)&gt;=Model!$B$11,Model!$B$20,0)-IF(86&lt;Model!$B$15,Model!$B$22,0))/(1-Model!$B$9)/(1+Model!$B$18)^86))</f>
        <v/>
      </c>
      <c r="CW72" s="7">
        <f>IF(A72="","",IF((A72+87)&gt;Model!$B$4,0,MAX(0,Model!$B$6-IF((A72+87)&gt;=Model!$B$11,Model!$B$20,0)-IF(87&lt;Model!$B$15,Model!$B$22,0))/(1-Model!$B$9)/(1+Model!$B$18)^87))</f>
        <v/>
      </c>
      <c r="CX72" s="7">
        <f>IF(A72="","",IF((A72+88)&gt;Model!$B$4,0,MAX(0,Model!$B$6-IF((A72+88)&gt;=Model!$B$11,Model!$B$20,0)-IF(88&lt;Model!$B$15,Model!$B$22,0))/(1-Model!$B$9)/(1+Model!$B$18)^88))</f>
        <v/>
      </c>
      <c r="CY72" s="7">
        <f>IF(A72="","",IF((A72+89)&gt;Model!$B$4,0,MAX(0,Model!$B$6-IF((A72+89)&gt;=Model!$B$11,Model!$B$20,0)-IF(89&lt;Model!$B$15,Model!$B$22,0))/(1-Model!$B$9)/(1+Model!$B$18)^89))</f>
        <v/>
      </c>
      <c r="CZ72" s="7">
        <f>IF(A72="","",IF((A72+90)&gt;Model!$B$4,0,MAX(0,Model!$B$6-IF((A72+90)&gt;=Model!$B$11,Model!$B$20,0)-IF(90&lt;Model!$B$15,Model!$B$22,0))/(1-Model!$B$9)/(1+Model!$B$18)^90))</f>
        <v/>
      </c>
      <c r="DA72" s="7">
        <f>IF(A72="","",IF((A72+91)&gt;Model!$B$4,0,MAX(0,Model!$B$6-IF((A72+91)&gt;=Model!$B$11,Model!$B$20,0)-IF(91&lt;Model!$B$15,Model!$B$22,0))/(1-Model!$B$9)/(1+Model!$B$18)^91))</f>
        <v/>
      </c>
      <c r="DB72" s="7">
        <f>IF(A72="","",IF((A72+92)&gt;Model!$B$4,0,MAX(0,Model!$B$6-IF((A72+92)&gt;=Model!$B$11,Model!$B$20,0)-IF(92&lt;Model!$B$15,Model!$B$22,0))/(1-Model!$B$9)/(1+Model!$B$18)^92))</f>
        <v/>
      </c>
      <c r="DC72" s="7">
        <f>IF(A72="","",IF((A72+93)&gt;Model!$B$4,0,MAX(0,Model!$B$6-IF((A72+93)&gt;=Model!$B$11,Model!$B$20,0)-IF(93&lt;Model!$B$15,Model!$B$22,0))/(1-Model!$B$9)/(1+Model!$B$18)^93))</f>
        <v/>
      </c>
      <c r="DD72" s="7">
        <f>IF(A72="","",IF((A72+94)&gt;Model!$B$4,0,MAX(0,Model!$B$6-IF((A72+94)&gt;=Model!$B$11,Model!$B$20,0)-IF(94&lt;Model!$B$15,Model!$B$22,0))/(1-Model!$B$9)/(1+Model!$B$18)^94))</f>
        <v/>
      </c>
      <c r="DE72" s="7">
        <f>IF(A72="","",IF((A72+95)&gt;Model!$B$4,0,MAX(0,Model!$B$6-IF((A72+95)&gt;=Model!$B$11,Model!$B$20,0)-IF(95&lt;Model!$B$15,Model!$B$22,0))/(1-Model!$B$9)/(1+Model!$B$18)^95))</f>
        <v/>
      </c>
      <c r="DF72" s="7">
        <f>IF(A72="","",IF((A72+96)&gt;Model!$B$4,0,MAX(0,Model!$B$6-IF((A72+96)&gt;=Model!$B$11,Model!$B$20,0)-IF(96&lt;Model!$B$15,Model!$B$22,0))/(1-Model!$B$9)/(1+Model!$B$18)^96))</f>
        <v/>
      </c>
      <c r="DG72" s="7">
        <f>IF(A72="","",IF((A72+97)&gt;Model!$B$4,0,MAX(0,Model!$B$6-IF((A72+97)&gt;=Model!$B$11,Model!$B$20,0)-IF(97&lt;Model!$B$15,Model!$B$22,0))/(1-Model!$B$9)/(1+Model!$B$18)^97))</f>
        <v/>
      </c>
      <c r="DH72" s="7">
        <f>IF(A72="","",IF((A72+98)&gt;Model!$B$4,0,MAX(0,Model!$B$6-IF((A72+98)&gt;=Model!$B$11,Model!$B$20,0)-IF(98&lt;Model!$B$15,Model!$B$22,0))/(1-Model!$B$9)/(1+Model!$B$18)^98))</f>
        <v/>
      </c>
      <c r="DI72" s="7">
        <f>IF(A72="","",IF((A72+99)&gt;Model!$B$4,0,MAX(0,Model!$B$6-IF((A72+99)&gt;=Model!$B$11,Model!$B$20,0)-IF(99&lt;Model!$B$15,Model!$B$22,0))/(1-Model!$B$9)/(1+Model!$B$18)^99))</f>
        <v/>
      </c>
      <c r="DJ72" s="7">
        <f>IF(A72="","",IF((A72+100)&gt;Model!$B$4,0,MAX(0,Model!$B$6-IF((A72+100)&gt;=Model!$B$11,Model!$B$20,0)-IF(100&lt;Model!$B$15,Model!$B$22,0))/(1-Model!$B$9)/(1+Model!$B$18)^100))</f>
        <v/>
      </c>
      <c r="DK72" s="7">
        <f>IF(A72="","",IF((A72+101)&gt;Model!$B$4,0,MAX(0,Model!$B$6-IF((A72+101)&gt;=Model!$B$11,Model!$B$20,0)-IF(101&lt;Model!$B$15,Model!$B$22,0))/(1-Model!$B$9)/(1+Model!$B$18)^101))</f>
        <v/>
      </c>
      <c r="DL72" s="7">
        <f>IF(A72="","",IF((A72+102)&gt;Model!$B$4,0,MAX(0,Model!$B$6-IF((A72+102)&gt;=Model!$B$11,Model!$B$20,0)-IF(102&lt;Model!$B$15,Model!$B$22,0))/(1-Model!$B$9)/(1+Model!$B$18)^102))</f>
        <v/>
      </c>
      <c r="DM72" s="7">
        <f>IF(A72="","",IF((A72+103)&gt;Model!$B$4,0,MAX(0,Model!$B$6-IF((A72+103)&gt;=Model!$B$11,Model!$B$20,0)-IF(103&lt;Model!$B$15,Model!$B$22,0))/(1-Model!$B$9)/(1+Model!$B$18)^103))</f>
        <v/>
      </c>
      <c r="DN72" s="7">
        <f>IF(A72="","",IF((A72+104)&gt;Model!$B$4,0,MAX(0,Model!$B$6-IF((A72+104)&gt;=Model!$B$11,Model!$B$20,0)-IF(104&lt;Model!$B$15,Model!$B$22,0))/(1-Model!$B$9)/(1+Model!$B$18)^104))</f>
        <v/>
      </c>
      <c r="DO72" s="7">
        <f>IF(A72="","",IF((A72+105)&gt;Model!$B$4,0,MAX(0,Model!$B$6-IF((A72+105)&gt;=Model!$B$11,Model!$B$20,0)-IF(105&lt;Model!$B$15,Model!$B$22,0))/(1-Model!$B$9)/(1+Model!$B$18)^105))</f>
        <v/>
      </c>
      <c r="DP72" s="7">
        <f>IF(A72="","",IF((A72+106)&gt;Model!$B$4,0,MAX(0,Model!$B$6-IF((A72+106)&gt;=Model!$B$11,Model!$B$20,0)-IF(106&lt;Model!$B$15,Model!$B$22,0))/(1-Model!$B$9)/(1+Model!$B$18)^106))</f>
        <v/>
      </c>
      <c r="DQ72" s="7">
        <f>IF(A72="","",IF((A72+107)&gt;Model!$B$4,0,MAX(0,Model!$B$6-IF((A72+107)&gt;=Model!$B$11,Model!$B$20,0)-IF(107&lt;Model!$B$15,Model!$B$22,0))/(1-Model!$B$9)/(1+Model!$B$18)^107))</f>
        <v/>
      </c>
      <c r="DR72" s="7">
        <f>IF(A72="","",IF((A72+108)&gt;Model!$B$4,0,MAX(0,Model!$B$6-IF((A72+108)&gt;=Model!$B$11,Model!$B$20,0)-IF(108&lt;Model!$B$15,Model!$B$22,0))/(1-Model!$B$9)/(1+Model!$B$18)^108))</f>
        <v/>
      </c>
      <c r="DS72" s="7">
        <f>IF(A72="","",IF((A72+109)&gt;Model!$B$4,0,MAX(0,Model!$B$6-IF((A72+109)&gt;=Model!$B$11,Model!$B$20,0)-IF(109&lt;Model!$B$15,Model!$B$22,0))/(1-Model!$B$9)/(1+Model!$B$18)^109))</f>
        <v/>
      </c>
      <c r="DT72" s="7">
        <f>IF(A72="","",IF((A72+110)&gt;Model!$B$4,0,MAX(0,Model!$B$6-IF((A72+110)&gt;=Model!$B$11,Model!$B$20,0)-IF(110&lt;Model!$B$15,Model!$B$22,0))/(1-Model!$B$9)/(1+Model!$B$18)^110))</f>
        <v/>
      </c>
      <c r="DU72" s="7">
        <f>IF(A72="","",IF((A72+111)&gt;Model!$B$4,0,MAX(0,Model!$B$6-IF((A72+111)&gt;=Model!$B$11,Model!$B$20,0)-IF(111&lt;Model!$B$15,Model!$B$22,0))/(1-Model!$B$9)/(1+Model!$B$18)^111))</f>
        <v/>
      </c>
      <c r="DV72" s="7">
        <f>IF(A72="","",IF((A72+112)&gt;Model!$B$4,0,MAX(0,Model!$B$6-IF((A72+112)&gt;=Model!$B$11,Model!$B$20,0)-IF(112&lt;Model!$B$15,Model!$B$22,0))/(1-Model!$B$9)/(1+Model!$B$18)^112))</f>
        <v/>
      </c>
      <c r="DW72" s="7">
        <f>IF(A72="","",IF((A72+113)&gt;Model!$B$4,0,MAX(0,Model!$B$6-IF((A72+113)&gt;=Model!$B$11,Model!$B$20,0)-IF(113&lt;Model!$B$15,Model!$B$22,0))/(1-Model!$B$9)/(1+Model!$B$18)^113))</f>
        <v/>
      </c>
      <c r="DX72" s="7">
        <f>IF(A72="","",IF((A72+114)&gt;Model!$B$4,0,MAX(0,Model!$B$6-IF((A72+114)&gt;=Model!$B$11,Model!$B$20,0)-IF(114&lt;Model!$B$15,Model!$B$22,0))/(1-Model!$B$9)/(1+Model!$B$18)^114))</f>
        <v/>
      </c>
      <c r="DY72" s="7">
        <f>IF(A72="","",IF((A72+115)&gt;Model!$B$4,0,MAX(0,Model!$B$6-IF((A72+115)&gt;=Model!$B$11,Model!$B$20,0)-IF(115&lt;Model!$B$15,Model!$B$22,0))/(1-Model!$B$9)/(1+Model!$B$18)^115))</f>
        <v/>
      </c>
      <c r="DZ72" s="7">
        <f>IF(A72="","",IF((A72+116)&gt;Model!$B$4,0,MAX(0,Model!$B$6-IF((A72+116)&gt;=Model!$B$11,Model!$B$20,0)-IF(116&lt;Model!$B$15,Model!$B$22,0))/(1-Model!$B$9)/(1+Model!$B$18)^116))</f>
        <v/>
      </c>
      <c r="EA72" s="7">
        <f>IF(A72="","",IF((A72+117)&gt;Model!$B$4,0,MAX(0,Model!$B$6-IF((A72+117)&gt;=Model!$B$11,Model!$B$20,0)-IF(117&lt;Model!$B$15,Model!$B$22,0))/(1-Model!$B$9)/(1+Model!$B$18)^117))</f>
        <v/>
      </c>
      <c r="EB72" s="7">
        <f>IF(A72="","",IF((A72+118)&gt;Model!$B$4,0,MAX(0,Model!$B$6-IF((A72+118)&gt;=Model!$B$11,Model!$B$20,0)-IF(118&lt;Model!$B$15,Model!$B$22,0))/(1-Model!$B$9)/(1+Model!$B$18)^118))</f>
        <v/>
      </c>
      <c r="EC72" s="7">
        <f>IF(A72="","",IF((A72+119)&gt;Model!$B$4,0,MAX(0,Model!$B$6-IF((A72+119)&gt;=Model!$B$11,Model!$B$20,0)-IF(119&lt;Model!$B$15,Model!$B$22,0))/(1-Model!$B$9)/(1+Model!$B$18)^119))</f>
        <v/>
      </c>
      <c r="ED72" s="7">
        <f>IF(A72="","",IF((A72+120)&gt;Model!$B$4,0,MAX(0,Model!$B$6-IF((A72+120)&gt;=Model!$B$11,Model!$B$20,0)-IF(120&lt;Model!$B$15,Model!$B$22,0))/(1-Model!$B$9)/(1+Model!$B$18)^120))</f>
        <v/>
      </c>
    </row>
    <row r="73">
      <c r="A73">
        <f>IF(Model!$B$10+ROW()-2&lt;=Model!$B$4,Model!$B$10+ROW()-2,"")</f>
        <v/>
      </c>
      <c r="B73">
        <f>IF(A73="","",A73-Model!$B$10)</f>
        <v/>
      </c>
      <c r="C73" s="7">
        <f>IF(A73="","",Model!$B$5*(1+Model!$B$18)^B73)</f>
        <v/>
      </c>
      <c r="D73" s="7">
        <f>IF(A73="","",SUM(N73:ED73))</f>
        <v/>
      </c>
      <c r="E73" s="7">
        <f>IF(A73="","",IF(A73&gt;=Model!$B$11,Model!$B$20,0))</f>
        <v/>
      </c>
      <c r="F73" s="7">
        <f>IF(A73="","",IF(Model!$B$15&gt;0,Model!$B$22,0))</f>
        <v/>
      </c>
      <c r="G73" s="7">
        <f>IF(A73="","",E73+F73)</f>
        <v/>
      </c>
      <c r="H73" s="7">
        <f>IF(A73="","",MAX(0,Model!$B$6-G73))</f>
        <v/>
      </c>
      <c r="I73" s="7">
        <f>IF(A73="","",H73/(1-Model!$B$9))</f>
        <v/>
      </c>
      <c r="J73" s="7">
        <f>IF(A73="","",C73-D73)</f>
        <v/>
      </c>
      <c r="K73">
        <f>IF(A73="","",C73&gt;=D73)</f>
        <v/>
      </c>
      <c r="L73" s="7">
        <f>IF(A73="","",IF(A73&gt;=Model!$B$11,Model!$B$19*(1+Model!$B$13)^B73,0))</f>
        <v/>
      </c>
      <c r="M73" s="7">
        <f>IF(A73="","",IF(Model!$B$15&gt;0,Model!$B$21*(1+Model!$B$13)^B73,0))</f>
        <v/>
      </c>
      <c r="N73" s="7">
        <f>IF(A73="","",IF((A73+0)&gt;Model!$B$4,0,MAX(0,Model!$B$6-IF((A73+0)&gt;=Model!$B$11,Model!$B$20,0)-IF(0&lt;Model!$B$15,Model!$B$22,0))/(1-Model!$B$9)/(1+Model!$B$18)^0))</f>
        <v/>
      </c>
      <c r="O73" s="7">
        <f>IF(A73="","",IF((A73+1)&gt;Model!$B$4,0,MAX(0,Model!$B$6-IF((A73+1)&gt;=Model!$B$11,Model!$B$20,0)-IF(1&lt;Model!$B$15,Model!$B$22,0))/(1-Model!$B$9)/(1+Model!$B$18)^1))</f>
        <v/>
      </c>
      <c r="P73" s="7">
        <f>IF(A73="","",IF((A73+2)&gt;Model!$B$4,0,MAX(0,Model!$B$6-IF((A73+2)&gt;=Model!$B$11,Model!$B$20,0)-IF(2&lt;Model!$B$15,Model!$B$22,0))/(1-Model!$B$9)/(1+Model!$B$18)^2))</f>
        <v/>
      </c>
      <c r="Q73" s="7">
        <f>IF(A73="","",IF((A73+3)&gt;Model!$B$4,0,MAX(0,Model!$B$6-IF((A73+3)&gt;=Model!$B$11,Model!$B$20,0)-IF(3&lt;Model!$B$15,Model!$B$22,0))/(1-Model!$B$9)/(1+Model!$B$18)^3))</f>
        <v/>
      </c>
      <c r="R73" s="7">
        <f>IF(A73="","",IF((A73+4)&gt;Model!$B$4,0,MAX(0,Model!$B$6-IF((A73+4)&gt;=Model!$B$11,Model!$B$20,0)-IF(4&lt;Model!$B$15,Model!$B$22,0))/(1-Model!$B$9)/(1+Model!$B$18)^4))</f>
        <v/>
      </c>
      <c r="S73" s="7">
        <f>IF(A73="","",IF((A73+5)&gt;Model!$B$4,0,MAX(0,Model!$B$6-IF((A73+5)&gt;=Model!$B$11,Model!$B$20,0)-IF(5&lt;Model!$B$15,Model!$B$22,0))/(1-Model!$B$9)/(1+Model!$B$18)^5))</f>
        <v/>
      </c>
      <c r="T73" s="7">
        <f>IF(A73="","",IF((A73+6)&gt;Model!$B$4,0,MAX(0,Model!$B$6-IF((A73+6)&gt;=Model!$B$11,Model!$B$20,0)-IF(6&lt;Model!$B$15,Model!$B$22,0))/(1-Model!$B$9)/(1+Model!$B$18)^6))</f>
        <v/>
      </c>
      <c r="U73" s="7">
        <f>IF(A73="","",IF((A73+7)&gt;Model!$B$4,0,MAX(0,Model!$B$6-IF((A73+7)&gt;=Model!$B$11,Model!$B$20,0)-IF(7&lt;Model!$B$15,Model!$B$22,0))/(1-Model!$B$9)/(1+Model!$B$18)^7))</f>
        <v/>
      </c>
      <c r="V73" s="7">
        <f>IF(A73="","",IF((A73+8)&gt;Model!$B$4,0,MAX(0,Model!$B$6-IF((A73+8)&gt;=Model!$B$11,Model!$B$20,0)-IF(8&lt;Model!$B$15,Model!$B$22,0))/(1-Model!$B$9)/(1+Model!$B$18)^8))</f>
        <v/>
      </c>
      <c r="W73" s="7">
        <f>IF(A73="","",IF((A73+9)&gt;Model!$B$4,0,MAX(0,Model!$B$6-IF((A73+9)&gt;=Model!$B$11,Model!$B$20,0)-IF(9&lt;Model!$B$15,Model!$B$22,0))/(1-Model!$B$9)/(1+Model!$B$18)^9))</f>
        <v/>
      </c>
      <c r="X73" s="7">
        <f>IF(A73="","",IF((A73+10)&gt;Model!$B$4,0,MAX(0,Model!$B$6-IF((A73+10)&gt;=Model!$B$11,Model!$B$20,0)-IF(10&lt;Model!$B$15,Model!$B$22,0))/(1-Model!$B$9)/(1+Model!$B$18)^10))</f>
        <v/>
      </c>
      <c r="Y73" s="7">
        <f>IF(A73="","",IF((A73+11)&gt;Model!$B$4,0,MAX(0,Model!$B$6-IF((A73+11)&gt;=Model!$B$11,Model!$B$20,0)-IF(11&lt;Model!$B$15,Model!$B$22,0))/(1-Model!$B$9)/(1+Model!$B$18)^11))</f>
        <v/>
      </c>
      <c r="Z73" s="7">
        <f>IF(A73="","",IF((A73+12)&gt;Model!$B$4,0,MAX(0,Model!$B$6-IF((A73+12)&gt;=Model!$B$11,Model!$B$20,0)-IF(12&lt;Model!$B$15,Model!$B$22,0))/(1-Model!$B$9)/(1+Model!$B$18)^12))</f>
        <v/>
      </c>
      <c r="AA73" s="7">
        <f>IF(A73="","",IF((A73+13)&gt;Model!$B$4,0,MAX(0,Model!$B$6-IF((A73+13)&gt;=Model!$B$11,Model!$B$20,0)-IF(13&lt;Model!$B$15,Model!$B$22,0))/(1-Model!$B$9)/(1+Model!$B$18)^13))</f>
        <v/>
      </c>
      <c r="AB73" s="7">
        <f>IF(A73="","",IF((A73+14)&gt;Model!$B$4,0,MAX(0,Model!$B$6-IF((A73+14)&gt;=Model!$B$11,Model!$B$20,0)-IF(14&lt;Model!$B$15,Model!$B$22,0))/(1-Model!$B$9)/(1+Model!$B$18)^14))</f>
        <v/>
      </c>
      <c r="AC73" s="7">
        <f>IF(A73="","",IF((A73+15)&gt;Model!$B$4,0,MAX(0,Model!$B$6-IF((A73+15)&gt;=Model!$B$11,Model!$B$20,0)-IF(15&lt;Model!$B$15,Model!$B$22,0))/(1-Model!$B$9)/(1+Model!$B$18)^15))</f>
        <v/>
      </c>
      <c r="AD73" s="7">
        <f>IF(A73="","",IF((A73+16)&gt;Model!$B$4,0,MAX(0,Model!$B$6-IF((A73+16)&gt;=Model!$B$11,Model!$B$20,0)-IF(16&lt;Model!$B$15,Model!$B$22,0))/(1-Model!$B$9)/(1+Model!$B$18)^16))</f>
        <v/>
      </c>
      <c r="AE73" s="7">
        <f>IF(A73="","",IF((A73+17)&gt;Model!$B$4,0,MAX(0,Model!$B$6-IF((A73+17)&gt;=Model!$B$11,Model!$B$20,0)-IF(17&lt;Model!$B$15,Model!$B$22,0))/(1-Model!$B$9)/(1+Model!$B$18)^17))</f>
        <v/>
      </c>
      <c r="AF73" s="7">
        <f>IF(A73="","",IF((A73+18)&gt;Model!$B$4,0,MAX(0,Model!$B$6-IF((A73+18)&gt;=Model!$B$11,Model!$B$20,0)-IF(18&lt;Model!$B$15,Model!$B$22,0))/(1-Model!$B$9)/(1+Model!$B$18)^18))</f>
        <v/>
      </c>
      <c r="AG73" s="7">
        <f>IF(A73="","",IF((A73+19)&gt;Model!$B$4,0,MAX(0,Model!$B$6-IF((A73+19)&gt;=Model!$B$11,Model!$B$20,0)-IF(19&lt;Model!$B$15,Model!$B$22,0))/(1-Model!$B$9)/(1+Model!$B$18)^19))</f>
        <v/>
      </c>
      <c r="AH73" s="7">
        <f>IF(A73="","",IF((A73+20)&gt;Model!$B$4,0,MAX(0,Model!$B$6-IF((A73+20)&gt;=Model!$B$11,Model!$B$20,0)-IF(20&lt;Model!$B$15,Model!$B$22,0))/(1-Model!$B$9)/(1+Model!$B$18)^20))</f>
        <v/>
      </c>
      <c r="AI73" s="7">
        <f>IF(A73="","",IF((A73+21)&gt;Model!$B$4,0,MAX(0,Model!$B$6-IF((A73+21)&gt;=Model!$B$11,Model!$B$20,0)-IF(21&lt;Model!$B$15,Model!$B$22,0))/(1-Model!$B$9)/(1+Model!$B$18)^21))</f>
        <v/>
      </c>
      <c r="AJ73" s="7">
        <f>IF(A73="","",IF((A73+22)&gt;Model!$B$4,0,MAX(0,Model!$B$6-IF((A73+22)&gt;=Model!$B$11,Model!$B$20,0)-IF(22&lt;Model!$B$15,Model!$B$22,0))/(1-Model!$B$9)/(1+Model!$B$18)^22))</f>
        <v/>
      </c>
      <c r="AK73" s="7">
        <f>IF(A73="","",IF((A73+23)&gt;Model!$B$4,0,MAX(0,Model!$B$6-IF((A73+23)&gt;=Model!$B$11,Model!$B$20,0)-IF(23&lt;Model!$B$15,Model!$B$22,0))/(1-Model!$B$9)/(1+Model!$B$18)^23))</f>
        <v/>
      </c>
      <c r="AL73" s="7">
        <f>IF(A73="","",IF((A73+24)&gt;Model!$B$4,0,MAX(0,Model!$B$6-IF((A73+24)&gt;=Model!$B$11,Model!$B$20,0)-IF(24&lt;Model!$B$15,Model!$B$22,0))/(1-Model!$B$9)/(1+Model!$B$18)^24))</f>
        <v/>
      </c>
      <c r="AM73" s="7">
        <f>IF(A73="","",IF((A73+25)&gt;Model!$B$4,0,MAX(0,Model!$B$6-IF((A73+25)&gt;=Model!$B$11,Model!$B$20,0)-IF(25&lt;Model!$B$15,Model!$B$22,0))/(1-Model!$B$9)/(1+Model!$B$18)^25))</f>
        <v/>
      </c>
      <c r="AN73" s="7">
        <f>IF(A73="","",IF((A73+26)&gt;Model!$B$4,0,MAX(0,Model!$B$6-IF((A73+26)&gt;=Model!$B$11,Model!$B$20,0)-IF(26&lt;Model!$B$15,Model!$B$22,0))/(1-Model!$B$9)/(1+Model!$B$18)^26))</f>
        <v/>
      </c>
      <c r="AO73" s="7">
        <f>IF(A73="","",IF((A73+27)&gt;Model!$B$4,0,MAX(0,Model!$B$6-IF((A73+27)&gt;=Model!$B$11,Model!$B$20,0)-IF(27&lt;Model!$B$15,Model!$B$22,0))/(1-Model!$B$9)/(1+Model!$B$18)^27))</f>
        <v/>
      </c>
      <c r="AP73" s="7">
        <f>IF(A73="","",IF((A73+28)&gt;Model!$B$4,0,MAX(0,Model!$B$6-IF((A73+28)&gt;=Model!$B$11,Model!$B$20,0)-IF(28&lt;Model!$B$15,Model!$B$22,0))/(1-Model!$B$9)/(1+Model!$B$18)^28))</f>
        <v/>
      </c>
      <c r="AQ73" s="7">
        <f>IF(A73="","",IF((A73+29)&gt;Model!$B$4,0,MAX(0,Model!$B$6-IF((A73+29)&gt;=Model!$B$11,Model!$B$20,0)-IF(29&lt;Model!$B$15,Model!$B$22,0))/(1-Model!$B$9)/(1+Model!$B$18)^29))</f>
        <v/>
      </c>
      <c r="AR73" s="7">
        <f>IF(A73="","",IF((A73+30)&gt;Model!$B$4,0,MAX(0,Model!$B$6-IF((A73+30)&gt;=Model!$B$11,Model!$B$20,0)-IF(30&lt;Model!$B$15,Model!$B$22,0))/(1-Model!$B$9)/(1+Model!$B$18)^30))</f>
        <v/>
      </c>
      <c r="AS73" s="7">
        <f>IF(A73="","",IF((A73+31)&gt;Model!$B$4,0,MAX(0,Model!$B$6-IF((A73+31)&gt;=Model!$B$11,Model!$B$20,0)-IF(31&lt;Model!$B$15,Model!$B$22,0))/(1-Model!$B$9)/(1+Model!$B$18)^31))</f>
        <v/>
      </c>
      <c r="AT73" s="7">
        <f>IF(A73="","",IF((A73+32)&gt;Model!$B$4,0,MAX(0,Model!$B$6-IF((A73+32)&gt;=Model!$B$11,Model!$B$20,0)-IF(32&lt;Model!$B$15,Model!$B$22,0))/(1-Model!$B$9)/(1+Model!$B$18)^32))</f>
        <v/>
      </c>
      <c r="AU73" s="7">
        <f>IF(A73="","",IF((A73+33)&gt;Model!$B$4,0,MAX(0,Model!$B$6-IF((A73+33)&gt;=Model!$B$11,Model!$B$20,0)-IF(33&lt;Model!$B$15,Model!$B$22,0))/(1-Model!$B$9)/(1+Model!$B$18)^33))</f>
        <v/>
      </c>
      <c r="AV73" s="7">
        <f>IF(A73="","",IF((A73+34)&gt;Model!$B$4,0,MAX(0,Model!$B$6-IF((A73+34)&gt;=Model!$B$11,Model!$B$20,0)-IF(34&lt;Model!$B$15,Model!$B$22,0))/(1-Model!$B$9)/(1+Model!$B$18)^34))</f>
        <v/>
      </c>
      <c r="AW73" s="7">
        <f>IF(A73="","",IF((A73+35)&gt;Model!$B$4,0,MAX(0,Model!$B$6-IF((A73+35)&gt;=Model!$B$11,Model!$B$20,0)-IF(35&lt;Model!$B$15,Model!$B$22,0))/(1-Model!$B$9)/(1+Model!$B$18)^35))</f>
        <v/>
      </c>
      <c r="AX73" s="7">
        <f>IF(A73="","",IF((A73+36)&gt;Model!$B$4,0,MAX(0,Model!$B$6-IF((A73+36)&gt;=Model!$B$11,Model!$B$20,0)-IF(36&lt;Model!$B$15,Model!$B$22,0))/(1-Model!$B$9)/(1+Model!$B$18)^36))</f>
        <v/>
      </c>
      <c r="AY73" s="7">
        <f>IF(A73="","",IF((A73+37)&gt;Model!$B$4,0,MAX(0,Model!$B$6-IF((A73+37)&gt;=Model!$B$11,Model!$B$20,0)-IF(37&lt;Model!$B$15,Model!$B$22,0))/(1-Model!$B$9)/(1+Model!$B$18)^37))</f>
        <v/>
      </c>
      <c r="AZ73" s="7">
        <f>IF(A73="","",IF((A73+38)&gt;Model!$B$4,0,MAX(0,Model!$B$6-IF((A73+38)&gt;=Model!$B$11,Model!$B$20,0)-IF(38&lt;Model!$B$15,Model!$B$22,0))/(1-Model!$B$9)/(1+Model!$B$18)^38))</f>
        <v/>
      </c>
      <c r="BA73" s="7">
        <f>IF(A73="","",IF((A73+39)&gt;Model!$B$4,0,MAX(0,Model!$B$6-IF((A73+39)&gt;=Model!$B$11,Model!$B$20,0)-IF(39&lt;Model!$B$15,Model!$B$22,0))/(1-Model!$B$9)/(1+Model!$B$18)^39))</f>
        <v/>
      </c>
      <c r="BB73" s="7">
        <f>IF(A73="","",IF((A73+40)&gt;Model!$B$4,0,MAX(0,Model!$B$6-IF((A73+40)&gt;=Model!$B$11,Model!$B$20,0)-IF(40&lt;Model!$B$15,Model!$B$22,0))/(1-Model!$B$9)/(1+Model!$B$18)^40))</f>
        <v/>
      </c>
      <c r="BC73" s="7">
        <f>IF(A73="","",IF((A73+41)&gt;Model!$B$4,0,MAX(0,Model!$B$6-IF((A73+41)&gt;=Model!$B$11,Model!$B$20,0)-IF(41&lt;Model!$B$15,Model!$B$22,0))/(1-Model!$B$9)/(1+Model!$B$18)^41))</f>
        <v/>
      </c>
      <c r="BD73" s="7">
        <f>IF(A73="","",IF((A73+42)&gt;Model!$B$4,0,MAX(0,Model!$B$6-IF((A73+42)&gt;=Model!$B$11,Model!$B$20,0)-IF(42&lt;Model!$B$15,Model!$B$22,0))/(1-Model!$B$9)/(1+Model!$B$18)^42))</f>
        <v/>
      </c>
      <c r="BE73" s="7">
        <f>IF(A73="","",IF((A73+43)&gt;Model!$B$4,0,MAX(0,Model!$B$6-IF((A73+43)&gt;=Model!$B$11,Model!$B$20,0)-IF(43&lt;Model!$B$15,Model!$B$22,0))/(1-Model!$B$9)/(1+Model!$B$18)^43))</f>
        <v/>
      </c>
      <c r="BF73" s="7">
        <f>IF(A73="","",IF((A73+44)&gt;Model!$B$4,0,MAX(0,Model!$B$6-IF((A73+44)&gt;=Model!$B$11,Model!$B$20,0)-IF(44&lt;Model!$B$15,Model!$B$22,0))/(1-Model!$B$9)/(1+Model!$B$18)^44))</f>
        <v/>
      </c>
      <c r="BG73" s="7">
        <f>IF(A73="","",IF((A73+45)&gt;Model!$B$4,0,MAX(0,Model!$B$6-IF((A73+45)&gt;=Model!$B$11,Model!$B$20,0)-IF(45&lt;Model!$B$15,Model!$B$22,0))/(1-Model!$B$9)/(1+Model!$B$18)^45))</f>
        <v/>
      </c>
      <c r="BH73" s="7">
        <f>IF(A73="","",IF((A73+46)&gt;Model!$B$4,0,MAX(0,Model!$B$6-IF((A73+46)&gt;=Model!$B$11,Model!$B$20,0)-IF(46&lt;Model!$B$15,Model!$B$22,0))/(1-Model!$B$9)/(1+Model!$B$18)^46))</f>
        <v/>
      </c>
      <c r="BI73" s="7">
        <f>IF(A73="","",IF((A73+47)&gt;Model!$B$4,0,MAX(0,Model!$B$6-IF((A73+47)&gt;=Model!$B$11,Model!$B$20,0)-IF(47&lt;Model!$B$15,Model!$B$22,0))/(1-Model!$B$9)/(1+Model!$B$18)^47))</f>
        <v/>
      </c>
      <c r="BJ73" s="7">
        <f>IF(A73="","",IF((A73+48)&gt;Model!$B$4,0,MAX(0,Model!$B$6-IF((A73+48)&gt;=Model!$B$11,Model!$B$20,0)-IF(48&lt;Model!$B$15,Model!$B$22,0))/(1-Model!$B$9)/(1+Model!$B$18)^48))</f>
        <v/>
      </c>
      <c r="BK73" s="7">
        <f>IF(A73="","",IF((A73+49)&gt;Model!$B$4,0,MAX(0,Model!$B$6-IF((A73+49)&gt;=Model!$B$11,Model!$B$20,0)-IF(49&lt;Model!$B$15,Model!$B$22,0))/(1-Model!$B$9)/(1+Model!$B$18)^49))</f>
        <v/>
      </c>
      <c r="BL73" s="7">
        <f>IF(A73="","",IF((A73+50)&gt;Model!$B$4,0,MAX(0,Model!$B$6-IF((A73+50)&gt;=Model!$B$11,Model!$B$20,0)-IF(50&lt;Model!$B$15,Model!$B$22,0))/(1-Model!$B$9)/(1+Model!$B$18)^50))</f>
        <v/>
      </c>
      <c r="BM73" s="7">
        <f>IF(A73="","",IF((A73+51)&gt;Model!$B$4,0,MAX(0,Model!$B$6-IF((A73+51)&gt;=Model!$B$11,Model!$B$20,0)-IF(51&lt;Model!$B$15,Model!$B$22,0))/(1-Model!$B$9)/(1+Model!$B$18)^51))</f>
        <v/>
      </c>
      <c r="BN73" s="7">
        <f>IF(A73="","",IF((A73+52)&gt;Model!$B$4,0,MAX(0,Model!$B$6-IF((A73+52)&gt;=Model!$B$11,Model!$B$20,0)-IF(52&lt;Model!$B$15,Model!$B$22,0))/(1-Model!$B$9)/(1+Model!$B$18)^52))</f>
        <v/>
      </c>
      <c r="BO73" s="7">
        <f>IF(A73="","",IF((A73+53)&gt;Model!$B$4,0,MAX(0,Model!$B$6-IF((A73+53)&gt;=Model!$B$11,Model!$B$20,0)-IF(53&lt;Model!$B$15,Model!$B$22,0))/(1-Model!$B$9)/(1+Model!$B$18)^53))</f>
        <v/>
      </c>
      <c r="BP73" s="7">
        <f>IF(A73="","",IF((A73+54)&gt;Model!$B$4,0,MAX(0,Model!$B$6-IF((A73+54)&gt;=Model!$B$11,Model!$B$20,0)-IF(54&lt;Model!$B$15,Model!$B$22,0))/(1-Model!$B$9)/(1+Model!$B$18)^54))</f>
        <v/>
      </c>
      <c r="BQ73" s="7">
        <f>IF(A73="","",IF((A73+55)&gt;Model!$B$4,0,MAX(0,Model!$B$6-IF((A73+55)&gt;=Model!$B$11,Model!$B$20,0)-IF(55&lt;Model!$B$15,Model!$B$22,0))/(1-Model!$B$9)/(1+Model!$B$18)^55))</f>
        <v/>
      </c>
      <c r="BR73" s="7">
        <f>IF(A73="","",IF((A73+56)&gt;Model!$B$4,0,MAX(0,Model!$B$6-IF((A73+56)&gt;=Model!$B$11,Model!$B$20,0)-IF(56&lt;Model!$B$15,Model!$B$22,0))/(1-Model!$B$9)/(1+Model!$B$18)^56))</f>
        <v/>
      </c>
      <c r="BS73" s="7">
        <f>IF(A73="","",IF((A73+57)&gt;Model!$B$4,0,MAX(0,Model!$B$6-IF((A73+57)&gt;=Model!$B$11,Model!$B$20,0)-IF(57&lt;Model!$B$15,Model!$B$22,0))/(1-Model!$B$9)/(1+Model!$B$18)^57))</f>
        <v/>
      </c>
      <c r="BT73" s="7">
        <f>IF(A73="","",IF((A73+58)&gt;Model!$B$4,0,MAX(0,Model!$B$6-IF((A73+58)&gt;=Model!$B$11,Model!$B$20,0)-IF(58&lt;Model!$B$15,Model!$B$22,0))/(1-Model!$B$9)/(1+Model!$B$18)^58))</f>
        <v/>
      </c>
      <c r="BU73" s="7">
        <f>IF(A73="","",IF((A73+59)&gt;Model!$B$4,0,MAX(0,Model!$B$6-IF((A73+59)&gt;=Model!$B$11,Model!$B$20,0)-IF(59&lt;Model!$B$15,Model!$B$22,0))/(1-Model!$B$9)/(1+Model!$B$18)^59))</f>
        <v/>
      </c>
      <c r="BV73" s="7">
        <f>IF(A73="","",IF((A73+60)&gt;Model!$B$4,0,MAX(0,Model!$B$6-IF((A73+60)&gt;=Model!$B$11,Model!$B$20,0)-IF(60&lt;Model!$B$15,Model!$B$22,0))/(1-Model!$B$9)/(1+Model!$B$18)^60))</f>
        <v/>
      </c>
      <c r="BW73" s="7">
        <f>IF(A73="","",IF((A73+61)&gt;Model!$B$4,0,MAX(0,Model!$B$6-IF((A73+61)&gt;=Model!$B$11,Model!$B$20,0)-IF(61&lt;Model!$B$15,Model!$B$22,0))/(1-Model!$B$9)/(1+Model!$B$18)^61))</f>
        <v/>
      </c>
      <c r="BX73" s="7">
        <f>IF(A73="","",IF((A73+62)&gt;Model!$B$4,0,MAX(0,Model!$B$6-IF((A73+62)&gt;=Model!$B$11,Model!$B$20,0)-IF(62&lt;Model!$B$15,Model!$B$22,0))/(1-Model!$B$9)/(1+Model!$B$18)^62))</f>
        <v/>
      </c>
      <c r="BY73" s="7">
        <f>IF(A73="","",IF((A73+63)&gt;Model!$B$4,0,MAX(0,Model!$B$6-IF((A73+63)&gt;=Model!$B$11,Model!$B$20,0)-IF(63&lt;Model!$B$15,Model!$B$22,0))/(1-Model!$B$9)/(1+Model!$B$18)^63))</f>
        <v/>
      </c>
      <c r="BZ73" s="7">
        <f>IF(A73="","",IF((A73+64)&gt;Model!$B$4,0,MAX(0,Model!$B$6-IF((A73+64)&gt;=Model!$B$11,Model!$B$20,0)-IF(64&lt;Model!$B$15,Model!$B$22,0))/(1-Model!$B$9)/(1+Model!$B$18)^64))</f>
        <v/>
      </c>
      <c r="CA73" s="7">
        <f>IF(A73="","",IF((A73+65)&gt;Model!$B$4,0,MAX(0,Model!$B$6-IF((A73+65)&gt;=Model!$B$11,Model!$B$20,0)-IF(65&lt;Model!$B$15,Model!$B$22,0))/(1-Model!$B$9)/(1+Model!$B$18)^65))</f>
        <v/>
      </c>
      <c r="CB73" s="7">
        <f>IF(A73="","",IF((A73+66)&gt;Model!$B$4,0,MAX(0,Model!$B$6-IF((A73+66)&gt;=Model!$B$11,Model!$B$20,0)-IF(66&lt;Model!$B$15,Model!$B$22,0))/(1-Model!$B$9)/(1+Model!$B$18)^66))</f>
        <v/>
      </c>
      <c r="CC73" s="7">
        <f>IF(A73="","",IF((A73+67)&gt;Model!$B$4,0,MAX(0,Model!$B$6-IF((A73+67)&gt;=Model!$B$11,Model!$B$20,0)-IF(67&lt;Model!$B$15,Model!$B$22,0))/(1-Model!$B$9)/(1+Model!$B$18)^67))</f>
        <v/>
      </c>
      <c r="CD73" s="7">
        <f>IF(A73="","",IF((A73+68)&gt;Model!$B$4,0,MAX(0,Model!$B$6-IF((A73+68)&gt;=Model!$B$11,Model!$B$20,0)-IF(68&lt;Model!$B$15,Model!$B$22,0))/(1-Model!$B$9)/(1+Model!$B$18)^68))</f>
        <v/>
      </c>
      <c r="CE73" s="7">
        <f>IF(A73="","",IF((A73+69)&gt;Model!$B$4,0,MAX(0,Model!$B$6-IF((A73+69)&gt;=Model!$B$11,Model!$B$20,0)-IF(69&lt;Model!$B$15,Model!$B$22,0))/(1-Model!$B$9)/(1+Model!$B$18)^69))</f>
        <v/>
      </c>
      <c r="CF73" s="7">
        <f>IF(A73="","",IF((A73+70)&gt;Model!$B$4,0,MAX(0,Model!$B$6-IF((A73+70)&gt;=Model!$B$11,Model!$B$20,0)-IF(70&lt;Model!$B$15,Model!$B$22,0))/(1-Model!$B$9)/(1+Model!$B$18)^70))</f>
        <v/>
      </c>
      <c r="CG73" s="7">
        <f>IF(A73="","",IF((A73+71)&gt;Model!$B$4,0,MAX(0,Model!$B$6-IF((A73+71)&gt;=Model!$B$11,Model!$B$20,0)-IF(71&lt;Model!$B$15,Model!$B$22,0))/(1-Model!$B$9)/(1+Model!$B$18)^71))</f>
        <v/>
      </c>
      <c r="CH73" s="7">
        <f>IF(A73="","",IF((A73+72)&gt;Model!$B$4,0,MAX(0,Model!$B$6-IF((A73+72)&gt;=Model!$B$11,Model!$B$20,0)-IF(72&lt;Model!$B$15,Model!$B$22,0))/(1-Model!$B$9)/(1+Model!$B$18)^72))</f>
        <v/>
      </c>
      <c r="CI73" s="7">
        <f>IF(A73="","",IF((A73+73)&gt;Model!$B$4,0,MAX(0,Model!$B$6-IF((A73+73)&gt;=Model!$B$11,Model!$B$20,0)-IF(73&lt;Model!$B$15,Model!$B$22,0))/(1-Model!$B$9)/(1+Model!$B$18)^73))</f>
        <v/>
      </c>
      <c r="CJ73" s="7">
        <f>IF(A73="","",IF((A73+74)&gt;Model!$B$4,0,MAX(0,Model!$B$6-IF((A73+74)&gt;=Model!$B$11,Model!$B$20,0)-IF(74&lt;Model!$B$15,Model!$B$22,0))/(1-Model!$B$9)/(1+Model!$B$18)^74))</f>
        <v/>
      </c>
      <c r="CK73" s="7">
        <f>IF(A73="","",IF((A73+75)&gt;Model!$B$4,0,MAX(0,Model!$B$6-IF((A73+75)&gt;=Model!$B$11,Model!$B$20,0)-IF(75&lt;Model!$B$15,Model!$B$22,0))/(1-Model!$B$9)/(1+Model!$B$18)^75))</f>
        <v/>
      </c>
      <c r="CL73" s="7">
        <f>IF(A73="","",IF((A73+76)&gt;Model!$B$4,0,MAX(0,Model!$B$6-IF((A73+76)&gt;=Model!$B$11,Model!$B$20,0)-IF(76&lt;Model!$B$15,Model!$B$22,0))/(1-Model!$B$9)/(1+Model!$B$18)^76))</f>
        <v/>
      </c>
      <c r="CM73" s="7">
        <f>IF(A73="","",IF((A73+77)&gt;Model!$B$4,0,MAX(0,Model!$B$6-IF((A73+77)&gt;=Model!$B$11,Model!$B$20,0)-IF(77&lt;Model!$B$15,Model!$B$22,0))/(1-Model!$B$9)/(1+Model!$B$18)^77))</f>
        <v/>
      </c>
      <c r="CN73" s="7">
        <f>IF(A73="","",IF((A73+78)&gt;Model!$B$4,0,MAX(0,Model!$B$6-IF((A73+78)&gt;=Model!$B$11,Model!$B$20,0)-IF(78&lt;Model!$B$15,Model!$B$22,0))/(1-Model!$B$9)/(1+Model!$B$18)^78))</f>
        <v/>
      </c>
      <c r="CO73" s="7">
        <f>IF(A73="","",IF((A73+79)&gt;Model!$B$4,0,MAX(0,Model!$B$6-IF((A73+79)&gt;=Model!$B$11,Model!$B$20,0)-IF(79&lt;Model!$B$15,Model!$B$22,0))/(1-Model!$B$9)/(1+Model!$B$18)^79))</f>
        <v/>
      </c>
      <c r="CP73" s="7">
        <f>IF(A73="","",IF((A73+80)&gt;Model!$B$4,0,MAX(0,Model!$B$6-IF((A73+80)&gt;=Model!$B$11,Model!$B$20,0)-IF(80&lt;Model!$B$15,Model!$B$22,0))/(1-Model!$B$9)/(1+Model!$B$18)^80))</f>
        <v/>
      </c>
      <c r="CQ73" s="7">
        <f>IF(A73="","",IF((A73+81)&gt;Model!$B$4,0,MAX(0,Model!$B$6-IF((A73+81)&gt;=Model!$B$11,Model!$B$20,0)-IF(81&lt;Model!$B$15,Model!$B$22,0))/(1-Model!$B$9)/(1+Model!$B$18)^81))</f>
        <v/>
      </c>
      <c r="CR73" s="7">
        <f>IF(A73="","",IF((A73+82)&gt;Model!$B$4,0,MAX(0,Model!$B$6-IF((A73+82)&gt;=Model!$B$11,Model!$B$20,0)-IF(82&lt;Model!$B$15,Model!$B$22,0))/(1-Model!$B$9)/(1+Model!$B$18)^82))</f>
        <v/>
      </c>
      <c r="CS73" s="7">
        <f>IF(A73="","",IF((A73+83)&gt;Model!$B$4,0,MAX(0,Model!$B$6-IF((A73+83)&gt;=Model!$B$11,Model!$B$20,0)-IF(83&lt;Model!$B$15,Model!$B$22,0))/(1-Model!$B$9)/(1+Model!$B$18)^83))</f>
        <v/>
      </c>
      <c r="CT73" s="7">
        <f>IF(A73="","",IF((A73+84)&gt;Model!$B$4,0,MAX(0,Model!$B$6-IF((A73+84)&gt;=Model!$B$11,Model!$B$20,0)-IF(84&lt;Model!$B$15,Model!$B$22,0))/(1-Model!$B$9)/(1+Model!$B$18)^84))</f>
        <v/>
      </c>
      <c r="CU73" s="7">
        <f>IF(A73="","",IF((A73+85)&gt;Model!$B$4,0,MAX(0,Model!$B$6-IF((A73+85)&gt;=Model!$B$11,Model!$B$20,0)-IF(85&lt;Model!$B$15,Model!$B$22,0))/(1-Model!$B$9)/(1+Model!$B$18)^85))</f>
        <v/>
      </c>
      <c r="CV73" s="7">
        <f>IF(A73="","",IF((A73+86)&gt;Model!$B$4,0,MAX(0,Model!$B$6-IF((A73+86)&gt;=Model!$B$11,Model!$B$20,0)-IF(86&lt;Model!$B$15,Model!$B$22,0))/(1-Model!$B$9)/(1+Model!$B$18)^86))</f>
        <v/>
      </c>
      <c r="CW73" s="7">
        <f>IF(A73="","",IF((A73+87)&gt;Model!$B$4,0,MAX(0,Model!$B$6-IF((A73+87)&gt;=Model!$B$11,Model!$B$20,0)-IF(87&lt;Model!$B$15,Model!$B$22,0))/(1-Model!$B$9)/(1+Model!$B$18)^87))</f>
        <v/>
      </c>
      <c r="CX73" s="7">
        <f>IF(A73="","",IF((A73+88)&gt;Model!$B$4,0,MAX(0,Model!$B$6-IF((A73+88)&gt;=Model!$B$11,Model!$B$20,0)-IF(88&lt;Model!$B$15,Model!$B$22,0))/(1-Model!$B$9)/(1+Model!$B$18)^88))</f>
        <v/>
      </c>
      <c r="CY73" s="7">
        <f>IF(A73="","",IF((A73+89)&gt;Model!$B$4,0,MAX(0,Model!$B$6-IF((A73+89)&gt;=Model!$B$11,Model!$B$20,0)-IF(89&lt;Model!$B$15,Model!$B$22,0))/(1-Model!$B$9)/(1+Model!$B$18)^89))</f>
        <v/>
      </c>
      <c r="CZ73" s="7">
        <f>IF(A73="","",IF((A73+90)&gt;Model!$B$4,0,MAX(0,Model!$B$6-IF((A73+90)&gt;=Model!$B$11,Model!$B$20,0)-IF(90&lt;Model!$B$15,Model!$B$22,0))/(1-Model!$B$9)/(1+Model!$B$18)^90))</f>
        <v/>
      </c>
      <c r="DA73" s="7">
        <f>IF(A73="","",IF((A73+91)&gt;Model!$B$4,0,MAX(0,Model!$B$6-IF((A73+91)&gt;=Model!$B$11,Model!$B$20,0)-IF(91&lt;Model!$B$15,Model!$B$22,0))/(1-Model!$B$9)/(1+Model!$B$18)^91))</f>
        <v/>
      </c>
      <c r="DB73" s="7">
        <f>IF(A73="","",IF((A73+92)&gt;Model!$B$4,0,MAX(0,Model!$B$6-IF((A73+92)&gt;=Model!$B$11,Model!$B$20,0)-IF(92&lt;Model!$B$15,Model!$B$22,0))/(1-Model!$B$9)/(1+Model!$B$18)^92))</f>
        <v/>
      </c>
      <c r="DC73" s="7">
        <f>IF(A73="","",IF((A73+93)&gt;Model!$B$4,0,MAX(0,Model!$B$6-IF((A73+93)&gt;=Model!$B$11,Model!$B$20,0)-IF(93&lt;Model!$B$15,Model!$B$22,0))/(1-Model!$B$9)/(1+Model!$B$18)^93))</f>
        <v/>
      </c>
      <c r="DD73" s="7">
        <f>IF(A73="","",IF((A73+94)&gt;Model!$B$4,0,MAX(0,Model!$B$6-IF((A73+94)&gt;=Model!$B$11,Model!$B$20,0)-IF(94&lt;Model!$B$15,Model!$B$22,0))/(1-Model!$B$9)/(1+Model!$B$18)^94))</f>
        <v/>
      </c>
      <c r="DE73" s="7">
        <f>IF(A73="","",IF((A73+95)&gt;Model!$B$4,0,MAX(0,Model!$B$6-IF((A73+95)&gt;=Model!$B$11,Model!$B$20,0)-IF(95&lt;Model!$B$15,Model!$B$22,0))/(1-Model!$B$9)/(1+Model!$B$18)^95))</f>
        <v/>
      </c>
      <c r="DF73" s="7">
        <f>IF(A73="","",IF((A73+96)&gt;Model!$B$4,0,MAX(0,Model!$B$6-IF((A73+96)&gt;=Model!$B$11,Model!$B$20,0)-IF(96&lt;Model!$B$15,Model!$B$22,0))/(1-Model!$B$9)/(1+Model!$B$18)^96))</f>
        <v/>
      </c>
      <c r="DG73" s="7">
        <f>IF(A73="","",IF((A73+97)&gt;Model!$B$4,0,MAX(0,Model!$B$6-IF((A73+97)&gt;=Model!$B$11,Model!$B$20,0)-IF(97&lt;Model!$B$15,Model!$B$22,0))/(1-Model!$B$9)/(1+Model!$B$18)^97))</f>
        <v/>
      </c>
      <c r="DH73" s="7">
        <f>IF(A73="","",IF((A73+98)&gt;Model!$B$4,0,MAX(0,Model!$B$6-IF((A73+98)&gt;=Model!$B$11,Model!$B$20,0)-IF(98&lt;Model!$B$15,Model!$B$22,0))/(1-Model!$B$9)/(1+Model!$B$18)^98))</f>
        <v/>
      </c>
      <c r="DI73" s="7">
        <f>IF(A73="","",IF((A73+99)&gt;Model!$B$4,0,MAX(0,Model!$B$6-IF((A73+99)&gt;=Model!$B$11,Model!$B$20,0)-IF(99&lt;Model!$B$15,Model!$B$22,0))/(1-Model!$B$9)/(1+Model!$B$18)^99))</f>
        <v/>
      </c>
      <c r="DJ73" s="7">
        <f>IF(A73="","",IF((A73+100)&gt;Model!$B$4,0,MAX(0,Model!$B$6-IF((A73+100)&gt;=Model!$B$11,Model!$B$20,0)-IF(100&lt;Model!$B$15,Model!$B$22,0))/(1-Model!$B$9)/(1+Model!$B$18)^100))</f>
        <v/>
      </c>
      <c r="DK73" s="7">
        <f>IF(A73="","",IF((A73+101)&gt;Model!$B$4,0,MAX(0,Model!$B$6-IF((A73+101)&gt;=Model!$B$11,Model!$B$20,0)-IF(101&lt;Model!$B$15,Model!$B$22,0))/(1-Model!$B$9)/(1+Model!$B$18)^101))</f>
        <v/>
      </c>
      <c r="DL73" s="7">
        <f>IF(A73="","",IF((A73+102)&gt;Model!$B$4,0,MAX(0,Model!$B$6-IF((A73+102)&gt;=Model!$B$11,Model!$B$20,0)-IF(102&lt;Model!$B$15,Model!$B$22,0))/(1-Model!$B$9)/(1+Model!$B$18)^102))</f>
        <v/>
      </c>
      <c r="DM73" s="7">
        <f>IF(A73="","",IF((A73+103)&gt;Model!$B$4,0,MAX(0,Model!$B$6-IF((A73+103)&gt;=Model!$B$11,Model!$B$20,0)-IF(103&lt;Model!$B$15,Model!$B$22,0))/(1-Model!$B$9)/(1+Model!$B$18)^103))</f>
        <v/>
      </c>
      <c r="DN73" s="7">
        <f>IF(A73="","",IF((A73+104)&gt;Model!$B$4,0,MAX(0,Model!$B$6-IF((A73+104)&gt;=Model!$B$11,Model!$B$20,0)-IF(104&lt;Model!$B$15,Model!$B$22,0))/(1-Model!$B$9)/(1+Model!$B$18)^104))</f>
        <v/>
      </c>
      <c r="DO73" s="7">
        <f>IF(A73="","",IF((A73+105)&gt;Model!$B$4,0,MAX(0,Model!$B$6-IF((A73+105)&gt;=Model!$B$11,Model!$B$20,0)-IF(105&lt;Model!$B$15,Model!$B$22,0))/(1-Model!$B$9)/(1+Model!$B$18)^105))</f>
        <v/>
      </c>
      <c r="DP73" s="7">
        <f>IF(A73="","",IF((A73+106)&gt;Model!$B$4,0,MAX(0,Model!$B$6-IF((A73+106)&gt;=Model!$B$11,Model!$B$20,0)-IF(106&lt;Model!$B$15,Model!$B$22,0))/(1-Model!$B$9)/(1+Model!$B$18)^106))</f>
        <v/>
      </c>
      <c r="DQ73" s="7">
        <f>IF(A73="","",IF((A73+107)&gt;Model!$B$4,0,MAX(0,Model!$B$6-IF((A73+107)&gt;=Model!$B$11,Model!$B$20,0)-IF(107&lt;Model!$B$15,Model!$B$22,0))/(1-Model!$B$9)/(1+Model!$B$18)^107))</f>
        <v/>
      </c>
      <c r="DR73" s="7">
        <f>IF(A73="","",IF((A73+108)&gt;Model!$B$4,0,MAX(0,Model!$B$6-IF((A73+108)&gt;=Model!$B$11,Model!$B$20,0)-IF(108&lt;Model!$B$15,Model!$B$22,0))/(1-Model!$B$9)/(1+Model!$B$18)^108))</f>
        <v/>
      </c>
      <c r="DS73" s="7">
        <f>IF(A73="","",IF((A73+109)&gt;Model!$B$4,0,MAX(0,Model!$B$6-IF((A73+109)&gt;=Model!$B$11,Model!$B$20,0)-IF(109&lt;Model!$B$15,Model!$B$22,0))/(1-Model!$B$9)/(1+Model!$B$18)^109))</f>
        <v/>
      </c>
      <c r="DT73" s="7">
        <f>IF(A73="","",IF((A73+110)&gt;Model!$B$4,0,MAX(0,Model!$B$6-IF((A73+110)&gt;=Model!$B$11,Model!$B$20,0)-IF(110&lt;Model!$B$15,Model!$B$22,0))/(1-Model!$B$9)/(1+Model!$B$18)^110))</f>
        <v/>
      </c>
      <c r="DU73" s="7">
        <f>IF(A73="","",IF((A73+111)&gt;Model!$B$4,0,MAX(0,Model!$B$6-IF((A73+111)&gt;=Model!$B$11,Model!$B$20,0)-IF(111&lt;Model!$B$15,Model!$B$22,0))/(1-Model!$B$9)/(1+Model!$B$18)^111))</f>
        <v/>
      </c>
      <c r="DV73" s="7">
        <f>IF(A73="","",IF((A73+112)&gt;Model!$B$4,0,MAX(0,Model!$B$6-IF((A73+112)&gt;=Model!$B$11,Model!$B$20,0)-IF(112&lt;Model!$B$15,Model!$B$22,0))/(1-Model!$B$9)/(1+Model!$B$18)^112))</f>
        <v/>
      </c>
      <c r="DW73" s="7">
        <f>IF(A73="","",IF((A73+113)&gt;Model!$B$4,0,MAX(0,Model!$B$6-IF((A73+113)&gt;=Model!$B$11,Model!$B$20,0)-IF(113&lt;Model!$B$15,Model!$B$22,0))/(1-Model!$B$9)/(1+Model!$B$18)^113))</f>
        <v/>
      </c>
      <c r="DX73" s="7">
        <f>IF(A73="","",IF((A73+114)&gt;Model!$B$4,0,MAX(0,Model!$B$6-IF((A73+114)&gt;=Model!$B$11,Model!$B$20,0)-IF(114&lt;Model!$B$15,Model!$B$22,0))/(1-Model!$B$9)/(1+Model!$B$18)^114))</f>
        <v/>
      </c>
      <c r="DY73" s="7">
        <f>IF(A73="","",IF((A73+115)&gt;Model!$B$4,0,MAX(0,Model!$B$6-IF((A73+115)&gt;=Model!$B$11,Model!$B$20,0)-IF(115&lt;Model!$B$15,Model!$B$22,0))/(1-Model!$B$9)/(1+Model!$B$18)^115))</f>
        <v/>
      </c>
      <c r="DZ73" s="7">
        <f>IF(A73="","",IF((A73+116)&gt;Model!$B$4,0,MAX(0,Model!$B$6-IF((A73+116)&gt;=Model!$B$11,Model!$B$20,0)-IF(116&lt;Model!$B$15,Model!$B$22,0))/(1-Model!$B$9)/(1+Model!$B$18)^116))</f>
        <v/>
      </c>
      <c r="EA73" s="7">
        <f>IF(A73="","",IF((A73+117)&gt;Model!$B$4,0,MAX(0,Model!$B$6-IF((A73+117)&gt;=Model!$B$11,Model!$B$20,0)-IF(117&lt;Model!$B$15,Model!$B$22,0))/(1-Model!$B$9)/(1+Model!$B$18)^117))</f>
        <v/>
      </c>
      <c r="EB73" s="7">
        <f>IF(A73="","",IF((A73+118)&gt;Model!$B$4,0,MAX(0,Model!$B$6-IF((A73+118)&gt;=Model!$B$11,Model!$B$20,0)-IF(118&lt;Model!$B$15,Model!$B$22,0))/(1-Model!$B$9)/(1+Model!$B$18)^118))</f>
        <v/>
      </c>
      <c r="EC73" s="7">
        <f>IF(A73="","",IF((A73+119)&gt;Model!$B$4,0,MAX(0,Model!$B$6-IF((A73+119)&gt;=Model!$B$11,Model!$B$20,0)-IF(119&lt;Model!$B$15,Model!$B$22,0))/(1-Model!$B$9)/(1+Model!$B$18)^119))</f>
        <v/>
      </c>
      <c r="ED73" s="7">
        <f>IF(A73="","",IF((A73+120)&gt;Model!$B$4,0,MAX(0,Model!$B$6-IF((A73+120)&gt;=Model!$B$11,Model!$B$20,0)-IF(120&lt;Model!$B$15,Model!$B$22,0))/(1-Model!$B$9)/(1+Model!$B$18)^120))</f>
        <v/>
      </c>
    </row>
    <row r="74">
      <c r="A74">
        <f>IF(Model!$B$10+ROW()-2&lt;=Model!$B$4,Model!$B$10+ROW()-2,"")</f>
        <v/>
      </c>
      <c r="B74">
        <f>IF(A74="","",A74-Model!$B$10)</f>
        <v/>
      </c>
      <c r="C74" s="7">
        <f>IF(A74="","",Model!$B$5*(1+Model!$B$18)^B74)</f>
        <v/>
      </c>
      <c r="D74" s="7">
        <f>IF(A74="","",SUM(N74:ED74))</f>
        <v/>
      </c>
      <c r="E74" s="7">
        <f>IF(A74="","",IF(A74&gt;=Model!$B$11,Model!$B$20,0))</f>
        <v/>
      </c>
      <c r="F74" s="7">
        <f>IF(A74="","",IF(Model!$B$15&gt;0,Model!$B$22,0))</f>
        <v/>
      </c>
      <c r="G74" s="7">
        <f>IF(A74="","",E74+F74)</f>
        <v/>
      </c>
      <c r="H74" s="7">
        <f>IF(A74="","",MAX(0,Model!$B$6-G74))</f>
        <v/>
      </c>
      <c r="I74" s="7">
        <f>IF(A74="","",H74/(1-Model!$B$9))</f>
        <v/>
      </c>
      <c r="J74" s="7">
        <f>IF(A74="","",C74-D74)</f>
        <v/>
      </c>
      <c r="K74">
        <f>IF(A74="","",C74&gt;=D74)</f>
        <v/>
      </c>
      <c r="L74" s="7">
        <f>IF(A74="","",IF(A74&gt;=Model!$B$11,Model!$B$19*(1+Model!$B$13)^B74,0))</f>
        <v/>
      </c>
      <c r="M74" s="7">
        <f>IF(A74="","",IF(Model!$B$15&gt;0,Model!$B$21*(1+Model!$B$13)^B74,0))</f>
        <v/>
      </c>
      <c r="N74" s="7">
        <f>IF(A74="","",IF((A74+0)&gt;Model!$B$4,0,MAX(0,Model!$B$6-IF((A74+0)&gt;=Model!$B$11,Model!$B$20,0)-IF(0&lt;Model!$B$15,Model!$B$22,0))/(1-Model!$B$9)/(1+Model!$B$18)^0))</f>
        <v/>
      </c>
      <c r="O74" s="7">
        <f>IF(A74="","",IF((A74+1)&gt;Model!$B$4,0,MAX(0,Model!$B$6-IF((A74+1)&gt;=Model!$B$11,Model!$B$20,0)-IF(1&lt;Model!$B$15,Model!$B$22,0))/(1-Model!$B$9)/(1+Model!$B$18)^1))</f>
        <v/>
      </c>
      <c r="P74" s="7">
        <f>IF(A74="","",IF((A74+2)&gt;Model!$B$4,0,MAX(0,Model!$B$6-IF((A74+2)&gt;=Model!$B$11,Model!$B$20,0)-IF(2&lt;Model!$B$15,Model!$B$22,0))/(1-Model!$B$9)/(1+Model!$B$18)^2))</f>
        <v/>
      </c>
      <c r="Q74" s="7">
        <f>IF(A74="","",IF((A74+3)&gt;Model!$B$4,0,MAX(0,Model!$B$6-IF((A74+3)&gt;=Model!$B$11,Model!$B$20,0)-IF(3&lt;Model!$B$15,Model!$B$22,0))/(1-Model!$B$9)/(1+Model!$B$18)^3))</f>
        <v/>
      </c>
      <c r="R74" s="7">
        <f>IF(A74="","",IF((A74+4)&gt;Model!$B$4,0,MAX(0,Model!$B$6-IF((A74+4)&gt;=Model!$B$11,Model!$B$20,0)-IF(4&lt;Model!$B$15,Model!$B$22,0))/(1-Model!$B$9)/(1+Model!$B$18)^4))</f>
        <v/>
      </c>
      <c r="S74" s="7">
        <f>IF(A74="","",IF((A74+5)&gt;Model!$B$4,0,MAX(0,Model!$B$6-IF((A74+5)&gt;=Model!$B$11,Model!$B$20,0)-IF(5&lt;Model!$B$15,Model!$B$22,0))/(1-Model!$B$9)/(1+Model!$B$18)^5))</f>
        <v/>
      </c>
      <c r="T74" s="7">
        <f>IF(A74="","",IF((A74+6)&gt;Model!$B$4,0,MAX(0,Model!$B$6-IF((A74+6)&gt;=Model!$B$11,Model!$B$20,0)-IF(6&lt;Model!$B$15,Model!$B$22,0))/(1-Model!$B$9)/(1+Model!$B$18)^6))</f>
        <v/>
      </c>
      <c r="U74" s="7">
        <f>IF(A74="","",IF((A74+7)&gt;Model!$B$4,0,MAX(0,Model!$B$6-IF((A74+7)&gt;=Model!$B$11,Model!$B$20,0)-IF(7&lt;Model!$B$15,Model!$B$22,0))/(1-Model!$B$9)/(1+Model!$B$18)^7))</f>
        <v/>
      </c>
      <c r="V74" s="7">
        <f>IF(A74="","",IF((A74+8)&gt;Model!$B$4,0,MAX(0,Model!$B$6-IF((A74+8)&gt;=Model!$B$11,Model!$B$20,0)-IF(8&lt;Model!$B$15,Model!$B$22,0))/(1-Model!$B$9)/(1+Model!$B$18)^8))</f>
        <v/>
      </c>
      <c r="W74" s="7">
        <f>IF(A74="","",IF((A74+9)&gt;Model!$B$4,0,MAX(0,Model!$B$6-IF((A74+9)&gt;=Model!$B$11,Model!$B$20,0)-IF(9&lt;Model!$B$15,Model!$B$22,0))/(1-Model!$B$9)/(1+Model!$B$18)^9))</f>
        <v/>
      </c>
      <c r="X74" s="7">
        <f>IF(A74="","",IF((A74+10)&gt;Model!$B$4,0,MAX(0,Model!$B$6-IF((A74+10)&gt;=Model!$B$11,Model!$B$20,0)-IF(10&lt;Model!$B$15,Model!$B$22,0))/(1-Model!$B$9)/(1+Model!$B$18)^10))</f>
        <v/>
      </c>
      <c r="Y74" s="7">
        <f>IF(A74="","",IF((A74+11)&gt;Model!$B$4,0,MAX(0,Model!$B$6-IF((A74+11)&gt;=Model!$B$11,Model!$B$20,0)-IF(11&lt;Model!$B$15,Model!$B$22,0))/(1-Model!$B$9)/(1+Model!$B$18)^11))</f>
        <v/>
      </c>
      <c r="Z74" s="7">
        <f>IF(A74="","",IF((A74+12)&gt;Model!$B$4,0,MAX(0,Model!$B$6-IF((A74+12)&gt;=Model!$B$11,Model!$B$20,0)-IF(12&lt;Model!$B$15,Model!$B$22,0))/(1-Model!$B$9)/(1+Model!$B$18)^12))</f>
        <v/>
      </c>
      <c r="AA74" s="7">
        <f>IF(A74="","",IF((A74+13)&gt;Model!$B$4,0,MAX(0,Model!$B$6-IF((A74+13)&gt;=Model!$B$11,Model!$B$20,0)-IF(13&lt;Model!$B$15,Model!$B$22,0))/(1-Model!$B$9)/(1+Model!$B$18)^13))</f>
        <v/>
      </c>
      <c r="AB74" s="7">
        <f>IF(A74="","",IF((A74+14)&gt;Model!$B$4,0,MAX(0,Model!$B$6-IF((A74+14)&gt;=Model!$B$11,Model!$B$20,0)-IF(14&lt;Model!$B$15,Model!$B$22,0))/(1-Model!$B$9)/(1+Model!$B$18)^14))</f>
        <v/>
      </c>
      <c r="AC74" s="7">
        <f>IF(A74="","",IF((A74+15)&gt;Model!$B$4,0,MAX(0,Model!$B$6-IF((A74+15)&gt;=Model!$B$11,Model!$B$20,0)-IF(15&lt;Model!$B$15,Model!$B$22,0))/(1-Model!$B$9)/(1+Model!$B$18)^15))</f>
        <v/>
      </c>
      <c r="AD74" s="7">
        <f>IF(A74="","",IF((A74+16)&gt;Model!$B$4,0,MAX(0,Model!$B$6-IF((A74+16)&gt;=Model!$B$11,Model!$B$20,0)-IF(16&lt;Model!$B$15,Model!$B$22,0))/(1-Model!$B$9)/(1+Model!$B$18)^16))</f>
        <v/>
      </c>
      <c r="AE74" s="7">
        <f>IF(A74="","",IF((A74+17)&gt;Model!$B$4,0,MAX(0,Model!$B$6-IF((A74+17)&gt;=Model!$B$11,Model!$B$20,0)-IF(17&lt;Model!$B$15,Model!$B$22,0))/(1-Model!$B$9)/(1+Model!$B$18)^17))</f>
        <v/>
      </c>
      <c r="AF74" s="7">
        <f>IF(A74="","",IF((A74+18)&gt;Model!$B$4,0,MAX(0,Model!$B$6-IF((A74+18)&gt;=Model!$B$11,Model!$B$20,0)-IF(18&lt;Model!$B$15,Model!$B$22,0))/(1-Model!$B$9)/(1+Model!$B$18)^18))</f>
        <v/>
      </c>
      <c r="AG74" s="7">
        <f>IF(A74="","",IF((A74+19)&gt;Model!$B$4,0,MAX(0,Model!$B$6-IF((A74+19)&gt;=Model!$B$11,Model!$B$20,0)-IF(19&lt;Model!$B$15,Model!$B$22,0))/(1-Model!$B$9)/(1+Model!$B$18)^19))</f>
        <v/>
      </c>
      <c r="AH74" s="7">
        <f>IF(A74="","",IF((A74+20)&gt;Model!$B$4,0,MAX(0,Model!$B$6-IF((A74+20)&gt;=Model!$B$11,Model!$B$20,0)-IF(20&lt;Model!$B$15,Model!$B$22,0))/(1-Model!$B$9)/(1+Model!$B$18)^20))</f>
        <v/>
      </c>
      <c r="AI74" s="7">
        <f>IF(A74="","",IF((A74+21)&gt;Model!$B$4,0,MAX(0,Model!$B$6-IF((A74+21)&gt;=Model!$B$11,Model!$B$20,0)-IF(21&lt;Model!$B$15,Model!$B$22,0))/(1-Model!$B$9)/(1+Model!$B$18)^21))</f>
        <v/>
      </c>
      <c r="AJ74" s="7">
        <f>IF(A74="","",IF((A74+22)&gt;Model!$B$4,0,MAX(0,Model!$B$6-IF((A74+22)&gt;=Model!$B$11,Model!$B$20,0)-IF(22&lt;Model!$B$15,Model!$B$22,0))/(1-Model!$B$9)/(1+Model!$B$18)^22))</f>
        <v/>
      </c>
      <c r="AK74" s="7">
        <f>IF(A74="","",IF((A74+23)&gt;Model!$B$4,0,MAX(0,Model!$B$6-IF((A74+23)&gt;=Model!$B$11,Model!$B$20,0)-IF(23&lt;Model!$B$15,Model!$B$22,0))/(1-Model!$B$9)/(1+Model!$B$18)^23))</f>
        <v/>
      </c>
      <c r="AL74" s="7">
        <f>IF(A74="","",IF((A74+24)&gt;Model!$B$4,0,MAX(0,Model!$B$6-IF((A74+24)&gt;=Model!$B$11,Model!$B$20,0)-IF(24&lt;Model!$B$15,Model!$B$22,0))/(1-Model!$B$9)/(1+Model!$B$18)^24))</f>
        <v/>
      </c>
      <c r="AM74" s="7">
        <f>IF(A74="","",IF((A74+25)&gt;Model!$B$4,0,MAX(0,Model!$B$6-IF((A74+25)&gt;=Model!$B$11,Model!$B$20,0)-IF(25&lt;Model!$B$15,Model!$B$22,0))/(1-Model!$B$9)/(1+Model!$B$18)^25))</f>
        <v/>
      </c>
      <c r="AN74" s="7">
        <f>IF(A74="","",IF((A74+26)&gt;Model!$B$4,0,MAX(0,Model!$B$6-IF((A74+26)&gt;=Model!$B$11,Model!$B$20,0)-IF(26&lt;Model!$B$15,Model!$B$22,0))/(1-Model!$B$9)/(1+Model!$B$18)^26))</f>
        <v/>
      </c>
      <c r="AO74" s="7">
        <f>IF(A74="","",IF((A74+27)&gt;Model!$B$4,0,MAX(0,Model!$B$6-IF((A74+27)&gt;=Model!$B$11,Model!$B$20,0)-IF(27&lt;Model!$B$15,Model!$B$22,0))/(1-Model!$B$9)/(1+Model!$B$18)^27))</f>
        <v/>
      </c>
      <c r="AP74" s="7">
        <f>IF(A74="","",IF((A74+28)&gt;Model!$B$4,0,MAX(0,Model!$B$6-IF((A74+28)&gt;=Model!$B$11,Model!$B$20,0)-IF(28&lt;Model!$B$15,Model!$B$22,0))/(1-Model!$B$9)/(1+Model!$B$18)^28))</f>
        <v/>
      </c>
      <c r="AQ74" s="7">
        <f>IF(A74="","",IF((A74+29)&gt;Model!$B$4,0,MAX(0,Model!$B$6-IF((A74+29)&gt;=Model!$B$11,Model!$B$20,0)-IF(29&lt;Model!$B$15,Model!$B$22,0))/(1-Model!$B$9)/(1+Model!$B$18)^29))</f>
        <v/>
      </c>
      <c r="AR74" s="7">
        <f>IF(A74="","",IF((A74+30)&gt;Model!$B$4,0,MAX(0,Model!$B$6-IF((A74+30)&gt;=Model!$B$11,Model!$B$20,0)-IF(30&lt;Model!$B$15,Model!$B$22,0))/(1-Model!$B$9)/(1+Model!$B$18)^30))</f>
        <v/>
      </c>
      <c r="AS74" s="7">
        <f>IF(A74="","",IF((A74+31)&gt;Model!$B$4,0,MAX(0,Model!$B$6-IF((A74+31)&gt;=Model!$B$11,Model!$B$20,0)-IF(31&lt;Model!$B$15,Model!$B$22,0))/(1-Model!$B$9)/(1+Model!$B$18)^31))</f>
        <v/>
      </c>
      <c r="AT74" s="7">
        <f>IF(A74="","",IF((A74+32)&gt;Model!$B$4,0,MAX(0,Model!$B$6-IF((A74+32)&gt;=Model!$B$11,Model!$B$20,0)-IF(32&lt;Model!$B$15,Model!$B$22,0))/(1-Model!$B$9)/(1+Model!$B$18)^32))</f>
        <v/>
      </c>
      <c r="AU74" s="7">
        <f>IF(A74="","",IF((A74+33)&gt;Model!$B$4,0,MAX(0,Model!$B$6-IF((A74+33)&gt;=Model!$B$11,Model!$B$20,0)-IF(33&lt;Model!$B$15,Model!$B$22,0))/(1-Model!$B$9)/(1+Model!$B$18)^33))</f>
        <v/>
      </c>
      <c r="AV74" s="7">
        <f>IF(A74="","",IF((A74+34)&gt;Model!$B$4,0,MAX(0,Model!$B$6-IF((A74+34)&gt;=Model!$B$11,Model!$B$20,0)-IF(34&lt;Model!$B$15,Model!$B$22,0))/(1-Model!$B$9)/(1+Model!$B$18)^34))</f>
        <v/>
      </c>
      <c r="AW74" s="7">
        <f>IF(A74="","",IF((A74+35)&gt;Model!$B$4,0,MAX(0,Model!$B$6-IF((A74+35)&gt;=Model!$B$11,Model!$B$20,0)-IF(35&lt;Model!$B$15,Model!$B$22,0))/(1-Model!$B$9)/(1+Model!$B$18)^35))</f>
        <v/>
      </c>
      <c r="AX74" s="7">
        <f>IF(A74="","",IF((A74+36)&gt;Model!$B$4,0,MAX(0,Model!$B$6-IF((A74+36)&gt;=Model!$B$11,Model!$B$20,0)-IF(36&lt;Model!$B$15,Model!$B$22,0))/(1-Model!$B$9)/(1+Model!$B$18)^36))</f>
        <v/>
      </c>
      <c r="AY74" s="7">
        <f>IF(A74="","",IF((A74+37)&gt;Model!$B$4,0,MAX(0,Model!$B$6-IF((A74+37)&gt;=Model!$B$11,Model!$B$20,0)-IF(37&lt;Model!$B$15,Model!$B$22,0))/(1-Model!$B$9)/(1+Model!$B$18)^37))</f>
        <v/>
      </c>
      <c r="AZ74" s="7">
        <f>IF(A74="","",IF((A74+38)&gt;Model!$B$4,0,MAX(0,Model!$B$6-IF((A74+38)&gt;=Model!$B$11,Model!$B$20,0)-IF(38&lt;Model!$B$15,Model!$B$22,0))/(1-Model!$B$9)/(1+Model!$B$18)^38))</f>
        <v/>
      </c>
      <c r="BA74" s="7">
        <f>IF(A74="","",IF((A74+39)&gt;Model!$B$4,0,MAX(0,Model!$B$6-IF((A74+39)&gt;=Model!$B$11,Model!$B$20,0)-IF(39&lt;Model!$B$15,Model!$B$22,0))/(1-Model!$B$9)/(1+Model!$B$18)^39))</f>
        <v/>
      </c>
      <c r="BB74" s="7">
        <f>IF(A74="","",IF((A74+40)&gt;Model!$B$4,0,MAX(0,Model!$B$6-IF((A74+40)&gt;=Model!$B$11,Model!$B$20,0)-IF(40&lt;Model!$B$15,Model!$B$22,0))/(1-Model!$B$9)/(1+Model!$B$18)^40))</f>
        <v/>
      </c>
      <c r="BC74" s="7">
        <f>IF(A74="","",IF((A74+41)&gt;Model!$B$4,0,MAX(0,Model!$B$6-IF((A74+41)&gt;=Model!$B$11,Model!$B$20,0)-IF(41&lt;Model!$B$15,Model!$B$22,0))/(1-Model!$B$9)/(1+Model!$B$18)^41))</f>
        <v/>
      </c>
      <c r="BD74" s="7">
        <f>IF(A74="","",IF((A74+42)&gt;Model!$B$4,0,MAX(0,Model!$B$6-IF((A74+42)&gt;=Model!$B$11,Model!$B$20,0)-IF(42&lt;Model!$B$15,Model!$B$22,0))/(1-Model!$B$9)/(1+Model!$B$18)^42))</f>
        <v/>
      </c>
      <c r="BE74" s="7">
        <f>IF(A74="","",IF((A74+43)&gt;Model!$B$4,0,MAX(0,Model!$B$6-IF((A74+43)&gt;=Model!$B$11,Model!$B$20,0)-IF(43&lt;Model!$B$15,Model!$B$22,0))/(1-Model!$B$9)/(1+Model!$B$18)^43))</f>
        <v/>
      </c>
      <c r="BF74" s="7">
        <f>IF(A74="","",IF((A74+44)&gt;Model!$B$4,0,MAX(0,Model!$B$6-IF((A74+44)&gt;=Model!$B$11,Model!$B$20,0)-IF(44&lt;Model!$B$15,Model!$B$22,0))/(1-Model!$B$9)/(1+Model!$B$18)^44))</f>
        <v/>
      </c>
      <c r="BG74" s="7">
        <f>IF(A74="","",IF((A74+45)&gt;Model!$B$4,0,MAX(0,Model!$B$6-IF((A74+45)&gt;=Model!$B$11,Model!$B$20,0)-IF(45&lt;Model!$B$15,Model!$B$22,0))/(1-Model!$B$9)/(1+Model!$B$18)^45))</f>
        <v/>
      </c>
      <c r="BH74" s="7">
        <f>IF(A74="","",IF((A74+46)&gt;Model!$B$4,0,MAX(0,Model!$B$6-IF((A74+46)&gt;=Model!$B$11,Model!$B$20,0)-IF(46&lt;Model!$B$15,Model!$B$22,0))/(1-Model!$B$9)/(1+Model!$B$18)^46))</f>
        <v/>
      </c>
      <c r="BI74" s="7">
        <f>IF(A74="","",IF((A74+47)&gt;Model!$B$4,0,MAX(0,Model!$B$6-IF((A74+47)&gt;=Model!$B$11,Model!$B$20,0)-IF(47&lt;Model!$B$15,Model!$B$22,0))/(1-Model!$B$9)/(1+Model!$B$18)^47))</f>
        <v/>
      </c>
      <c r="BJ74" s="7">
        <f>IF(A74="","",IF((A74+48)&gt;Model!$B$4,0,MAX(0,Model!$B$6-IF((A74+48)&gt;=Model!$B$11,Model!$B$20,0)-IF(48&lt;Model!$B$15,Model!$B$22,0))/(1-Model!$B$9)/(1+Model!$B$18)^48))</f>
        <v/>
      </c>
      <c r="BK74" s="7">
        <f>IF(A74="","",IF((A74+49)&gt;Model!$B$4,0,MAX(0,Model!$B$6-IF((A74+49)&gt;=Model!$B$11,Model!$B$20,0)-IF(49&lt;Model!$B$15,Model!$B$22,0))/(1-Model!$B$9)/(1+Model!$B$18)^49))</f>
        <v/>
      </c>
      <c r="BL74" s="7">
        <f>IF(A74="","",IF((A74+50)&gt;Model!$B$4,0,MAX(0,Model!$B$6-IF((A74+50)&gt;=Model!$B$11,Model!$B$20,0)-IF(50&lt;Model!$B$15,Model!$B$22,0))/(1-Model!$B$9)/(1+Model!$B$18)^50))</f>
        <v/>
      </c>
      <c r="BM74" s="7">
        <f>IF(A74="","",IF((A74+51)&gt;Model!$B$4,0,MAX(0,Model!$B$6-IF((A74+51)&gt;=Model!$B$11,Model!$B$20,0)-IF(51&lt;Model!$B$15,Model!$B$22,0))/(1-Model!$B$9)/(1+Model!$B$18)^51))</f>
        <v/>
      </c>
      <c r="BN74" s="7">
        <f>IF(A74="","",IF((A74+52)&gt;Model!$B$4,0,MAX(0,Model!$B$6-IF((A74+52)&gt;=Model!$B$11,Model!$B$20,0)-IF(52&lt;Model!$B$15,Model!$B$22,0))/(1-Model!$B$9)/(1+Model!$B$18)^52))</f>
        <v/>
      </c>
      <c r="BO74" s="7">
        <f>IF(A74="","",IF((A74+53)&gt;Model!$B$4,0,MAX(0,Model!$B$6-IF((A74+53)&gt;=Model!$B$11,Model!$B$20,0)-IF(53&lt;Model!$B$15,Model!$B$22,0))/(1-Model!$B$9)/(1+Model!$B$18)^53))</f>
        <v/>
      </c>
      <c r="BP74" s="7">
        <f>IF(A74="","",IF((A74+54)&gt;Model!$B$4,0,MAX(0,Model!$B$6-IF((A74+54)&gt;=Model!$B$11,Model!$B$20,0)-IF(54&lt;Model!$B$15,Model!$B$22,0))/(1-Model!$B$9)/(1+Model!$B$18)^54))</f>
        <v/>
      </c>
      <c r="BQ74" s="7">
        <f>IF(A74="","",IF((A74+55)&gt;Model!$B$4,0,MAX(0,Model!$B$6-IF((A74+55)&gt;=Model!$B$11,Model!$B$20,0)-IF(55&lt;Model!$B$15,Model!$B$22,0))/(1-Model!$B$9)/(1+Model!$B$18)^55))</f>
        <v/>
      </c>
      <c r="BR74" s="7">
        <f>IF(A74="","",IF((A74+56)&gt;Model!$B$4,0,MAX(0,Model!$B$6-IF((A74+56)&gt;=Model!$B$11,Model!$B$20,0)-IF(56&lt;Model!$B$15,Model!$B$22,0))/(1-Model!$B$9)/(1+Model!$B$18)^56))</f>
        <v/>
      </c>
      <c r="BS74" s="7">
        <f>IF(A74="","",IF((A74+57)&gt;Model!$B$4,0,MAX(0,Model!$B$6-IF((A74+57)&gt;=Model!$B$11,Model!$B$20,0)-IF(57&lt;Model!$B$15,Model!$B$22,0))/(1-Model!$B$9)/(1+Model!$B$18)^57))</f>
        <v/>
      </c>
      <c r="BT74" s="7">
        <f>IF(A74="","",IF((A74+58)&gt;Model!$B$4,0,MAX(0,Model!$B$6-IF((A74+58)&gt;=Model!$B$11,Model!$B$20,0)-IF(58&lt;Model!$B$15,Model!$B$22,0))/(1-Model!$B$9)/(1+Model!$B$18)^58))</f>
        <v/>
      </c>
      <c r="BU74" s="7">
        <f>IF(A74="","",IF((A74+59)&gt;Model!$B$4,0,MAX(0,Model!$B$6-IF((A74+59)&gt;=Model!$B$11,Model!$B$20,0)-IF(59&lt;Model!$B$15,Model!$B$22,0))/(1-Model!$B$9)/(1+Model!$B$18)^59))</f>
        <v/>
      </c>
      <c r="BV74" s="7">
        <f>IF(A74="","",IF((A74+60)&gt;Model!$B$4,0,MAX(0,Model!$B$6-IF((A74+60)&gt;=Model!$B$11,Model!$B$20,0)-IF(60&lt;Model!$B$15,Model!$B$22,0))/(1-Model!$B$9)/(1+Model!$B$18)^60))</f>
        <v/>
      </c>
      <c r="BW74" s="7">
        <f>IF(A74="","",IF((A74+61)&gt;Model!$B$4,0,MAX(0,Model!$B$6-IF((A74+61)&gt;=Model!$B$11,Model!$B$20,0)-IF(61&lt;Model!$B$15,Model!$B$22,0))/(1-Model!$B$9)/(1+Model!$B$18)^61))</f>
        <v/>
      </c>
      <c r="BX74" s="7">
        <f>IF(A74="","",IF((A74+62)&gt;Model!$B$4,0,MAX(0,Model!$B$6-IF((A74+62)&gt;=Model!$B$11,Model!$B$20,0)-IF(62&lt;Model!$B$15,Model!$B$22,0))/(1-Model!$B$9)/(1+Model!$B$18)^62))</f>
        <v/>
      </c>
      <c r="BY74" s="7">
        <f>IF(A74="","",IF((A74+63)&gt;Model!$B$4,0,MAX(0,Model!$B$6-IF((A74+63)&gt;=Model!$B$11,Model!$B$20,0)-IF(63&lt;Model!$B$15,Model!$B$22,0))/(1-Model!$B$9)/(1+Model!$B$18)^63))</f>
        <v/>
      </c>
      <c r="BZ74" s="7">
        <f>IF(A74="","",IF((A74+64)&gt;Model!$B$4,0,MAX(0,Model!$B$6-IF((A74+64)&gt;=Model!$B$11,Model!$B$20,0)-IF(64&lt;Model!$B$15,Model!$B$22,0))/(1-Model!$B$9)/(1+Model!$B$18)^64))</f>
        <v/>
      </c>
      <c r="CA74" s="7">
        <f>IF(A74="","",IF((A74+65)&gt;Model!$B$4,0,MAX(0,Model!$B$6-IF((A74+65)&gt;=Model!$B$11,Model!$B$20,0)-IF(65&lt;Model!$B$15,Model!$B$22,0))/(1-Model!$B$9)/(1+Model!$B$18)^65))</f>
        <v/>
      </c>
      <c r="CB74" s="7">
        <f>IF(A74="","",IF((A74+66)&gt;Model!$B$4,0,MAX(0,Model!$B$6-IF((A74+66)&gt;=Model!$B$11,Model!$B$20,0)-IF(66&lt;Model!$B$15,Model!$B$22,0))/(1-Model!$B$9)/(1+Model!$B$18)^66))</f>
        <v/>
      </c>
      <c r="CC74" s="7">
        <f>IF(A74="","",IF((A74+67)&gt;Model!$B$4,0,MAX(0,Model!$B$6-IF((A74+67)&gt;=Model!$B$11,Model!$B$20,0)-IF(67&lt;Model!$B$15,Model!$B$22,0))/(1-Model!$B$9)/(1+Model!$B$18)^67))</f>
        <v/>
      </c>
      <c r="CD74" s="7">
        <f>IF(A74="","",IF((A74+68)&gt;Model!$B$4,0,MAX(0,Model!$B$6-IF((A74+68)&gt;=Model!$B$11,Model!$B$20,0)-IF(68&lt;Model!$B$15,Model!$B$22,0))/(1-Model!$B$9)/(1+Model!$B$18)^68))</f>
        <v/>
      </c>
      <c r="CE74" s="7">
        <f>IF(A74="","",IF((A74+69)&gt;Model!$B$4,0,MAX(0,Model!$B$6-IF((A74+69)&gt;=Model!$B$11,Model!$B$20,0)-IF(69&lt;Model!$B$15,Model!$B$22,0))/(1-Model!$B$9)/(1+Model!$B$18)^69))</f>
        <v/>
      </c>
      <c r="CF74" s="7">
        <f>IF(A74="","",IF((A74+70)&gt;Model!$B$4,0,MAX(0,Model!$B$6-IF((A74+70)&gt;=Model!$B$11,Model!$B$20,0)-IF(70&lt;Model!$B$15,Model!$B$22,0))/(1-Model!$B$9)/(1+Model!$B$18)^70))</f>
        <v/>
      </c>
      <c r="CG74" s="7">
        <f>IF(A74="","",IF((A74+71)&gt;Model!$B$4,0,MAX(0,Model!$B$6-IF((A74+71)&gt;=Model!$B$11,Model!$B$20,0)-IF(71&lt;Model!$B$15,Model!$B$22,0))/(1-Model!$B$9)/(1+Model!$B$18)^71))</f>
        <v/>
      </c>
      <c r="CH74" s="7">
        <f>IF(A74="","",IF((A74+72)&gt;Model!$B$4,0,MAX(0,Model!$B$6-IF((A74+72)&gt;=Model!$B$11,Model!$B$20,0)-IF(72&lt;Model!$B$15,Model!$B$22,0))/(1-Model!$B$9)/(1+Model!$B$18)^72))</f>
        <v/>
      </c>
      <c r="CI74" s="7">
        <f>IF(A74="","",IF((A74+73)&gt;Model!$B$4,0,MAX(0,Model!$B$6-IF((A74+73)&gt;=Model!$B$11,Model!$B$20,0)-IF(73&lt;Model!$B$15,Model!$B$22,0))/(1-Model!$B$9)/(1+Model!$B$18)^73))</f>
        <v/>
      </c>
      <c r="CJ74" s="7">
        <f>IF(A74="","",IF((A74+74)&gt;Model!$B$4,0,MAX(0,Model!$B$6-IF((A74+74)&gt;=Model!$B$11,Model!$B$20,0)-IF(74&lt;Model!$B$15,Model!$B$22,0))/(1-Model!$B$9)/(1+Model!$B$18)^74))</f>
        <v/>
      </c>
      <c r="CK74" s="7">
        <f>IF(A74="","",IF((A74+75)&gt;Model!$B$4,0,MAX(0,Model!$B$6-IF((A74+75)&gt;=Model!$B$11,Model!$B$20,0)-IF(75&lt;Model!$B$15,Model!$B$22,0))/(1-Model!$B$9)/(1+Model!$B$18)^75))</f>
        <v/>
      </c>
      <c r="CL74" s="7">
        <f>IF(A74="","",IF((A74+76)&gt;Model!$B$4,0,MAX(0,Model!$B$6-IF((A74+76)&gt;=Model!$B$11,Model!$B$20,0)-IF(76&lt;Model!$B$15,Model!$B$22,0))/(1-Model!$B$9)/(1+Model!$B$18)^76))</f>
        <v/>
      </c>
      <c r="CM74" s="7">
        <f>IF(A74="","",IF((A74+77)&gt;Model!$B$4,0,MAX(0,Model!$B$6-IF((A74+77)&gt;=Model!$B$11,Model!$B$20,0)-IF(77&lt;Model!$B$15,Model!$B$22,0))/(1-Model!$B$9)/(1+Model!$B$18)^77))</f>
        <v/>
      </c>
      <c r="CN74" s="7">
        <f>IF(A74="","",IF((A74+78)&gt;Model!$B$4,0,MAX(0,Model!$B$6-IF((A74+78)&gt;=Model!$B$11,Model!$B$20,0)-IF(78&lt;Model!$B$15,Model!$B$22,0))/(1-Model!$B$9)/(1+Model!$B$18)^78))</f>
        <v/>
      </c>
      <c r="CO74" s="7">
        <f>IF(A74="","",IF((A74+79)&gt;Model!$B$4,0,MAX(0,Model!$B$6-IF((A74+79)&gt;=Model!$B$11,Model!$B$20,0)-IF(79&lt;Model!$B$15,Model!$B$22,0))/(1-Model!$B$9)/(1+Model!$B$18)^79))</f>
        <v/>
      </c>
      <c r="CP74" s="7">
        <f>IF(A74="","",IF((A74+80)&gt;Model!$B$4,0,MAX(0,Model!$B$6-IF((A74+80)&gt;=Model!$B$11,Model!$B$20,0)-IF(80&lt;Model!$B$15,Model!$B$22,0))/(1-Model!$B$9)/(1+Model!$B$18)^80))</f>
        <v/>
      </c>
      <c r="CQ74" s="7">
        <f>IF(A74="","",IF((A74+81)&gt;Model!$B$4,0,MAX(0,Model!$B$6-IF((A74+81)&gt;=Model!$B$11,Model!$B$20,0)-IF(81&lt;Model!$B$15,Model!$B$22,0))/(1-Model!$B$9)/(1+Model!$B$18)^81))</f>
        <v/>
      </c>
      <c r="CR74" s="7">
        <f>IF(A74="","",IF((A74+82)&gt;Model!$B$4,0,MAX(0,Model!$B$6-IF((A74+82)&gt;=Model!$B$11,Model!$B$20,0)-IF(82&lt;Model!$B$15,Model!$B$22,0))/(1-Model!$B$9)/(1+Model!$B$18)^82))</f>
        <v/>
      </c>
      <c r="CS74" s="7">
        <f>IF(A74="","",IF((A74+83)&gt;Model!$B$4,0,MAX(0,Model!$B$6-IF((A74+83)&gt;=Model!$B$11,Model!$B$20,0)-IF(83&lt;Model!$B$15,Model!$B$22,0))/(1-Model!$B$9)/(1+Model!$B$18)^83))</f>
        <v/>
      </c>
      <c r="CT74" s="7">
        <f>IF(A74="","",IF((A74+84)&gt;Model!$B$4,0,MAX(0,Model!$B$6-IF((A74+84)&gt;=Model!$B$11,Model!$B$20,0)-IF(84&lt;Model!$B$15,Model!$B$22,0))/(1-Model!$B$9)/(1+Model!$B$18)^84))</f>
        <v/>
      </c>
      <c r="CU74" s="7">
        <f>IF(A74="","",IF((A74+85)&gt;Model!$B$4,0,MAX(0,Model!$B$6-IF((A74+85)&gt;=Model!$B$11,Model!$B$20,0)-IF(85&lt;Model!$B$15,Model!$B$22,0))/(1-Model!$B$9)/(1+Model!$B$18)^85))</f>
        <v/>
      </c>
      <c r="CV74" s="7">
        <f>IF(A74="","",IF((A74+86)&gt;Model!$B$4,0,MAX(0,Model!$B$6-IF((A74+86)&gt;=Model!$B$11,Model!$B$20,0)-IF(86&lt;Model!$B$15,Model!$B$22,0))/(1-Model!$B$9)/(1+Model!$B$18)^86))</f>
        <v/>
      </c>
      <c r="CW74" s="7">
        <f>IF(A74="","",IF((A74+87)&gt;Model!$B$4,0,MAX(0,Model!$B$6-IF((A74+87)&gt;=Model!$B$11,Model!$B$20,0)-IF(87&lt;Model!$B$15,Model!$B$22,0))/(1-Model!$B$9)/(1+Model!$B$18)^87))</f>
        <v/>
      </c>
      <c r="CX74" s="7">
        <f>IF(A74="","",IF((A74+88)&gt;Model!$B$4,0,MAX(0,Model!$B$6-IF((A74+88)&gt;=Model!$B$11,Model!$B$20,0)-IF(88&lt;Model!$B$15,Model!$B$22,0))/(1-Model!$B$9)/(1+Model!$B$18)^88))</f>
        <v/>
      </c>
      <c r="CY74" s="7">
        <f>IF(A74="","",IF((A74+89)&gt;Model!$B$4,0,MAX(0,Model!$B$6-IF((A74+89)&gt;=Model!$B$11,Model!$B$20,0)-IF(89&lt;Model!$B$15,Model!$B$22,0))/(1-Model!$B$9)/(1+Model!$B$18)^89))</f>
        <v/>
      </c>
      <c r="CZ74" s="7">
        <f>IF(A74="","",IF((A74+90)&gt;Model!$B$4,0,MAX(0,Model!$B$6-IF((A74+90)&gt;=Model!$B$11,Model!$B$20,0)-IF(90&lt;Model!$B$15,Model!$B$22,0))/(1-Model!$B$9)/(1+Model!$B$18)^90))</f>
        <v/>
      </c>
      <c r="DA74" s="7">
        <f>IF(A74="","",IF((A74+91)&gt;Model!$B$4,0,MAX(0,Model!$B$6-IF((A74+91)&gt;=Model!$B$11,Model!$B$20,0)-IF(91&lt;Model!$B$15,Model!$B$22,0))/(1-Model!$B$9)/(1+Model!$B$18)^91))</f>
        <v/>
      </c>
      <c r="DB74" s="7">
        <f>IF(A74="","",IF((A74+92)&gt;Model!$B$4,0,MAX(0,Model!$B$6-IF((A74+92)&gt;=Model!$B$11,Model!$B$20,0)-IF(92&lt;Model!$B$15,Model!$B$22,0))/(1-Model!$B$9)/(1+Model!$B$18)^92))</f>
        <v/>
      </c>
      <c r="DC74" s="7">
        <f>IF(A74="","",IF((A74+93)&gt;Model!$B$4,0,MAX(0,Model!$B$6-IF((A74+93)&gt;=Model!$B$11,Model!$B$20,0)-IF(93&lt;Model!$B$15,Model!$B$22,0))/(1-Model!$B$9)/(1+Model!$B$18)^93))</f>
        <v/>
      </c>
      <c r="DD74" s="7">
        <f>IF(A74="","",IF((A74+94)&gt;Model!$B$4,0,MAX(0,Model!$B$6-IF((A74+94)&gt;=Model!$B$11,Model!$B$20,0)-IF(94&lt;Model!$B$15,Model!$B$22,0))/(1-Model!$B$9)/(1+Model!$B$18)^94))</f>
        <v/>
      </c>
      <c r="DE74" s="7">
        <f>IF(A74="","",IF((A74+95)&gt;Model!$B$4,0,MAX(0,Model!$B$6-IF((A74+95)&gt;=Model!$B$11,Model!$B$20,0)-IF(95&lt;Model!$B$15,Model!$B$22,0))/(1-Model!$B$9)/(1+Model!$B$18)^95))</f>
        <v/>
      </c>
      <c r="DF74" s="7">
        <f>IF(A74="","",IF((A74+96)&gt;Model!$B$4,0,MAX(0,Model!$B$6-IF((A74+96)&gt;=Model!$B$11,Model!$B$20,0)-IF(96&lt;Model!$B$15,Model!$B$22,0))/(1-Model!$B$9)/(1+Model!$B$18)^96))</f>
        <v/>
      </c>
      <c r="DG74" s="7">
        <f>IF(A74="","",IF((A74+97)&gt;Model!$B$4,0,MAX(0,Model!$B$6-IF((A74+97)&gt;=Model!$B$11,Model!$B$20,0)-IF(97&lt;Model!$B$15,Model!$B$22,0))/(1-Model!$B$9)/(1+Model!$B$18)^97))</f>
        <v/>
      </c>
      <c r="DH74" s="7">
        <f>IF(A74="","",IF((A74+98)&gt;Model!$B$4,0,MAX(0,Model!$B$6-IF((A74+98)&gt;=Model!$B$11,Model!$B$20,0)-IF(98&lt;Model!$B$15,Model!$B$22,0))/(1-Model!$B$9)/(1+Model!$B$18)^98))</f>
        <v/>
      </c>
      <c r="DI74" s="7">
        <f>IF(A74="","",IF((A74+99)&gt;Model!$B$4,0,MAX(0,Model!$B$6-IF((A74+99)&gt;=Model!$B$11,Model!$B$20,0)-IF(99&lt;Model!$B$15,Model!$B$22,0))/(1-Model!$B$9)/(1+Model!$B$18)^99))</f>
        <v/>
      </c>
      <c r="DJ74" s="7">
        <f>IF(A74="","",IF((A74+100)&gt;Model!$B$4,0,MAX(0,Model!$B$6-IF((A74+100)&gt;=Model!$B$11,Model!$B$20,0)-IF(100&lt;Model!$B$15,Model!$B$22,0))/(1-Model!$B$9)/(1+Model!$B$18)^100))</f>
        <v/>
      </c>
      <c r="DK74" s="7">
        <f>IF(A74="","",IF((A74+101)&gt;Model!$B$4,0,MAX(0,Model!$B$6-IF((A74+101)&gt;=Model!$B$11,Model!$B$20,0)-IF(101&lt;Model!$B$15,Model!$B$22,0))/(1-Model!$B$9)/(1+Model!$B$18)^101))</f>
        <v/>
      </c>
      <c r="DL74" s="7">
        <f>IF(A74="","",IF((A74+102)&gt;Model!$B$4,0,MAX(0,Model!$B$6-IF((A74+102)&gt;=Model!$B$11,Model!$B$20,0)-IF(102&lt;Model!$B$15,Model!$B$22,0))/(1-Model!$B$9)/(1+Model!$B$18)^102))</f>
        <v/>
      </c>
      <c r="DM74" s="7">
        <f>IF(A74="","",IF((A74+103)&gt;Model!$B$4,0,MAX(0,Model!$B$6-IF((A74+103)&gt;=Model!$B$11,Model!$B$20,0)-IF(103&lt;Model!$B$15,Model!$B$22,0))/(1-Model!$B$9)/(1+Model!$B$18)^103))</f>
        <v/>
      </c>
      <c r="DN74" s="7">
        <f>IF(A74="","",IF((A74+104)&gt;Model!$B$4,0,MAX(0,Model!$B$6-IF((A74+104)&gt;=Model!$B$11,Model!$B$20,0)-IF(104&lt;Model!$B$15,Model!$B$22,0))/(1-Model!$B$9)/(1+Model!$B$18)^104))</f>
        <v/>
      </c>
      <c r="DO74" s="7">
        <f>IF(A74="","",IF((A74+105)&gt;Model!$B$4,0,MAX(0,Model!$B$6-IF((A74+105)&gt;=Model!$B$11,Model!$B$20,0)-IF(105&lt;Model!$B$15,Model!$B$22,0))/(1-Model!$B$9)/(1+Model!$B$18)^105))</f>
        <v/>
      </c>
      <c r="DP74" s="7">
        <f>IF(A74="","",IF((A74+106)&gt;Model!$B$4,0,MAX(0,Model!$B$6-IF((A74+106)&gt;=Model!$B$11,Model!$B$20,0)-IF(106&lt;Model!$B$15,Model!$B$22,0))/(1-Model!$B$9)/(1+Model!$B$18)^106))</f>
        <v/>
      </c>
      <c r="DQ74" s="7">
        <f>IF(A74="","",IF((A74+107)&gt;Model!$B$4,0,MAX(0,Model!$B$6-IF((A74+107)&gt;=Model!$B$11,Model!$B$20,0)-IF(107&lt;Model!$B$15,Model!$B$22,0))/(1-Model!$B$9)/(1+Model!$B$18)^107))</f>
        <v/>
      </c>
      <c r="DR74" s="7">
        <f>IF(A74="","",IF((A74+108)&gt;Model!$B$4,0,MAX(0,Model!$B$6-IF((A74+108)&gt;=Model!$B$11,Model!$B$20,0)-IF(108&lt;Model!$B$15,Model!$B$22,0))/(1-Model!$B$9)/(1+Model!$B$18)^108))</f>
        <v/>
      </c>
      <c r="DS74" s="7">
        <f>IF(A74="","",IF((A74+109)&gt;Model!$B$4,0,MAX(0,Model!$B$6-IF((A74+109)&gt;=Model!$B$11,Model!$B$20,0)-IF(109&lt;Model!$B$15,Model!$B$22,0))/(1-Model!$B$9)/(1+Model!$B$18)^109))</f>
        <v/>
      </c>
      <c r="DT74" s="7">
        <f>IF(A74="","",IF((A74+110)&gt;Model!$B$4,0,MAX(0,Model!$B$6-IF((A74+110)&gt;=Model!$B$11,Model!$B$20,0)-IF(110&lt;Model!$B$15,Model!$B$22,0))/(1-Model!$B$9)/(1+Model!$B$18)^110))</f>
        <v/>
      </c>
      <c r="DU74" s="7">
        <f>IF(A74="","",IF((A74+111)&gt;Model!$B$4,0,MAX(0,Model!$B$6-IF((A74+111)&gt;=Model!$B$11,Model!$B$20,0)-IF(111&lt;Model!$B$15,Model!$B$22,0))/(1-Model!$B$9)/(1+Model!$B$18)^111))</f>
        <v/>
      </c>
      <c r="DV74" s="7">
        <f>IF(A74="","",IF((A74+112)&gt;Model!$B$4,0,MAX(0,Model!$B$6-IF((A74+112)&gt;=Model!$B$11,Model!$B$20,0)-IF(112&lt;Model!$B$15,Model!$B$22,0))/(1-Model!$B$9)/(1+Model!$B$18)^112))</f>
        <v/>
      </c>
      <c r="DW74" s="7">
        <f>IF(A74="","",IF((A74+113)&gt;Model!$B$4,0,MAX(0,Model!$B$6-IF((A74+113)&gt;=Model!$B$11,Model!$B$20,0)-IF(113&lt;Model!$B$15,Model!$B$22,0))/(1-Model!$B$9)/(1+Model!$B$18)^113))</f>
        <v/>
      </c>
      <c r="DX74" s="7">
        <f>IF(A74="","",IF((A74+114)&gt;Model!$B$4,0,MAX(0,Model!$B$6-IF((A74+114)&gt;=Model!$B$11,Model!$B$20,0)-IF(114&lt;Model!$B$15,Model!$B$22,0))/(1-Model!$B$9)/(1+Model!$B$18)^114))</f>
        <v/>
      </c>
      <c r="DY74" s="7">
        <f>IF(A74="","",IF((A74+115)&gt;Model!$B$4,0,MAX(0,Model!$B$6-IF((A74+115)&gt;=Model!$B$11,Model!$B$20,0)-IF(115&lt;Model!$B$15,Model!$B$22,0))/(1-Model!$B$9)/(1+Model!$B$18)^115))</f>
        <v/>
      </c>
      <c r="DZ74" s="7">
        <f>IF(A74="","",IF((A74+116)&gt;Model!$B$4,0,MAX(0,Model!$B$6-IF((A74+116)&gt;=Model!$B$11,Model!$B$20,0)-IF(116&lt;Model!$B$15,Model!$B$22,0))/(1-Model!$B$9)/(1+Model!$B$18)^116))</f>
        <v/>
      </c>
      <c r="EA74" s="7">
        <f>IF(A74="","",IF((A74+117)&gt;Model!$B$4,0,MAX(0,Model!$B$6-IF((A74+117)&gt;=Model!$B$11,Model!$B$20,0)-IF(117&lt;Model!$B$15,Model!$B$22,0))/(1-Model!$B$9)/(1+Model!$B$18)^117))</f>
        <v/>
      </c>
      <c r="EB74" s="7">
        <f>IF(A74="","",IF((A74+118)&gt;Model!$B$4,0,MAX(0,Model!$B$6-IF((A74+118)&gt;=Model!$B$11,Model!$B$20,0)-IF(118&lt;Model!$B$15,Model!$B$22,0))/(1-Model!$B$9)/(1+Model!$B$18)^118))</f>
        <v/>
      </c>
      <c r="EC74" s="7">
        <f>IF(A74="","",IF((A74+119)&gt;Model!$B$4,0,MAX(0,Model!$B$6-IF((A74+119)&gt;=Model!$B$11,Model!$B$20,0)-IF(119&lt;Model!$B$15,Model!$B$22,0))/(1-Model!$B$9)/(1+Model!$B$18)^119))</f>
        <v/>
      </c>
      <c r="ED74" s="7">
        <f>IF(A74="","",IF((A74+120)&gt;Model!$B$4,0,MAX(0,Model!$B$6-IF((A74+120)&gt;=Model!$B$11,Model!$B$20,0)-IF(120&lt;Model!$B$15,Model!$B$22,0))/(1-Model!$B$9)/(1+Model!$B$18)^120))</f>
        <v/>
      </c>
    </row>
    <row r="75">
      <c r="A75">
        <f>IF(Model!$B$10+ROW()-2&lt;=Model!$B$4,Model!$B$10+ROW()-2,"")</f>
        <v/>
      </c>
      <c r="B75">
        <f>IF(A75="","",A75-Model!$B$10)</f>
        <v/>
      </c>
      <c r="C75" s="7">
        <f>IF(A75="","",Model!$B$5*(1+Model!$B$18)^B75)</f>
        <v/>
      </c>
      <c r="D75" s="7">
        <f>IF(A75="","",SUM(N75:ED75))</f>
        <v/>
      </c>
      <c r="E75" s="7">
        <f>IF(A75="","",IF(A75&gt;=Model!$B$11,Model!$B$20,0))</f>
        <v/>
      </c>
      <c r="F75" s="7">
        <f>IF(A75="","",IF(Model!$B$15&gt;0,Model!$B$22,0))</f>
        <v/>
      </c>
      <c r="G75" s="7">
        <f>IF(A75="","",E75+F75)</f>
        <v/>
      </c>
      <c r="H75" s="7">
        <f>IF(A75="","",MAX(0,Model!$B$6-G75))</f>
        <v/>
      </c>
      <c r="I75" s="7">
        <f>IF(A75="","",H75/(1-Model!$B$9))</f>
        <v/>
      </c>
      <c r="J75" s="7">
        <f>IF(A75="","",C75-D75)</f>
        <v/>
      </c>
      <c r="K75">
        <f>IF(A75="","",C75&gt;=D75)</f>
        <v/>
      </c>
      <c r="L75" s="7">
        <f>IF(A75="","",IF(A75&gt;=Model!$B$11,Model!$B$19*(1+Model!$B$13)^B75,0))</f>
        <v/>
      </c>
      <c r="M75" s="7">
        <f>IF(A75="","",IF(Model!$B$15&gt;0,Model!$B$21*(1+Model!$B$13)^B75,0))</f>
        <v/>
      </c>
      <c r="N75" s="7">
        <f>IF(A75="","",IF((A75+0)&gt;Model!$B$4,0,MAX(0,Model!$B$6-IF((A75+0)&gt;=Model!$B$11,Model!$B$20,0)-IF(0&lt;Model!$B$15,Model!$B$22,0))/(1-Model!$B$9)/(1+Model!$B$18)^0))</f>
        <v/>
      </c>
      <c r="O75" s="7">
        <f>IF(A75="","",IF((A75+1)&gt;Model!$B$4,0,MAX(0,Model!$B$6-IF((A75+1)&gt;=Model!$B$11,Model!$B$20,0)-IF(1&lt;Model!$B$15,Model!$B$22,0))/(1-Model!$B$9)/(1+Model!$B$18)^1))</f>
        <v/>
      </c>
      <c r="P75" s="7">
        <f>IF(A75="","",IF((A75+2)&gt;Model!$B$4,0,MAX(0,Model!$B$6-IF((A75+2)&gt;=Model!$B$11,Model!$B$20,0)-IF(2&lt;Model!$B$15,Model!$B$22,0))/(1-Model!$B$9)/(1+Model!$B$18)^2))</f>
        <v/>
      </c>
      <c r="Q75" s="7">
        <f>IF(A75="","",IF((A75+3)&gt;Model!$B$4,0,MAX(0,Model!$B$6-IF((A75+3)&gt;=Model!$B$11,Model!$B$20,0)-IF(3&lt;Model!$B$15,Model!$B$22,0))/(1-Model!$B$9)/(1+Model!$B$18)^3))</f>
        <v/>
      </c>
      <c r="R75" s="7">
        <f>IF(A75="","",IF((A75+4)&gt;Model!$B$4,0,MAX(0,Model!$B$6-IF((A75+4)&gt;=Model!$B$11,Model!$B$20,0)-IF(4&lt;Model!$B$15,Model!$B$22,0))/(1-Model!$B$9)/(1+Model!$B$18)^4))</f>
        <v/>
      </c>
      <c r="S75" s="7">
        <f>IF(A75="","",IF((A75+5)&gt;Model!$B$4,0,MAX(0,Model!$B$6-IF((A75+5)&gt;=Model!$B$11,Model!$B$20,0)-IF(5&lt;Model!$B$15,Model!$B$22,0))/(1-Model!$B$9)/(1+Model!$B$18)^5))</f>
        <v/>
      </c>
      <c r="T75" s="7">
        <f>IF(A75="","",IF((A75+6)&gt;Model!$B$4,0,MAX(0,Model!$B$6-IF((A75+6)&gt;=Model!$B$11,Model!$B$20,0)-IF(6&lt;Model!$B$15,Model!$B$22,0))/(1-Model!$B$9)/(1+Model!$B$18)^6))</f>
        <v/>
      </c>
      <c r="U75" s="7">
        <f>IF(A75="","",IF((A75+7)&gt;Model!$B$4,0,MAX(0,Model!$B$6-IF((A75+7)&gt;=Model!$B$11,Model!$B$20,0)-IF(7&lt;Model!$B$15,Model!$B$22,0))/(1-Model!$B$9)/(1+Model!$B$18)^7))</f>
        <v/>
      </c>
      <c r="V75" s="7">
        <f>IF(A75="","",IF((A75+8)&gt;Model!$B$4,0,MAX(0,Model!$B$6-IF((A75+8)&gt;=Model!$B$11,Model!$B$20,0)-IF(8&lt;Model!$B$15,Model!$B$22,0))/(1-Model!$B$9)/(1+Model!$B$18)^8))</f>
        <v/>
      </c>
      <c r="W75" s="7">
        <f>IF(A75="","",IF((A75+9)&gt;Model!$B$4,0,MAX(0,Model!$B$6-IF((A75+9)&gt;=Model!$B$11,Model!$B$20,0)-IF(9&lt;Model!$B$15,Model!$B$22,0))/(1-Model!$B$9)/(1+Model!$B$18)^9))</f>
        <v/>
      </c>
      <c r="X75" s="7">
        <f>IF(A75="","",IF((A75+10)&gt;Model!$B$4,0,MAX(0,Model!$B$6-IF((A75+10)&gt;=Model!$B$11,Model!$B$20,0)-IF(10&lt;Model!$B$15,Model!$B$22,0))/(1-Model!$B$9)/(1+Model!$B$18)^10))</f>
        <v/>
      </c>
      <c r="Y75" s="7">
        <f>IF(A75="","",IF((A75+11)&gt;Model!$B$4,0,MAX(0,Model!$B$6-IF((A75+11)&gt;=Model!$B$11,Model!$B$20,0)-IF(11&lt;Model!$B$15,Model!$B$22,0))/(1-Model!$B$9)/(1+Model!$B$18)^11))</f>
        <v/>
      </c>
      <c r="Z75" s="7">
        <f>IF(A75="","",IF((A75+12)&gt;Model!$B$4,0,MAX(0,Model!$B$6-IF((A75+12)&gt;=Model!$B$11,Model!$B$20,0)-IF(12&lt;Model!$B$15,Model!$B$22,0))/(1-Model!$B$9)/(1+Model!$B$18)^12))</f>
        <v/>
      </c>
      <c r="AA75" s="7">
        <f>IF(A75="","",IF((A75+13)&gt;Model!$B$4,0,MAX(0,Model!$B$6-IF((A75+13)&gt;=Model!$B$11,Model!$B$20,0)-IF(13&lt;Model!$B$15,Model!$B$22,0))/(1-Model!$B$9)/(1+Model!$B$18)^13))</f>
        <v/>
      </c>
      <c r="AB75" s="7">
        <f>IF(A75="","",IF((A75+14)&gt;Model!$B$4,0,MAX(0,Model!$B$6-IF((A75+14)&gt;=Model!$B$11,Model!$B$20,0)-IF(14&lt;Model!$B$15,Model!$B$22,0))/(1-Model!$B$9)/(1+Model!$B$18)^14))</f>
        <v/>
      </c>
      <c r="AC75" s="7">
        <f>IF(A75="","",IF((A75+15)&gt;Model!$B$4,0,MAX(0,Model!$B$6-IF((A75+15)&gt;=Model!$B$11,Model!$B$20,0)-IF(15&lt;Model!$B$15,Model!$B$22,0))/(1-Model!$B$9)/(1+Model!$B$18)^15))</f>
        <v/>
      </c>
      <c r="AD75" s="7">
        <f>IF(A75="","",IF((A75+16)&gt;Model!$B$4,0,MAX(0,Model!$B$6-IF((A75+16)&gt;=Model!$B$11,Model!$B$20,0)-IF(16&lt;Model!$B$15,Model!$B$22,0))/(1-Model!$B$9)/(1+Model!$B$18)^16))</f>
        <v/>
      </c>
      <c r="AE75" s="7">
        <f>IF(A75="","",IF((A75+17)&gt;Model!$B$4,0,MAX(0,Model!$B$6-IF((A75+17)&gt;=Model!$B$11,Model!$B$20,0)-IF(17&lt;Model!$B$15,Model!$B$22,0))/(1-Model!$B$9)/(1+Model!$B$18)^17))</f>
        <v/>
      </c>
      <c r="AF75" s="7">
        <f>IF(A75="","",IF((A75+18)&gt;Model!$B$4,0,MAX(0,Model!$B$6-IF((A75+18)&gt;=Model!$B$11,Model!$B$20,0)-IF(18&lt;Model!$B$15,Model!$B$22,0))/(1-Model!$B$9)/(1+Model!$B$18)^18))</f>
        <v/>
      </c>
      <c r="AG75" s="7">
        <f>IF(A75="","",IF((A75+19)&gt;Model!$B$4,0,MAX(0,Model!$B$6-IF((A75+19)&gt;=Model!$B$11,Model!$B$20,0)-IF(19&lt;Model!$B$15,Model!$B$22,0))/(1-Model!$B$9)/(1+Model!$B$18)^19))</f>
        <v/>
      </c>
      <c r="AH75" s="7">
        <f>IF(A75="","",IF((A75+20)&gt;Model!$B$4,0,MAX(0,Model!$B$6-IF((A75+20)&gt;=Model!$B$11,Model!$B$20,0)-IF(20&lt;Model!$B$15,Model!$B$22,0))/(1-Model!$B$9)/(1+Model!$B$18)^20))</f>
        <v/>
      </c>
      <c r="AI75" s="7">
        <f>IF(A75="","",IF((A75+21)&gt;Model!$B$4,0,MAX(0,Model!$B$6-IF((A75+21)&gt;=Model!$B$11,Model!$B$20,0)-IF(21&lt;Model!$B$15,Model!$B$22,0))/(1-Model!$B$9)/(1+Model!$B$18)^21))</f>
        <v/>
      </c>
      <c r="AJ75" s="7">
        <f>IF(A75="","",IF((A75+22)&gt;Model!$B$4,0,MAX(0,Model!$B$6-IF((A75+22)&gt;=Model!$B$11,Model!$B$20,0)-IF(22&lt;Model!$B$15,Model!$B$22,0))/(1-Model!$B$9)/(1+Model!$B$18)^22))</f>
        <v/>
      </c>
      <c r="AK75" s="7">
        <f>IF(A75="","",IF((A75+23)&gt;Model!$B$4,0,MAX(0,Model!$B$6-IF((A75+23)&gt;=Model!$B$11,Model!$B$20,0)-IF(23&lt;Model!$B$15,Model!$B$22,0))/(1-Model!$B$9)/(1+Model!$B$18)^23))</f>
        <v/>
      </c>
      <c r="AL75" s="7">
        <f>IF(A75="","",IF((A75+24)&gt;Model!$B$4,0,MAX(0,Model!$B$6-IF((A75+24)&gt;=Model!$B$11,Model!$B$20,0)-IF(24&lt;Model!$B$15,Model!$B$22,0))/(1-Model!$B$9)/(1+Model!$B$18)^24))</f>
        <v/>
      </c>
      <c r="AM75" s="7">
        <f>IF(A75="","",IF((A75+25)&gt;Model!$B$4,0,MAX(0,Model!$B$6-IF((A75+25)&gt;=Model!$B$11,Model!$B$20,0)-IF(25&lt;Model!$B$15,Model!$B$22,0))/(1-Model!$B$9)/(1+Model!$B$18)^25))</f>
        <v/>
      </c>
      <c r="AN75" s="7">
        <f>IF(A75="","",IF((A75+26)&gt;Model!$B$4,0,MAX(0,Model!$B$6-IF((A75+26)&gt;=Model!$B$11,Model!$B$20,0)-IF(26&lt;Model!$B$15,Model!$B$22,0))/(1-Model!$B$9)/(1+Model!$B$18)^26))</f>
        <v/>
      </c>
      <c r="AO75" s="7">
        <f>IF(A75="","",IF((A75+27)&gt;Model!$B$4,0,MAX(0,Model!$B$6-IF((A75+27)&gt;=Model!$B$11,Model!$B$20,0)-IF(27&lt;Model!$B$15,Model!$B$22,0))/(1-Model!$B$9)/(1+Model!$B$18)^27))</f>
        <v/>
      </c>
      <c r="AP75" s="7">
        <f>IF(A75="","",IF((A75+28)&gt;Model!$B$4,0,MAX(0,Model!$B$6-IF((A75+28)&gt;=Model!$B$11,Model!$B$20,0)-IF(28&lt;Model!$B$15,Model!$B$22,0))/(1-Model!$B$9)/(1+Model!$B$18)^28))</f>
        <v/>
      </c>
      <c r="AQ75" s="7">
        <f>IF(A75="","",IF((A75+29)&gt;Model!$B$4,0,MAX(0,Model!$B$6-IF((A75+29)&gt;=Model!$B$11,Model!$B$20,0)-IF(29&lt;Model!$B$15,Model!$B$22,0))/(1-Model!$B$9)/(1+Model!$B$18)^29))</f>
        <v/>
      </c>
      <c r="AR75" s="7">
        <f>IF(A75="","",IF((A75+30)&gt;Model!$B$4,0,MAX(0,Model!$B$6-IF((A75+30)&gt;=Model!$B$11,Model!$B$20,0)-IF(30&lt;Model!$B$15,Model!$B$22,0))/(1-Model!$B$9)/(1+Model!$B$18)^30))</f>
        <v/>
      </c>
      <c r="AS75" s="7">
        <f>IF(A75="","",IF((A75+31)&gt;Model!$B$4,0,MAX(0,Model!$B$6-IF((A75+31)&gt;=Model!$B$11,Model!$B$20,0)-IF(31&lt;Model!$B$15,Model!$B$22,0))/(1-Model!$B$9)/(1+Model!$B$18)^31))</f>
        <v/>
      </c>
      <c r="AT75" s="7">
        <f>IF(A75="","",IF((A75+32)&gt;Model!$B$4,0,MAX(0,Model!$B$6-IF((A75+32)&gt;=Model!$B$11,Model!$B$20,0)-IF(32&lt;Model!$B$15,Model!$B$22,0))/(1-Model!$B$9)/(1+Model!$B$18)^32))</f>
        <v/>
      </c>
      <c r="AU75" s="7">
        <f>IF(A75="","",IF((A75+33)&gt;Model!$B$4,0,MAX(0,Model!$B$6-IF((A75+33)&gt;=Model!$B$11,Model!$B$20,0)-IF(33&lt;Model!$B$15,Model!$B$22,0))/(1-Model!$B$9)/(1+Model!$B$18)^33))</f>
        <v/>
      </c>
      <c r="AV75" s="7">
        <f>IF(A75="","",IF((A75+34)&gt;Model!$B$4,0,MAX(0,Model!$B$6-IF((A75+34)&gt;=Model!$B$11,Model!$B$20,0)-IF(34&lt;Model!$B$15,Model!$B$22,0))/(1-Model!$B$9)/(1+Model!$B$18)^34))</f>
        <v/>
      </c>
      <c r="AW75" s="7">
        <f>IF(A75="","",IF((A75+35)&gt;Model!$B$4,0,MAX(0,Model!$B$6-IF((A75+35)&gt;=Model!$B$11,Model!$B$20,0)-IF(35&lt;Model!$B$15,Model!$B$22,0))/(1-Model!$B$9)/(1+Model!$B$18)^35))</f>
        <v/>
      </c>
      <c r="AX75" s="7">
        <f>IF(A75="","",IF((A75+36)&gt;Model!$B$4,0,MAX(0,Model!$B$6-IF((A75+36)&gt;=Model!$B$11,Model!$B$20,0)-IF(36&lt;Model!$B$15,Model!$B$22,0))/(1-Model!$B$9)/(1+Model!$B$18)^36))</f>
        <v/>
      </c>
      <c r="AY75" s="7">
        <f>IF(A75="","",IF((A75+37)&gt;Model!$B$4,0,MAX(0,Model!$B$6-IF((A75+37)&gt;=Model!$B$11,Model!$B$20,0)-IF(37&lt;Model!$B$15,Model!$B$22,0))/(1-Model!$B$9)/(1+Model!$B$18)^37))</f>
        <v/>
      </c>
      <c r="AZ75" s="7">
        <f>IF(A75="","",IF((A75+38)&gt;Model!$B$4,0,MAX(0,Model!$B$6-IF((A75+38)&gt;=Model!$B$11,Model!$B$20,0)-IF(38&lt;Model!$B$15,Model!$B$22,0))/(1-Model!$B$9)/(1+Model!$B$18)^38))</f>
        <v/>
      </c>
      <c r="BA75" s="7">
        <f>IF(A75="","",IF((A75+39)&gt;Model!$B$4,0,MAX(0,Model!$B$6-IF((A75+39)&gt;=Model!$B$11,Model!$B$20,0)-IF(39&lt;Model!$B$15,Model!$B$22,0))/(1-Model!$B$9)/(1+Model!$B$18)^39))</f>
        <v/>
      </c>
      <c r="BB75" s="7">
        <f>IF(A75="","",IF((A75+40)&gt;Model!$B$4,0,MAX(0,Model!$B$6-IF((A75+40)&gt;=Model!$B$11,Model!$B$20,0)-IF(40&lt;Model!$B$15,Model!$B$22,0))/(1-Model!$B$9)/(1+Model!$B$18)^40))</f>
        <v/>
      </c>
      <c r="BC75" s="7">
        <f>IF(A75="","",IF((A75+41)&gt;Model!$B$4,0,MAX(0,Model!$B$6-IF((A75+41)&gt;=Model!$B$11,Model!$B$20,0)-IF(41&lt;Model!$B$15,Model!$B$22,0))/(1-Model!$B$9)/(1+Model!$B$18)^41))</f>
        <v/>
      </c>
      <c r="BD75" s="7">
        <f>IF(A75="","",IF((A75+42)&gt;Model!$B$4,0,MAX(0,Model!$B$6-IF((A75+42)&gt;=Model!$B$11,Model!$B$20,0)-IF(42&lt;Model!$B$15,Model!$B$22,0))/(1-Model!$B$9)/(1+Model!$B$18)^42))</f>
        <v/>
      </c>
      <c r="BE75" s="7">
        <f>IF(A75="","",IF((A75+43)&gt;Model!$B$4,0,MAX(0,Model!$B$6-IF((A75+43)&gt;=Model!$B$11,Model!$B$20,0)-IF(43&lt;Model!$B$15,Model!$B$22,0))/(1-Model!$B$9)/(1+Model!$B$18)^43))</f>
        <v/>
      </c>
      <c r="BF75" s="7">
        <f>IF(A75="","",IF((A75+44)&gt;Model!$B$4,0,MAX(0,Model!$B$6-IF((A75+44)&gt;=Model!$B$11,Model!$B$20,0)-IF(44&lt;Model!$B$15,Model!$B$22,0))/(1-Model!$B$9)/(1+Model!$B$18)^44))</f>
        <v/>
      </c>
      <c r="BG75" s="7">
        <f>IF(A75="","",IF((A75+45)&gt;Model!$B$4,0,MAX(0,Model!$B$6-IF((A75+45)&gt;=Model!$B$11,Model!$B$20,0)-IF(45&lt;Model!$B$15,Model!$B$22,0))/(1-Model!$B$9)/(1+Model!$B$18)^45))</f>
        <v/>
      </c>
      <c r="BH75" s="7">
        <f>IF(A75="","",IF((A75+46)&gt;Model!$B$4,0,MAX(0,Model!$B$6-IF((A75+46)&gt;=Model!$B$11,Model!$B$20,0)-IF(46&lt;Model!$B$15,Model!$B$22,0))/(1-Model!$B$9)/(1+Model!$B$18)^46))</f>
        <v/>
      </c>
      <c r="BI75" s="7">
        <f>IF(A75="","",IF((A75+47)&gt;Model!$B$4,0,MAX(0,Model!$B$6-IF((A75+47)&gt;=Model!$B$11,Model!$B$20,0)-IF(47&lt;Model!$B$15,Model!$B$22,0))/(1-Model!$B$9)/(1+Model!$B$18)^47))</f>
        <v/>
      </c>
      <c r="BJ75" s="7">
        <f>IF(A75="","",IF((A75+48)&gt;Model!$B$4,0,MAX(0,Model!$B$6-IF((A75+48)&gt;=Model!$B$11,Model!$B$20,0)-IF(48&lt;Model!$B$15,Model!$B$22,0))/(1-Model!$B$9)/(1+Model!$B$18)^48))</f>
        <v/>
      </c>
      <c r="BK75" s="7">
        <f>IF(A75="","",IF((A75+49)&gt;Model!$B$4,0,MAX(0,Model!$B$6-IF((A75+49)&gt;=Model!$B$11,Model!$B$20,0)-IF(49&lt;Model!$B$15,Model!$B$22,0))/(1-Model!$B$9)/(1+Model!$B$18)^49))</f>
        <v/>
      </c>
      <c r="BL75" s="7">
        <f>IF(A75="","",IF((A75+50)&gt;Model!$B$4,0,MAX(0,Model!$B$6-IF((A75+50)&gt;=Model!$B$11,Model!$B$20,0)-IF(50&lt;Model!$B$15,Model!$B$22,0))/(1-Model!$B$9)/(1+Model!$B$18)^50))</f>
        <v/>
      </c>
      <c r="BM75" s="7">
        <f>IF(A75="","",IF((A75+51)&gt;Model!$B$4,0,MAX(0,Model!$B$6-IF((A75+51)&gt;=Model!$B$11,Model!$B$20,0)-IF(51&lt;Model!$B$15,Model!$B$22,0))/(1-Model!$B$9)/(1+Model!$B$18)^51))</f>
        <v/>
      </c>
      <c r="BN75" s="7">
        <f>IF(A75="","",IF((A75+52)&gt;Model!$B$4,0,MAX(0,Model!$B$6-IF((A75+52)&gt;=Model!$B$11,Model!$B$20,0)-IF(52&lt;Model!$B$15,Model!$B$22,0))/(1-Model!$B$9)/(1+Model!$B$18)^52))</f>
        <v/>
      </c>
      <c r="BO75" s="7">
        <f>IF(A75="","",IF((A75+53)&gt;Model!$B$4,0,MAX(0,Model!$B$6-IF((A75+53)&gt;=Model!$B$11,Model!$B$20,0)-IF(53&lt;Model!$B$15,Model!$B$22,0))/(1-Model!$B$9)/(1+Model!$B$18)^53))</f>
        <v/>
      </c>
      <c r="BP75" s="7">
        <f>IF(A75="","",IF((A75+54)&gt;Model!$B$4,0,MAX(0,Model!$B$6-IF((A75+54)&gt;=Model!$B$11,Model!$B$20,0)-IF(54&lt;Model!$B$15,Model!$B$22,0))/(1-Model!$B$9)/(1+Model!$B$18)^54))</f>
        <v/>
      </c>
      <c r="BQ75" s="7">
        <f>IF(A75="","",IF((A75+55)&gt;Model!$B$4,0,MAX(0,Model!$B$6-IF((A75+55)&gt;=Model!$B$11,Model!$B$20,0)-IF(55&lt;Model!$B$15,Model!$B$22,0))/(1-Model!$B$9)/(1+Model!$B$18)^55))</f>
        <v/>
      </c>
      <c r="BR75" s="7">
        <f>IF(A75="","",IF((A75+56)&gt;Model!$B$4,0,MAX(0,Model!$B$6-IF((A75+56)&gt;=Model!$B$11,Model!$B$20,0)-IF(56&lt;Model!$B$15,Model!$B$22,0))/(1-Model!$B$9)/(1+Model!$B$18)^56))</f>
        <v/>
      </c>
      <c r="BS75" s="7">
        <f>IF(A75="","",IF((A75+57)&gt;Model!$B$4,0,MAX(0,Model!$B$6-IF((A75+57)&gt;=Model!$B$11,Model!$B$20,0)-IF(57&lt;Model!$B$15,Model!$B$22,0))/(1-Model!$B$9)/(1+Model!$B$18)^57))</f>
        <v/>
      </c>
      <c r="BT75" s="7">
        <f>IF(A75="","",IF((A75+58)&gt;Model!$B$4,0,MAX(0,Model!$B$6-IF((A75+58)&gt;=Model!$B$11,Model!$B$20,0)-IF(58&lt;Model!$B$15,Model!$B$22,0))/(1-Model!$B$9)/(1+Model!$B$18)^58))</f>
        <v/>
      </c>
      <c r="BU75" s="7">
        <f>IF(A75="","",IF((A75+59)&gt;Model!$B$4,0,MAX(0,Model!$B$6-IF((A75+59)&gt;=Model!$B$11,Model!$B$20,0)-IF(59&lt;Model!$B$15,Model!$B$22,0))/(1-Model!$B$9)/(1+Model!$B$18)^59))</f>
        <v/>
      </c>
      <c r="BV75" s="7">
        <f>IF(A75="","",IF((A75+60)&gt;Model!$B$4,0,MAX(0,Model!$B$6-IF((A75+60)&gt;=Model!$B$11,Model!$B$20,0)-IF(60&lt;Model!$B$15,Model!$B$22,0))/(1-Model!$B$9)/(1+Model!$B$18)^60))</f>
        <v/>
      </c>
      <c r="BW75" s="7">
        <f>IF(A75="","",IF((A75+61)&gt;Model!$B$4,0,MAX(0,Model!$B$6-IF((A75+61)&gt;=Model!$B$11,Model!$B$20,0)-IF(61&lt;Model!$B$15,Model!$B$22,0))/(1-Model!$B$9)/(1+Model!$B$18)^61))</f>
        <v/>
      </c>
      <c r="BX75" s="7">
        <f>IF(A75="","",IF((A75+62)&gt;Model!$B$4,0,MAX(0,Model!$B$6-IF((A75+62)&gt;=Model!$B$11,Model!$B$20,0)-IF(62&lt;Model!$B$15,Model!$B$22,0))/(1-Model!$B$9)/(1+Model!$B$18)^62))</f>
        <v/>
      </c>
      <c r="BY75" s="7">
        <f>IF(A75="","",IF((A75+63)&gt;Model!$B$4,0,MAX(0,Model!$B$6-IF((A75+63)&gt;=Model!$B$11,Model!$B$20,0)-IF(63&lt;Model!$B$15,Model!$B$22,0))/(1-Model!$B$9)/(1+Model!$B$18)^63))</f>
        <v/>
      </c>
      <c r="BZ75" s="7">
        <f>IF(A75="","",IF((A75+64)&gt;Model!$B$4,0,MAX(0,Model!$B$6-IF((A75+64)&gt;=Model!$B$11,Model!$B$20,0)-IF(64&lt;Model!$B$15,Model!$B$22,0))/(1-Model!$B$9)/(1+Model!$B$18)^64))</f>
        <v/>
      </c>
      <c r="CA75" s="7">
        <f>IF(A75="","",IF((A75+65)&gt;Model!$B$4,0,MAX(0,Model!$B$6-IF((A75+65)&gt;=Model!$B$11,Model!$B$20,0)-IF(65&lt;Model!$B$15,Model!$B$22,0))/(1-Model!$B$9)/(1+Model!$B$18)^65))</f>
        <v/>
      </c>
      <c r="CB75" s="7">
        <f>IF(A75="","",IF((A75+66)&gt;Model!$B$4,0,MAX(0,Model!$B$6-IF((A75+66)&gt;=Model!$B$11,Model!$B$20,0)-IF(66&lt;Model!$B$15,Model!$B$22,0))/(1-Model!$B$9)/(1+Model!$B$18)^66))</f>
        <v/>
      </c>
      <c r="CC75" s="7">
        <f>IF(A75="","",IF((A75+67)&gt;Model!$B$4,0,MAX(0,Model!$B$6-IF((A75+67)&gt;=Model!$B$11,Model!$B$20,0)-IF(67&lt;Model!$B$15,Model!$B$22,0))/(1-Model!$B$9)/(1+Model!$B$18)^67))</f>
        <v/>
      </c>
      <c r="CD75" s="7">
        <f>IF(A75="","",IF((A75+68)&gt;Model!$B$4,0,MAX(0,Model!$B$6-IF((A75+68)&gt;=Model!$B$11,Model!$B$20,0)-IF(68&lt;Model!$B$15,Model!$B$22,0))/(1-Model!$B$9)/(1+Model!$B$18)^68))</f>
        <v/>
      </c>
      <c r="CE75" s="7">
        <f>IF(A75="","",IF((A75+69)&gt;Model!$B$4,0,MAX(0,Model!$B$6-IF((A75+69)&gt;=Model!$B$11,Model!$B$20,0)-IF(69&lt;Model!$B$15,Model!$B$22,0))/(1-Model!$B$9)/(1+Model!$B$18)^69))</f>
        <v/>
      </c>
      <c r="CF75" s="7">
        <f>IF(A75="","",IF((A75+70)&gt;Model!$B$4,0,MAX(0,Model!$B$6-IF((A75+70)&gt;=Model!$B$11,Model!$B$20,0)-IF(70&lt;Model!$B$15,Model!$B$22,0))/(1-Model!$B$9)/(1+Model!$B$18)^70))</f>
        <v/>
      </c>
      <c r="CG75" s="7">
        <f>IF(A75="","",IF((A75+71)&gt;Model!$B$4,0,MAX(0,Model!$B$6-IF((A75+71)&gt;=Model!$B$11,Model!$B$20,0)-IF(71&lt;Model!$B$15,Model!$B$22,0))/(1-Model!$B$9)/(1+Model!$B$18)^71))</f>
        <v/>
      </c>
      <c r="CH75" s="7">
        <f>IF(A75="","",IF((A75+72)&gt;Model!$B$4,0,MAX(0,Model!$B$6-IF((A75+72)&gt;=Model!$B$11,Model!$B$20,0)-IF(72&lt;Model!$B$15,Model!$B$22,0))/(1-Model!$B$9)/(1+Model!$B$18)^72))</f>
        <v/>
      </c>
      <c r="CI75" s="7">
        <f>IF(A75="","",IF((A75+73)&gt;Model!$B$4,0,MAX(0,Model!$B$6-IF((A75+73)&gt;=Model!$B$11,Model!$B$20,0)-IF(73&lt;Model!$B$15,Model!$B$22,0))/(1-Model!$B$9)/(1+Model!$B$18)^73))</f>
        <v/>
      </c>
      <c r="CJ75" s="7">
        <f>IF(A75="","",IF((A75+74)&gt;Model!$B$4,0,MAX(0,Model!$B$6-IF((A75+74)&gt;=Model!$B$11,Model!$B$20,0)-IF(74&lt;Model!$B$15,Model!$B$22,0))/(1-Model!$B$9)/(1+Model!$B$18)^74))</f>
        <v/>
      </c>
      <c r="CK75" s="7">
        <f>IF(A75="","",IF((A75+75)&gt;Model!$B$4,0,MAX(0,Model!$B$6-IF((A75+75)&gt;=Model!$B$11,Model!$B$20,0)-IF(75&lt;Model!$B$15,Model!$B$22,0))/(1-Model!$B$9)/(1+Model!$B$18)^75))</f>
        <v/>
      </c>
      <c r="CL75" s="7">
        <f>IF(A75="","",IF((A75+76)&gt;Model!$B$4,0,MAX(0,Model!$B$6-IF((A75+76)&gt;=Model!$B$11,Model!$B$20,0)-IF(76&lt;Model!$B$15,Model!$B$22,0))/(1-Model!$B$9)/(1+Model!$B$18)^76))</f>
        <v/>
      </c>
      <c r="CM75" s="7">
        <f>IF(A75="","",IF((A75+77)&gt;Model!$B$4,0,MAX(0,Model!$B$6-IF((A75+77)&gt;=Model!$B$11,Model!$B$20,0)-IF(77&lt;Model!$B$15,Model!$B$22,0))/(1-Model!$B$9)/(1+Model!$B$18)^77))</f>
        <v/>
      </c>
      <c r="CN75" s="7">
        <f>IF(A75="","",IF((A75+78)&gt;Model!$B$4,0,MAX(0,Model!$B$6-IF((A75+78)&gt;=Model!$B$11,Model!$B$20,0)-IF(78&lt;Model!$B$15,Model!$B$22,0))/(1-Model!$B$9)/(1+Model!$B$18)^78))</f>
        <v/>
      </c>
      <c r="CO75" s="7">
        <f>IF(A75="","",IF((A75+79)&gt;Model!$B$4,0,MAX(0,Model!$B$6-IF((A75+79)&gt;=Model!$B$11,Model!$B$20,0)-IF(79&lt;Model!$B$15,Model!$B$22,0))/(1-Model!$B$9)/(1+Model!$B$18)^79))</f>
        <v/>
      </c>
      <c r="CP75" s="7">
        <f>IF(A75="","",IF((A75+80)&gt;Model!$B$4,0,MAX(0,Model!$B$6-IF((A75+80)&gt;=Model!$B$11,Model!$B$20,0)-IF(80&lt;Model!$B$15,Model!$B$22,0))/(1-Model!$B$9)/(1+Model!$B$18)^80))</f>
        <v/>
      </c>
      <c r="CQ75" s="7">
        <f>IF(A75="","",IF((A75+81)&gt;Model!$B$4,0,MAX(0,Model!$B$6-IF((A75+81)&gt;=Model!$B$11,Model!$B$20,0)-IF(81&lt;Model!$B$15,Model!$B$22,0))/(1-Model!$B$9)/(1+Model!$B$18)^81))</f>
        <v/>
      </c>
      <c r="CR75" s="7">
        <f>IF(A75="","",IF((A75+82)&gt;Model!$B$4,0,MAX(0,Model!$B$6-IF((A75+82)&gt;=Model!$B$11,Model!$B$20,0)-IF(82&lt;Model!$B$15,Model!$B$22,0))/(1-Model!$B$9)/(1+Model!$B$18)^82))</f>
        <v/>
      </c>
      <c r="CS75" s="7">
        <f>IF(A75="","",IF((A75+83)&gt;Model!$B$4,0,MAX(0,Model!$B$6-IF((A75+83)&gt;=Model!$B$11,Model!$B$20,0)-IF(83&lt;Model!$B$15,Model!$B$22,0))/(1-Model!$B$9)/(1+Model!$B$18)^83))</f>
        <v/>
      </c>
      <c r="CT75" s="7">
        <f>IF(A75="","",IF((A75+84)&gt;Model!$B$4,0,MAX(0,Model!$B$6-IF((A75+84)&gt;=Model!$B$11,Model!$B$20,0)-IF(84&lt;Model!$B$15,Model!$B$22,0))/(1-Model!$B$9)/(1+Model!$B$18)^84))</f>
        <v/>
      </c>
      <c r="CU75" s="7">
        <f>IF(A75="","",IF((A75+85)&gt;Model!$B$4,0,MAX(0,Model!$B$6-IF((A75+85)&gt;=Model!$B$11,Model!$B$20,0)-IF(85&lt;Model!$B$15,Model!$B$22,0))/(1-Model!$B$9)/(1+Model!$B$18)^85))</f>
        <v/>
      </c>
      <c r="CV75" s="7">
        <f>IF(A75="","",IF((A75+86)&gt;Model!$B$4,0,MAX(0,Model!$B$6-IF((A75+86)&gt;=Model!$B$11,Model!$B$20,0)-IF(86&lt;Model!$B$15,Model!$B$22,0))/(1-Model!$B$9)/(1+Model!$B$18)^86))</f>
        <v/>
      </c>
      <c r="CW75" s="7">
        <f>IF(A75="","",IF((A75+87)&gt;Model!$B$4,0,MAX(0,Model!$B$6-IF((A75+87)&gt;=Model!$B$11,Model!$B$20,0)-IF(87&lt;Model!$B$15,Model!$B$22,0))/(1-Model!$B$9)/(1+Model!$B$18)^87))</f>
        <v/>
      </c>
      <c r="CX75" s="7">
        <f>IF(A75="","",IF((A75+88)&gt;Model!$B$4,0,MAX(0,Model!$B$6-IF((A75+88)&gt;=Model!$B$11,Model!$B$20,0)-IF(88&lt;Model!$B$15,Model!$B$22,0))/(1-Model!$B$9)/(1+Model!$B$18)^88))</f>
        <v/>
      </c>
      <c r="CY75" s="7">
        <f>IF(A75="","",IF((A75+89)&gt;Model!$B$4,0,MAX(0,Model!$B$6-IF((A75+89)&gt;=Model!$B$11,Model!$B$20,0)-IF(89&lt;Model!$B$15,Model!$B$22,0))/(1-Model!$B$9)/(1+Model!$B$18)^89))</f>
        <v/>
      </c>
      <c r="CZ75" s="7">
        <f>IF(A75="","",IF((A75+90)&gt;Model!$B$4,0,MAX(0,Model!$B$6-IF((A75+90)&gt;=Model!$B$11,Model!$B$20,0)-IF(90&lt;Model!$B$15,Model!$B$22,0))/(1-Model!$B$9)/(1+Model!$B$18)^90))</f>
        <v/>
      </c>
      <c r="DA75" s="7">
        <f>IF(A75="","",IF((A75+91)&gt;Model!$B$4,0,MAX(0,Model!$B$6-IF((A75+91)&gt;=Model!$B$11,Model!$B$20,0)-IF(91&lt;Model!$B$15,Model!$B$22,0))/(1-Model!$B$9)/(1+Model!$B$18)^91))</f>
        <v/>
      </c>
      <c r="DB75" s="7">
        <f>IF(A75="","",IF((A75+92)&gt;Model!$B$4,0,MAX(0,Model!$B$6-IF((A75+92)&gt;=Model!$B$11,Model!$B$20,0)-IF(92&lt;Model!$B$15,Model!$B$22,0))/(1-Model!$B$9)/(1+Model!$B$18)^92))</f>
        <v/>
      </c>
      <c r="DC75" s="7">
        <f>IF(A75="","",IF((A75+93)&gt;Model!$B$4,0,MAX(0,Model!$B$6-IF((A75+93)&gt;=Model!$B$11,Model!$B$20,0)-IF(93&lt;Model!$B$15,Model!$B$22,0))/(1-Model!$B$9)/(1+Model!$B$18)^93))</f>
        <v/>
      </c>
      <c r="DD75" s="7">
        <f>IF(A75="","",IF((A75+94)&gt;Model!$B$4,0,MAX(0,Model!$B$6-IF((A75+94)&gt;=Model!$B$11,Model!$B$20,0)-IF(94&lt;Model!$B$15,Model!$B$22,0))/(1-Model!$B$9)/(1+Model!$B$18)^94))</f>
        <v/>
      </c>
      <c r="DE75" s="7">
        <f>IF(A75="","",IF((A75+95)&gt;Model!$B$4,0,MAX(0,Model!$B$6-IF((A75+95)&gt;=Model!$B$11,Model!$B$20,0)-IF(95&lt;Model!$B$15,Model!$B$22,0))/(1-Model!$B$9)/(1+Model!$B$18)^95))</f>
        <v/>
      </c>
      <c r="DF75" s="7">
        <f>IF(A75="","",IF((A75+96)&gt;Model!$B$4,0,MAX(0,Model!$B$6-IF((A75+96)&gt;=Model!$B$11,Model!$B$20,0)-IF(96&lt;Model!$B$15,Model!$B$22,0))/(1-Model!$B$9)/(1+Model!$B$18)^96))</f>
        <v/>
      </c>
      <c r="DG75" s="7">
        <f>IF(A75="","",IF((A75+97)&gt;Model!$B$4,0,MAX(0,Model!$B$6-IF((A75+97)&gt;=Model!$B$11,Model!$B$20,0)-IF(97&lt;Model!$B$15,Model!$B$22,0))/(1-Model!$B$9)/(1+Model!$B$18)^97))</f>
        <v/>
      </c>
      <c r="DH75" s="7">
        <f>IF(A75="","",IF((A75+98)&gt;Model!$B$4,0,MAX(0,Model!$B$6-IF((A75+98)&gt;=Model!$B$11,Model!$B$20,0)-IF(98&lt;Model!$B$15,Model!$B$22,0))/(1-Model!$B$9)/(1+Model!$B$18)^98))</f>
        <v/>
      </c>
      <c r="DI75" s="7">
        <f>IF(A75="","",IF((A75+99)&gt;Model!$B$4,0,MAX(0,Model!$B$6-IF((A75+99)&gt;=Model!$B$11,Model!$B$20,0)-IF(99&lt;Model!$B$15,Model!$B$22,0))/(1-Model!$B$9)/(1+Model!$B$18)^99))</f>
        <v/>
      </c>
      <c r="DJ75" s="7">
        <f>IF(A75="","",IF((A75+100)&gt;Model!$B$4,0,MAX(0,Model!$B$6-IF((A75+100)&gt;=Model!$B$11,Model!$B$20,0)-IF(100&lt;Model!$B$15,Model!$B$22,0))/(1-Model!$B$9)/(1+Model!$B$18)^100))</f>
        <v/>
      </c>
      <c r="DK75" s="7">
        <f>IF(A75="","",IF((A75+101)&gt;Model!$B$4,0,MAX(0,Model!$B$6-IF((A75+101)&gt;=Model!$B$11,Model!$B$20,0)-IF(101&lt;Model!$B$15,Model!$B$22,0))/(1-Model!$B$9)/(1+Model!$B$18)^101))</f>
        <v/>
      </c>
      <c r="DL75" s="7">
        <f>IF(A75="","",IF((A75+102)&gt;Model!$B$4,0,MAX(0,Model!$B$6-IF((A75+102)&gt;=Model!$B$11,Model!$B$20,0)-IF(102&lt;Model!$B$15,Model!$B$22,0))/(1-Model!$B$9)/(1+Model!$B$18)^102))</f>
        <v/>
      </c>
      <c r="DM75" s="7">
        <f>IF(A75="","",IF((A75+103)&gt;Model!$B$4,0,MAX(0,Model!$B$6-IF((A75+103)&gt;=Model!$B$11,Model!$B$20,0)-IF(103&lt;Model!$B$15,Model!$B$22,0))/(1-Model!$B$9)/(1+Model!$B$18)^103))</f>
        <v/>
      </c>
      <c r="DN75" s="7">
        <f>IF(A75="","",IF((A75+104)&gt;Model!$B$4,0,MAX(0,Model!$B$6-IF((A75+104)&gt;=Model!$B$11,Model!$B$20,0)-IF(104&lt;Model!$B$15,Model!$B$22,0))/(1-Model!$B$9)/(1+Model!$B$18)^104))</f>
        <v/>
      </c>
      <c r="DO75" s="7">
        <f>IF(A75="","",IF((A75+105)&gt;Model!$B$4,0,MAX(0,Model!$B$6-IF((A75+105)&gt;=Model!$B$11,Model!$B$20,0)-IF(105&lt;Model!$B$15,Model!$B$22,0))/(1-Model!$B$9)/(1+Model!$B$18)^105))</f>
        <v/>
      </c>
      <c r="DP75" s="7">
        <f>IF(A75="","",IF((A75+106)&gt;Model!$B$4,0,MAX(0,Model!$B$6-IF((A75+106)&gt;=Model!$B$11,Model!$B$20,0)-IF(106&lt;Model!$B$15,Model!$B$22,0))/(1-Model!$B$9)/(1+Model!$B$18)^106))</f>
        <v/>
      </c>
      <c r="DQ75" s="7">
        <f>IF(A75="","",IF((A75+107)&gt;Model!$B$4,0,MAX(0,Model!$B$6-IF((A75+107)&gt;=Model!$B$11,Model!$B$20,0)-IF(107&lt;Model!$B$15,Model!$B$22,0))/(1-Model!$B$9)/(1+Model!$B$18)^107))</f>
        <v/>
      </c>
      <c r="DR75" s="7">
        <f>IF(A75="","",IF((A75+108)&gt;Model!$B$4,0,MAX(0,Model!$B$6-IF((A75+108)&gt;=Model!$B$11,Model!$B$20,0)-IF(108&lt;Model!$B$15,Model!$B$22,0))/(1-Model!$B$9)/(1+Model!$B$18)^108))</f>
        <v/>
      </c>
      <c r="DS75" s="7">
        <f>IF(A75="","",IF((A75+109)&gt;Model!$B$4,0,MAX(0,Model!$B$6-IF((A75+109)&gt;=Model!$B$11,Model!$B$20,0)-IF(109&lt;Model!$B$15,Model!$B$22,0))/(1-Model!$B$9)/(1+Model!$B$18)^109))</f>
        <v/>
      </c>
      <c r="DT75" s="7">
        <f>IF(A75="","",IF((A75+110)&gt;Model!$B$4,0,MAX(0,Model!$B$6-IF((A75+110)&gt;=Model!$B$11,Model!$B$20,0)-IF(110&lt;Model!$B$15,Model!$B$22,0))/(1-Model!$B$9)/(1+Model!$B$18)^110))</f>
        <v/>
      </c>
      <c r="DU75" s="7">
        <f>IF(A75="","",IF((A75+111)&gt;Model!$B$4,0,MAX(0,Model!$B$6-IF((A75+111)&gt;=Model!$B$11,Model!$B$20,0)-IF(111&lt;Model!$B$15,Model!$B$22,0))/(1-Model!$B$9)/(1+Model!$B$18)^111))</f>
        <v/>
      </c>
      <c r="DV75" s="7">
        <f>IF(A75="","",IF((A75+112)&gt;Model!$B$4,0,MAX(0,Model!$B$6-IF((A75+112)&gt;=Model!$B$11,Model!$B$20,0)-IF(112&lt;Model!$B$15,Model!$B$22,0))/(1-Model!$B$9)/(1+Model!$B$18)^112))</f>
        <v/>
      </c>
      <c r="DW75" s="7">
        <f>IF(A75="","",IF((A75+113)&gt;Model!$B$4,0,MAX(0,Model!$B$6-IF((A75+113)&gt;=Model!$B$11,Model!$B$20,0)-IF(113&lt;Model!$B$15,Model!$B$22,0))/(1-Model!$B$9)/(1+Model!$B$18)^113))</f>
        <v/>
      </c>
      <c r="DX75" s="7">
        <f>IF(A75="","",IF((A75+114)&gt;Model!$B$4,0,MAX(0,Model!$B$6-IF((A75+114)&gt;=Model!$B$11,Model!$B$20,0)-IF(114&lt;Model!$B$15,Model!$B$22,0))/(1-Model!$B$9)/(1+Model!$B$18)^114))</f>
        <v/>
      </c>
      <c r="DY75" s="7">
        <f>IF(A75="","",IF((A75+115)&gt;Model!$B$4,0,MAX(0,Model!$B$6-IF((A75+115)&gt;=Model!$B$11,Model!$B$20,0)-IF(115&lt;Model!$B$15,Model!$B$22,0))/(1-Model!$B$9)/(1+Model!$B$18)^115))</f>
        <v/>
      </c>
      <c r="DZ75" s="7">
        <f>IF(A75="","",IF((A75+116)&gt;Model!$B$4,0,MAX(0,Model!$B$6-IF((A75+116)&gt;=Model!$B$11,Model!$B$20,0)-IF(116&lt;Model!$B$15,Model!$B$22,0))/(1-Model!$B$9)/(1+Model!$B$18)^116))</f>
        <v/>
      </c>
      <c r="EA75" s="7">
        <f>IF(A75="","",IF((A75+117)&gt;Model!$B$4,0,MAX(0,Model!$B$6-IF((A75+117)&gt;=Model!$B$11,Model!$B$20,0)-IF(117&lt;Model!$B$15,Model!$B$22,0))/(1-Model!$B$9)/(1+Model!$B$18)^117))</f>
        <v/>
      </c>
      <c r="EB75" s="7">
        <f>IF(A75="","",IF((A75+118)&gt;Model!$B$4,0,MAX(0,Model!$B$6-IF((A75+118)&gt;=Model!$B$11,Model!$B$20,0)-IF(118&lt;Model!$B$15,Model!$B$22,0))/(1-Model!$B$9)/(1+Model!$B$18)^118))</f>
        <v/>
      </c>
      <c r="EC75" s="7">
        <f>IF(A75="","",IF((A75+119)&gt;Model!$B$4,0,MAX(0,Model!$B$6-IF((A75+119)&gt;=Model!$B$11,Model!$B$20,0)-IF(119&lt;Model!$B$15,Model!$B$22,0))/(1-Model!$B$9)/(1+Model!$B$18)^119))</f>
        <v/>
      </c>
      <c r="ED75" s="7">
        <f>IF(A75="","",IF((A75+120)&gt;Model!$B$4,0,MAX(0,Model!$B$6-IF((A75+120)&gt;=Model!$B$11,Model!$B$20,0)-IF(120&lt;Model!$B$15,Model!$B$22,0))/(1-Model!$B$9)/(1+Model!$B$18)^120))</f>
        <v/>
      </c>
    </row>
    <row r="76">
      <c r="A76">
        <f>IF(Model!$B$10+ROW()-2&lt;=Model!$B$4,Model!$B$10+ROW()-2,"")</f>
        <v/>
      </c>
      <c r="B76">
        <f>IF(A76="","",A76-Model!$B$10)</f>
        <v/>
      </c>
      <c r="C76" s="7">
        <f>IF(A76="","",Model!$B$5*(1+Model!$B$18)^B76)</f>
        <v/>
      </c>
      <c r="D76" s="7">
        <f>IF(A76="","",SUM(N76:ED76))</f>
        <v/>
      </c>
      <c r="E76" s="7">
        <f>IF(A76="","",IF(A76&gt;=Model!$B$11,Model!$B$20,0))</f>
        <v/>
      </c>
      <c r="F76" s="7">
        <f>IF(A76="","",IF(Model!$B$15&gt;0,Model!$B$22,0))</f>
        <v/>
      </c>
      <c r="G76" s="7">
        <f>IF(A76="","",E76+F76)</f>
        <v/>
      </c>
      <c r="H76" s="7">
        <f>IF(A76="","",MAX(0,Model!$B$6-G76))</f>
        <v/>
      </c>
      <c r="I76" s="7">
        <f>IF(A76="","",H76/(1-Model!$B$9))</f>
        <v/>
      </c>
      <c r="J76" s="7">
        <f>IF(A76="","",C76-D76)</f>
        <v/>
      </c>
      <c r="K76">
        <f>IF(A76="","",C76&gt;=D76)</f>
        <v/>
      </c>
      <c r="L76" s="7">
        <f>IF(A76="","",IF(A76&gt;=Model!$B$11,Model!$B$19*(1+Model!$B$13)^B76,0))</f>
        <v/>
      </c>
      <c r="M76" s="7">
        <f>IF(A76="","",IF(Model!$B$15&gt;0,Model!$B$21*(1+Model!$B$13)^B76,0))</f>
        <v/>
      </c>
      <c r="N76" s="7">
        <f>IF(A76="","",IF((A76+0)&gt;Model!$B$4,0,MAX(0,Model!$B$6-IF((A76+0)&gt;=Model!$B$11,Model!$B$20,0)-IF(0&lt;Model!$B$15,Model!$B$22,0))/(1-Model!$B$9)/(1+Model!$B$18)^0))</f>
        <v/>
      </c>
      <c r="O76" s="7">
        <f>IF(A76="","",IF((A76+1)&gt;Model!$B$4,0,MAX(0,Model!$B$6-IF((A76+1)&gt;=Model!$B$11,Model!$B$20,0)-IF(1&lt;Model!$B$15,Model!$B$22,0))/(1-Model!$B$9)/(1+Model!$B$18)^1))</f>
        <v/>
      </c>
      <c r="P76" s="7">
        <f>IF(A76="","",IF((A76+2)&gt;Model!$B$4,0,MAX(0,Model!$B$6-IF((A76+2)&gt;=Model!$B$11,Model!$B$20,0)-IF(2&lt;Model!$B$15,Model!$B$22,0))/(1-Model!$B$9)/(1+Model!$B$18)^2))</f>
        <v/>
      </c>
      <c r="Q76" s="7">
        <f>IF(A76="","",IF((A76+3)&gt;Model!$B$4,0,MAX(0,Model!$B$6-IF((A76+3)&gt;=Model!$B$11,Model!$B$20,0)-IF(3&lt;Model!$B$15,Model!$B$22,0))/(1-Model!$B$9)/(1+Model!$B$18)^3))</f>
        <v/>
      </c>
      <c r="R76" s="7">
        <f>IF(A76="","",IF((A76+4)&gt;Model!$B$4,0,MAX(0,Model!$B$6-IF((A76+4)&gt;=Model!$B$11,Model!$B$20,0)-IF(4&lt;Model!$B$15,Model!$B$22,0))/(1-Model!$B$9)/(1+Model!$B$18)^4))</f>
        <v/>
      </c>
      <c r="S76" s="7">
        <f>IF(A76="","",IF((A76+5)&gt;Model!$B$4,0,MAX(0,Model!$B$6-IF((A76+5)&gt;=Model!$B$11,Model!$B$20,0)-IF(5&lt;Model!$B$15,Model!$B$22,0))/(1-Model!$B$9)/(1+Model!$B$18)^5))</f>
        <v/>
      </c>
      <c r="T76" s="7">
        <f>IF(A76="","",IF((A76+6)&gt;Model!$B$4,0,MAX(0,Model!$B$6-IF((A76+6)&gt;=Model!$B$11,Model!$B$20,0)-IF(6&lt;Model!$B$15,Model!$B$22,0))/(1-Model!$B$9)/(1+Model!$B$18)^6))</f>
        <v/>
      </c>
      <c r="U76" s="7">
        <f>IF(A76="","",IF((A76+7)&gt;Model!$B$4,0,MAX(0,Model!$B$6-IF((A76+7)&gt;=Model!$B$11,Model!$B$20,0)-IF(7&lt;Model!$B$15,Model!$B$22,0))/(1-Model!$B$9)/(1+Model!$B$18)^7))</f>
        <v/>
      </c>
      <c r="V76" s="7">
        <f>IF(A76="","",IF((A76+8)&gt;Model!$B$4,0,MAX(0,Model!$B$6-IF((A76+8)&gt;=Model!$B$11,Model!$B$20,0)-IF(8&lt;Model!$B$15,Model!$B$22,0))/(1-Model!$B$9)/(1+Model!$B$18)^8))</f>
        <v/>
      </c>
      <c r="W76" s="7">
        <f>IF(A76="","",IF((A76+9)&gt;Model!$B$4,0,MAX(0,Model!$B$6-IF((A76+9)&gt;=Model!$B$11,Model!$B$20,0)-IF(9&lt;Model!$B$15,Model!$B$22,0))/(1-Model!$B$9)/(1+Model!$B$18)^9))</f>
        <v/>
      </c>
      <c r="X76" s="7">
        <f>IF(A76="","",IF((A76+10)&gt;Model!$B$4,0,MAX(0,Model!$B$6-IF((A76+10)&gt;=Model!$B$11,Model!$B$20,0)-IF(10&lt;Model!$B$15,Model!$B$22,0))/(1-Model!$B$9)/(1+Model!$B$18)^10))</f>
        <v/>
      </c>
      <c r="Y76" s="7">
        <f>IF(A76="","",IF((A76+11)&gt;Model!$B$4,0,MAX(0,Model!$B$6-IF((A76+11)&gt;=Model!$B$11,Model!$B$20,0)-IF(11&lt;Model!$B$15,Model!$B$22,0))/(1-Model!$B$9)/(1+Model!$B$18)^11))</f>
        <v/>
      </c>
      <c r="Z76" s="7">
        <f>IF(A76="","",IF((A76+12)&gt;Model!$B$4,0,MAX(0,Model!$B$6-IF((A76+12)&gt;=Model!$B$11,Model!$B$20,0)-IF(12&lt;Model!$B$15,Model!$B$22,0))/(1-Model!$B$9)/(1+Model!$B$18)^12))</f>
        <v/>
      </c>
      <c r="AA76" s="7">
        <f>IF(A76="","",IF((A76+13)&gt;Model!$B$4,0,MAX(0,Model!$B$6-IF((A76+13)&gt;=Model!$B$11,Model!$B$20,0)-IF(13&lt;Model!$B$15,Model!$B$22,0))/(1-Model!$B$9)/(1+Model!$B$18)^13))</f>
        <v/>
      </c>
      <c r="AB76" s="7">
        <f>IF(A76="","",IF((A76+14)&gt;Model!$B$4,0,MAX(0,Model!$B$6-IF((A76+14)&gt;=Model!$B$11,Model!$B$20,0)-IF(14&lt;Model!$B$15,Model!$B$22,0))/(1-Model!$B$9)/(1+Model!$B$18)^14))</f>
        <v/>
      </c>
      <c r="AC76" s="7">
        <f>IF(A76="","",IF((A76+15)&gt;Model!$B$4,0,MAX(0,Model!$B$6-IF((A76+15)&gt;=Model!$B$11,Model!$B$20,0)-IF(15&lt;Model!$B$15,Model!$B$22,0))/(1-Model!$B$9)/(1+Model!$B$18)^15))</f>
        <v/>
      </c>
      <c r="AD76" s="7">
        <f>IF(A76="","",IF((A76+16)&gt;Model!$B$4,0,MAX(0,Model!$B$6-IF((A76+16)&gt;=Model!$B$11,Model!$B$20,0)-IF(16&lt;Model!$B$15,Model!$B$22,0))/(1-Model!$B$9)/(1+Model!$B$18)^16))</f>
        <v/>
      </c>
      <c r="AE76" s="7">
        <f>IF(A76="","",IF((A76+17)&gt;Model!$B$4,0,MAX(0,Model!$B$6-IF((A76+17)&gt;=Model!$B$11,Model!$B$20,0)-IF(17&lt;Model!$B$15,Model!$B$22,0))/(1-Model!$B$9)/(1+Model!$B$18)^17))</f>
        <v/>
      </c>
      <c r="AF76" s="7">
        <f>IF(A76="","",IF((A76+18)&gt;Model!$B$4,0,MAX(0,Model!$B$6-IF((A76+18)&gt;=Model!$B$11,Model!$B$20,0)-IF(18&lt;Model!$B$15,Model!$B$22,0))/(1-Model!$B$9)/(1+Model!$B$18)^18))</f>
        <v/>
      </c>
      <c r="AG76" s="7">
        <f>IF(A76="","",IF((A76+19)&gt;Model!$B$4,0,MAX(0,Model!$B$6-IF((A76+19)&gt;=Model!$B$11,Model!$B$20,0)-IF(19&lt;Model!$B$15,Model!$B$22,0))/(1-Model!$B$9)/(1+Model!$B$18)^19))</f>
        <v/>
      </c>
      <c r="AH76" s="7">
        <f>IF(A76="","",IF((A76+20)&gt;Model!$B$4,0,MAX(0,Model!$B$6-IF((A76+20)&gt;=Model!$B$11,Model!$B$20,0)-IF(20&lt;Model!$B$15,Model!$B$22,0))/(1-Model!$B$9)/(1+Model!$B$18)^20))</f>
        <v/>
      </c>
      <c r="AI76" s="7">
        <f>IF(A76="","",IF((A76+21)&gt;Model!$B$4,0,MAX(0,Model!$B$6-IF((A76+21)&gt;=Model!$B$11,Model!$B$20,0)-IF(21&lt;Model!$B$15,Model!$B$22,0))/(1-Model!$B$9)/(1+Model!$B$18)^21))</f>
        <v/>
      </c>
      <c r="AJ76" s="7">
        <f>IF(A76="","",IF((A76+22)&gt;Model!$B$4,0,MAX(0,Model!$B$6-IF((A76+22)&gt;=Model!$B$11,Model!$B$20,0)-IF(22&lt;Model!$B$15,Model!$B$22,0))/(1-Model!$B$9)/(1+Model!$B$18)^22))</f>
        <v/>
      </c>
      <c r="AK76" s="7">
        <f>IF(A76="","",IF((A76+23)&gt;Model!$B$4,0,MAX(0,Model!$B$6-IF((A76+23)&gt;=Model!$B$11,Model!$B$20,0)-IF(23&lt;Model!$B$15,Model!$B$22,0))/(1-Model!$B$9)/(1+Model!$B$18)^23))</f>
        <v/>
      </c>
      <c r="AL76" s="7">
        <f>IF(A76="","",IF((A76+24)&gt;Model!$B$4,0,MAX(0,Model!$B$6-IF((A76+24)&gt;=Model!$B$11,Model!$B$20,0)-IF(24&lt;Model!$B$15,Model!$B$22,0))/(1-Model!$B$9)/(1+Model!$B$18)^24))</f>
        <v/>
      </c>
      <c r="AM76" s="7">
        <f>IF(A76="","",IF((A76+25)&gt;Model!$B$4,0,MAX(0,Model!$B$6-IF((A76+25)&gt;=Model!$B$11,Model!$B$20,0)-IF(25&lt;Model!$B$15,Model!$B$22,0))/(1-Model!$B$9)/(1+Model!$B$18)^25))</f>
        <v/>
      </c>
      <c r="AN76" s="7">
        <f>IF(A76="","",IF((A76+26)&gt;Model!$B$4,0,MAX(0,Model!$B$6-IF((A76+26)&gt;=Model!$B$11,Model!$B$20,0)-IF(26&lt;Model!$B$15,Model!$B$22,0))/(1-Model!$B$9)/(1+Model!$B$18)^26))</f>
        <v/>
      </c>
      <c r="AO76" s="7">
        <f>IF(A76="","",IF((A76+27)&gt;Model!$B$4,0,MAX(0,Model!$B$6-IF((A76+27)&gt;=Model!$B$11,Model!$B$20,0)-IF(27&lt;Model!$B$15,Model!$B$22,0))/(1-Model!$B$9)/(1+Model!$B$18)^27))</f>
        <v/>
      </c>
      <c r="AP76" s="7">
        <f>IF(A76="","",IF((A76+28)&gt;Model!$B$4,0,MAX(0,Model!$B$6-IF((A76+28)&gt;=Model!$B$11,Model!$B$20,0)-IF(28&lt;Model!$B$15,Model!$B$22,0))/(1-Model!$B$9)/(1+Model!$B$18)^28))</f>
        <v/>
      </c>
      <c r="AQ76" s="7">
        <f>IF(A76="","",IF((A76+29)&gt;Model!$B$4,0,MAX(0,Model!$B$6-IF((A76+29)&gt;=Model!$B$11,Model!$B$20,0)-IF(29&lt;Model!$B$15,Model!$B$22,0))/(1-Model!$B$9)/(1+Model!$B$18)^29))</f>
        <v/>
      </c>
      <c r="AR76" s="7">
        <f>IF(A76="","",IF((A76+30)&gt;Model!$B$4,0,MAX(0,Model!$B$6-IF((A76+30)&gt;=Model!$B$11,Model!$B$20,0)-IF(30&lt;Model!$B$15,Model!$B$22,0))/(1-Model!$B$9)/(1+Model!$B$18)^30))</f>
        <v/>
      </c>
      <c r="AS76" s="7">
        <f>IF(A76="","",IF((A76+31)&gt;Model!$B$4,0,MAX(0,Model!$B$6-IF((A76+31)&gt;=Model!$B$11,Model!$B$20,0)-IF(31&lt;Model!$B$15,Model!$B$22,0))/(1-Model!$B$9)/(1+Model!$B$18)^31))</f>
        <v/>
      </c>
      <c r="AT76" s="7">
        <f>IF(A76="","",IF((A76+32)&gt;Model!$B$4,0,MAX(0,Model!$B$6-IF((A76+32)&gt;=Model!$B$11,Model!$B$20,0)-IF(32&lt;Model!$B$15,Model!$B$22,0))/(1-Model!$B$9)/(1+Model!$B$18)^32))</f>
        <v/>
      </c>
      <c r="AU76" s="7">
        <f>IF(A76="","",IF((A76+33)&gt;Model!$B$4,0,MAX(0,Model!$B$6-IF((A76+33)&gt;=Model!$B$11,Model!$B$20,0)-IF(33&lt;Model!$B$15,Model!$B$22,0))/(1-Model!$B$9)/(1+Model!$B$18)^33))</f>
        <v/>
      </c>
      <c r="AV76" s="7">
        <f>IF(A76="","",IF((A76+34)&gt;Model!$B$4,0,MAX(0,Model!$B$6-IF((A76+34)&gt;=Model!$B$11,Model!$B$20,0)-IF(34&lt;Model!$B$15,Model!$B$22,0))/(1-Model!$B$9)/(1+Model!$B$18)^34))</f>
        <v/>
      </c>
      <c r="AW76" s="7">
        <f>IF(A76="","",IF((A76+35)&gt;Model!$B$4,0,MAX(0,Model!$B$6-IF((A76+35)&gt;=Model!$B$11,Model!$B$20,0)-IF(35&lt;Model!$B$15,Model!$B$22,0))/(1-Model!$B$9)/(1+Model!$B$18)^35))</f>
        <v/>
      </c>
      <c r="AX76" s="7">
        <f>IF(A76="","",IF((A76+36)&gt;Model!$B$4,0,MAX(0,Model!$B$6-IF((A76+36)&gt;=Model!$B$11,Model!$B$20,0)-IF(36&lt;Model!$B$15,Model!$B$22,0))/(1-Model!$B$9)/(1+Model!$B$18)^36))</f>
        <v/>
      </c>
      <c r="AY76" s="7">
        <f>IF(A76="","",IF((A76+37)&gt;Model!$B$4,0,MAX(0,Model!$B$6-IF((A76+37)&gt;=Model!$B$11,Model!$B$20,0)-IF(37&lt;Model!$B$15,Model!$B$22,0))/(1-Model!$B$9)/(1+Model!$B$18)^37))</f>
        <v/>
      </c>
      <c r="AZ76" s="7">
        <f>IF(A76="","",IF((A76+38)&gt;Model!$B$4,0,MAX(0,Model!$B$6-IF((A76+38)&gt;=Model!$B$11,Model!$B$20,0)-IF(38&lt;Model!$B$15,Model!$B$22,0))/(1-Model!$B$9)/(1+Model!$B$18)^38))</f>
        <v/>
      </c>
      <c r="BA76" s="7">
        <f>IF(A76="","",IF((A76+39)&gt;Model!$B$4,0,MAX(0,Model!$B$6-IF((A76+39)&gt;=Model!$B$11,Model!$B$20,0)-IF(39&lt;Model!$B$15,Model!$B$22,0))/(1-Model!$B$9)/(1+Model!$B$18)^39))</f>
        <v/>
      </c>
      <c r="BB76" s="7">
        <f>IF(A76="","",IF((A76+40)&gt;Model!$B$4,0,MAX(0,Model!$B$6-IF((A76+40)&gt;=Model!$B$11,Model!$B$20,0)-IF(40&lt;Model!$B$15,Model!$B$22,0))/(1-Model!$B$9)/(1+Model!$B$18)^40))</f>
        <v/>
      </c>
      <c r="BC76" s="7">
        <f>IF(A76="","",IF((A76+41)&gt;Model!$B$4,0,MAX(0,Model!$B$6-IF((A76+41)&gt;=Model!$B$11,Model!$B$20,0)-IF(41&lt;Model!$B$15,Model!$B$22,0))/(1-Model!$B$9)/(1+Model!$B$18)^41))</f>
        <v/>
      </c>
      <c r="BD76" s="7">
        <f>IF(A76="","",IF((A76+42)&gt;Model!$B$4,0,MAX(0,Model!$B$6-IF((A76+42)&gt;=Model!$B$11,Model!$B$20,0)-IF(42&lt;Model!$B$15,Model!$B$22,0))/(1-Model!$B$9)/(1+Model!$B$18)^42))</f>
        <v/>
      </c>
      <c r="BE76" s="7">
        <f>IF(A76="","",IF((A76+43)&gt;Model!$B$4,0,MAX(0,Model!$B$6-IF((A76+43)&gt;=Model!$B$11,Model!$B$20,0)-IF(43&lt;Model!$B$15,Model!$B$22,0))/(1-Model!$B$9)/(1+Model!$B$18)^43))</f>
        <v/>
      </c>
      <c r="BF76" s="7">
        <f>IF(A76="","",IF((A76+44)&gt;Model!$B$4,0,MAX(0,Model!$B$6-IF((A76+44)&gt;=Model!$B$11,Model!$B$20,0)-IF(44&lt;Model!$B$15,Model!$B$22,0))/(1-Model!$B$9)/(1+Model!$B$18)^44))</f>
        <v/>
      </c>
      <c r="BG76" s="7">
        <f>IF(A76="","",IF((A76+45)&gt;Model!$B$4,0,MAX(0,Model!$B$6-IF((A76+45)&gt;=Model!$B$11,Model!$B$20,0)-IF(45&lt;Model!$B$15,Model!$B$22,0))/(1-Model!$B$9)/(1+Model!$B$18)^45))</f>
        <v/>
      </c>
      <c r="BH76" s="7">
        <f>IF(A76="","",IF((A76+46)&gt;Model!$B$4,0,MAX(0,Model!$B$6-IF((A76+46)&gt;=Model!$B$11,Model!$B$20,0)-IF(46&lt;Model!$B$15,Model!$B$22,0))/(1-Model!$B$9)/(1+Model!$B$18)^46))</f>
        <v/>
      </c>
      <c r="BI76" s="7">
        <f>IF(A76="","",IF((A76+47)&gt;Model!$B$4,0,MAX(0,Model!$B$6-IF((A76+47)&gt;=Model!$B$11,Model!$B$20,0)-IF(47&lt;Model!$B$15,Model!$B$22,0))/(1-Model!$B$9)/(1+Model!$B$18)^47))</f>
        <v/>
      </c>
      <c r="BJ76" s="7">
        <f>IF(A76="","",IF((A76+48)&gt;Model!$B$4,0,MAX(0,Model!$B$6-IF((A76+48)&gt;=Model!$B$11,Model!$B$20,0)-IF(48&lt;Model!$B$15,Model!$B$22,0))/(1-Model!$B$9)/(1+Model!$B$18)^48))</f>
        <v/>
      </c>
      <c r="BK76" s="7">
        <f>IF(A76="","",IF((A76+49)&gt;Model!$B$4,0,MAX(0,Model!$B$6-IF((A76+49)&gt;=Model!$B$11,Model!$B$20,0)-IF(49&lt;Model!$B$15,Model!$B$22,0))/(1-Model!$B$9)/(1+Model!$B$18)^49))</f>
        <v/>
      </c>
      <c r="BL76" s="7">
        <f>IF(A76="","",IF((A76+50)&gt;Model!$B$4,0,MAX(0,Model!$B$6-IF((A76+50)&gt;=Model!$B$11,Model!$B$20,0)-IF(50&lt;Model!$B$15,Model!$B$22,0))/(1-Model!$B$9)/(1+Model!$B$18)^50))</f>
        <v/>
      </c>
      <c r="BM76" s="7">
        <f>IF(A76="","",IF((A76+51)&gt;Model!$B$4,0,MAX(0,Model!$B$6-IF((A76+51)&gt;=Model!$B$11,Model!$B$20,0)-IF(51&lt;Model!$B$15,Model!$B$22,0))/(1-Model!$B$9)/(1+Model!$B$18)^51))</f>
        <v/>
      </c>
      <c r="BN76" s="7">
        <f>IF(A76="","",IF((A76+52)&gt;Model!$B$4,0,MAX(0,Model!$B$6-IF((A76+52)&gt;=Model!$B$11,Model!$B$20,0)-IF(52&lt;Model!$B$15,Model!$B$22,0))/(1-Model!$B$9)/(1+Model!$B$18)^52))</f>
        <v/>
      </c>
      <c r="BO76" s="7">
        <f>IF(A76="","",IF((A76+53)&gt;Model!$B$4,0,MAX(0,Model!$B$6-IF((A76+53)&gt;=Model!$B$11,Model!$B$20,0)-IF(53&lt;Model!$B$15,Model!$B$22,0))/(1-Model!$B$9)/(1+Model!$B$18)^53))</f>
        <v/>
      </c>
      <c r="BP76" s="7">
        <f>IF(A76="","",IF((A76+54)&gt;Model!$B$4,0,MAX(0,Model!$B$6-IF((A76+54)&gt;=Model!$B$11,Model!$B$20,0)-IF(54&lt;Model!$B$15,Model!$B$22,0))/(1-Model!$B$9)/(1+Model!$B$18)^54))</f>
        <v/>
      </c>
      <c r="BQ76" s="7">
        <f>IF(A76="","",IF((A76+55)&gt;Model!$B$4,0,MAX(0,Model!$B$6-IF((A76+55)&gt;=Model!$B$11,Model!$B$20,0)-IF(55&lt;Model!$B$15,Model!$B$22,0))/(1-Model!$B$9)/(1+Model!$B$18)^55))</f>
        <v/>
      </c>
      <c r="BR76" s="7">
        <f>IF(A76="","",IF((A76+56)&gt;Model!$B$4,0,MAX(0,Model!$B$6-IF((A76+56)&gt;=Model!$B$11,Model!$B$20,0)-IF(56&lt;Model!$B$15,Model!$B$22,0))/(1-Model!$B$9)/(1+Model!$B$18)^56))</f>
        <v/>
      </c>
      <c r="BS76" s="7">
        <f>IF(A76="","",IF((A76+57)&gt;Model!$B$4,0,MAX(0,Model!$B$6-IF((A76+57)&gt;=Model!$B$11,Model!$B$20,0)-IF(57&lt;Model!$B$15,Model!$B$22,0))/(1-Model!$B$9)/(1+Model!$B$18)^57))</f>
        <v/>
      </c>
      <c r="BT76" s="7">
        <f>IF(A76="","",IF((A76+58)&gt;Model!$B$4,0,MAX(0,Model!$B$6-IF((A76+58)&gt;=Model!$B$11,Model!$B$20,0)-IF(58&lt;Model!$B$15,Model!$B$22,0))/(1-Model!$B$9)/(1+Model!$B$18)^58))</f>
        <v/>
      </c>
      <c r="BU76" s="7">
        <f>IF(A76="","",IF((A76+59)&gt;Model!$B$4,0,MAX(0,Model!$B$6-IF((A76+59)&gt;=Model!$B$11,Model!$B$20,0)-IF(59&lt;Model!$B$15,Model!$B$22,0))/(1-Model!$B$9)/(1+Model!$B$18)^59))</f>
        <v/>
      </c>
      <c r="BV76" s="7">
        <f>IF(A76="","",IF((A76+60)&gt;Model!$B$4,0,MAX(0,Model!$B$6-IF((A76+60)&gt;=Model!$B$11,Model!$B$20,0)-IF(60&lt;Model!$B$15,Model!$B$22,0))/(1-Model!$B$9)/(1+Model!$B$18)^60))</f>
        <v/>
      </c>
      <c r="BW76" s="7">
        <f>IF(A76="","",IF((A76+61)&gt;Model!$B$4,0,MAX(0,Model!$B$6-IF((A76+61)&gt;=Model!$B$11,Model!$B$20,0)-IF(61&lt;Model!$B$15,Model!$B$22,0))/(1-Model!$B$9)/(1+Model!$B$18)^61))</f>
        <v/>
      </c>
      <c r="BX76" s="7">
        <f>IF(A76="","",IF((A76+62)&gt;Model!$B$4,0,MAX(0,Model!$B$6-IF((A76+62)&gt;=Model!$B$11,Model!$B$20,0)-IF(62&lt;Model!$B$15,Model!$B$22,0))/(1-Model!$B$9)/(1+Model!$B$18)^62))</f>
        <v/>
      </c>
      <c r="BY76" s="7">
        <f>IF(A76="","",IF((A76+63)&gt;Model!$B$4,0,MAX(0,Model!$B$6-IF((A76+63)&gt;=Model!$B$11,Model!$B$20,0)-IF(63&lt;Model!$B$15,Model!$B$22,0))/(1-Model!$B$9)/(1+Model!$B$18)^63))</f>
        <v/>
      </c>
      <c r="BZ76" s="7">
        <f>IF(A76="","",IF((A76+64)&gt;Model!$B$4,0,MAX(0,Model!$B$6-IF((A76+64)&gt;=Model!$B$11,Model!$B$20,0)-IF(64&lt;Model!$B$15,Model!$B$22,0))/(1-Model!$B$9)/(1+Model!$B$18)^64))</f>
        <v/>
      </c>
      <c r="CA76" s="7">
        <f>IF(A76="","",IF((A76+65)&gt;Model!$B$4,0,MAX(0,Model!$B$6-IF((A76+65)&gt;=Model!$B$11,Model!$B$20,0)-IF(65&lt;Model!$B$15,Model!$B$22,0))/(1-Model!$B$9)/(1+Model!$B$18)^65))</f>
        <v/>
      </c>
      <c r="CB76" s="7">
        <f>IF(A76="","",IF((A76+66)&gt;Model!$B$4,0,MAX(0,Model!$B$6-IF((A76+66)&gt;=Model!$B$11,Model!$B$20,0)-IF(66&lt;Model!$B$15,Model!$B$22,0))/(1-Model!$B$9)/(1+Model!$B$18)^66))</f>
        <v/>
      </c>
      <c r="CC76" s="7">
        <f>IF(A76="","",IF((A76+67)&gt;Model!$B$4,0,MAX(0,Model!$B$6-IF((A76+67)&gt;=Model!$B$11,Model!$B$20,0)-IF(67&lt;Model!$B$15,Model!$B$22,0))/(1-Model!$B$9)/(1+Model!$B$18)^67))</f>
        <v/>
      </c>
      <c r="CD76" s="7">
        <f>IF(A76="","",IF((A76+68)&gt;Model!$B$4,0,MAX(0,Model!$B$6-IF((A76+68)&gt;=Model!$B$11,Model!$B$20,0)-IF(68&lt;Model!$B$15,Model!$B$22,0))/(1-Model!$B$9)/(1+Model!$B$18)^68))</f>
        <v/>
      </c>
      <c r="CE76" s="7">
        <f>IF(A76="","",IF((A76+69)&gt;Model!$B$4,0,MAX(0,Model!$B$6-IF((A76+69)&gt;=Model!$B$11,Model!$B$20,0)-IF(69&lt;Model!$B$15,Model!$B$22,0))/(1-Model!$B$9)/(1+Model!$B$18)^69))</f>
        <v/>
      </c>
      <c r="CF76" s="7">
        <f>IF(A76="","",IF((A76+70)&gt;Model!$B$4,0,MAX(0,Model!$B$6-IF((A76+70)&gt;=Model!$B$11,Model!$B$20,0)-IF(70&lt;Model!$B$15,Model!$B$22,0))/(1-Model!$B$9)/(1+Model!$B$18)^70))</f>
        <v/>
      </c>
      <c r="CG76" s="7">
        <f>IF(A76="","",IF((A76+71)&gt;Model!$B$4,0,MAX(0,Model!$B$6-IF((A76+71)&gt;=Model!$B$11,Model!$B$20,0)-IF(71&lt;Model!$B$15,Model!$B$22,0))/(1-Model!$B$9)/(1+Model!$B$18)^71))</f>
        <v/>
      </c>
      <c r="CH76" s="7">
        <f>IF(A76="","",IF((A76+72)&gt;Model!$B$4,0,MAX(0,Model!$B$6-IF((A76+72)&gt;=Model!$B$11,Model!$B$20,0)-IF(72&lt;Model!$B$15,Model!$B$22,0))/(1-Model!$B$9)/(1+Model!$B$18)^72))</f>
        <v/>
      </c>
      <c r="CI76" s="7">
        <f>IF(A76="","",IF((A76+73)&gt;Model!$B$4,0,MAX(0,Model!$B$6-IF((A76+73)&gt;=Model!$B$11,Model!$B$20,0)-IF(73&lt;Model!$B$15,Model!$B$22,0))/(1-Model!$B$9)/(1+Model!$B$18)^73))</f>
        <v/>
      </c>
      <c r="CJ76" s="7">
        <f>IF(A76="","",IF((A76+74)&gt;Model!$B$4,0,MAX(0,Model!$B$6-IF((A76+74)&gt;=Model!$B$11,Model!$B$20,0)-IF(74&lt;Model!$B$15,Model!$B$22,0))/(1-Model!$B$9)/(1+Model!$B$18)^74))</f>
        <v/>
      </c>
      <c r="CK76" s="7">
        <f>IF(A76="","",IF((A76+75)&gt;Model!$B$4,0,MAX(0,Model!$B$6-IF((A76+75)&gt;=Model!$B$11,Model!$B$20,0)-IF(75&lt;Model!$B$15,Model!$B$22,0))/(1-Model!$B$9)/(1+Model!$B$18)^75))</f>
        <v/>
      </c>
      <c r="CL76" s="7">
        <f>IF(A76="","",IF((A76+76)&gt;Model!$B$4,0,MAX(0,Model!$B$6-IF((A76+76)&gt;=Model!$B$11,Model!$B$20,0)-IF(76&lt;Model!$B$15,Model!$B$22,0))/(1-Model!$B$9)/(1+Model!$B$18)^76))</f>
        <v/>
      </c>
      <c r="CM76" s="7">
        <f>IF(A76="","",IF((A76+77)&gt;Model!$B$4,0,MAX(0,Model!$B$6-IF((A76+77)&gt;=Model!$B$11,Model!$B$20,0)-IF(77&lt;Model!$B$15,Model!$B$22,0))/(1-Model!$B$9)/(1+Model!$B$18)^77))</f>
        <v/>
      </c>
      <c r="CN76" s="7">
        <f>IF(A76="","",IF((A76+78)&gt;Model!$B$4,0,MAX(0,Model!$B$6-IF((A76+78)&gt;=Model!$B$11,Model!$B$20,0)-IF(78&lt;Model!$B$15,Model!$B$22,0))/(1-Model!$B$9)/(1+Model!$B$18)^78))</f>
        <v/>
      </c>
      <c r="CO76" s="7">
        <f>IF(A76="","",IF((A76+79)&gt;Model!$B$4,0,MAX(0,Model!$B$6-IF((A76+79)&gt;=Model!$B$11,Model!$B$20,0)-IF(79&lt;Model!$B$15,Model!$B$22,0))/(1-Model!$B$9)/(1+Model!$B$18)^79))</f>
        <v/>
      </c>
      <c r="CP76" s="7">
        <f>IF(A76="","",IF((A76+80)&gt;Model!$B$4,0,MAX(0,Model!$B$6-IF((A76+80)&gt;=Model!$B$11,Model!$B$20,0)-IF(80&lt;Model!$B$15,Model!$B$22,0))/(1-Model!$B$9)/(1+Model!$B$18)^80))</f>
        <v/>
      </c>
      <c r="CQ76" s="7">
        <f>IF(A76="","",IF((A76+81)&gt;Model!$B$4,0,MAX(0,Model!$B$6-IF((A76+81)&gt;=Model!$B$11,Model!$B$20,0)-IF(81&lt;Model!$B$15,Model!$B$22,0))/(1-Model!$B$9)/(1+Model!$B$18)^81))</f>
        <v/>
      </c>
      <c r="CR76" s="7">
        <f>IF(A76="","",IF((A76+82)&gt;Model!$B$4,0,MAX(0,Model!$B$6-IF((A76+82)&gt;=Model!$B$11,Model!$B$20,0)-IF(82&lt;Model!$B$15,Model!$B$22,0))/(1-Model!$B$9)/(1+Model!$B$18)^82))</f>
        <v/>
      </c>
      <c r="CS76" s="7">
        <f>IF(A76="","",IF((A76+83)&gt;Model!$B$4,0,MAX(0,Model!$B$6-IF((A76+83)&gt;=Model!$B$11,Model!$B$20,0)-IF(83&lt;Model!$B$15,Model!$B$22,0))/(1-Model!$B$9)/(1+Model!$B$18)^83))</f>
        <v/>
      </c>
      <c r="CT76" s="7">
        <f>IF(A76="","",IF((A76+84)&gt;Model!$B$4,0,MAX(0,Model!$B$6-IF((A76+84)&gt;=Model!$B$11,Model!$B$20,0)-IF(84&lt;Model!$B$15,Model!$B$22,0))/(1-Model!$B$9)/(1+Model!$B$18)^84))</f>
        <v/>
      </c>
      <c r="CU76" s="7">
        <f>IF(A76="","",IF((A76+85)&gt;Model!$B$4,0,MAX(0,Model!$B$6-IF((A76+85)&gt;=Model!$B$11,Model!$B$20,0)-IF(85&lt;Model!$B$15,Model!$B$22,0))/(1-Model!$B$9)/(1+Model!$B$18)^85))</f>
        <v/>
      </c>
      <c r="CV76" s="7">
        <f>IF(A76="","",IF((A76+86)&gt;Model!$B$4,0,MAX(0,Model!$B$6-IF((A76+86)&gt;=Model!$B$11,Model!$B$20,0)-IF(86&lt;Model!$B$15,Model!$B$22,0))/(1-Model!$B$9)/(1+Model!$B$18)^86))</f>
        <v/>
      </c>
      <c r="CW76" s="7">
        <f>IF(A76="","",IF((A76+87)&gt;Model!$B$4,0,MAX(0,Model!$B$6-IF((A76+87)&gt;=Model!$B$11,Model!$B$20,0)-IF(87&lt;Model!$B$15,Model!$B$22,0))/(1-Model!$B$9)/(1+Model!$B$18)^87))</f>
        <v/>
      </c>
      <c r="CX76" s="7">
        <f>IF(A76="","",IF((A76+88)&gt;Model!$B$4,0,MAX(0,Model!$B$6-IF((A76+88)&gt;=Model!$B$11,Model!$B$20,0)-IF(88&lt;Model!$B$15,Model!$B$22,0))/(1-Model!$B$9)/(1+Model!$B$18)^88))</f>
        <v/>
      </c>
      <c r="CY76" s="7">
        <f>IF(A76="","",IF((A76+89)&gt;Model!$B$4,0,MAX(0,Model!$B$6-IF((A76+89)&gt;=Model!$B$11,Model!$B$20,0)-IF(89&lt;Model!$B$15,Model!$B$22,0))/(1-Model!$B$9)/(1+Model!$B$18)^89))</f>
        <v/>
      </c>
      <c r="CZ76" s="7">
        <f>IF(A76="","",IF((A76+90)&gt;Model!$B$4,0,MAX(0,Model!$B$6-IF((A76+90)&gt;=Model!$B$11,Model!$B$20,0)-IF(90&lt;Model!$B$15,Model!$B$22,0))/(1-Model!$B$9)/(1+Model!$B$18)^90))</f>
        <v/>
      </c>
      <c r="DA76" s="7">
        <f>IF(A76="","",IF((A76+91)&gt;Model!$B$4,0,MAX(0,Model!$B$6-IF((A76+91)&gt;=Model!$B$11,Model!$B$20,0)-IF(91&lt;Model!$B$15,Model!$B$22,0))/(1-Model!$B$9)/(1+Model!$B$18)^91))</f>
        <v/>
      </c>
      <c r="DB76" s="7">
        <f>IF(A76="","",IF((A76+92)&gt;Model!$B$4,0,MAX(0,Model!$B$6-IF((A76+92)&gt;=Model!$B$11,Model!$B$20,0)-IF(92&lt;Model!$B$15,Model!$B$22,0))/(1-Model!$B$9)/(1+Model!$B$18)^92))</f>
        <v/>
      </c>
      <c r="DC76" s="7">
        <f>IF(A76="","",IF((A76+93)&gt;Model!$B$4,0,MAX(0,Model!$B$6-IF((A76+93)&gt;=Model!$B$11,Model!$B$20,0)-IF(93&lt;Model!$B$15,Model!$B$22,0))/(1-Model!$B$9)/(1+Model!$B$18)^93))</f>
        <v/>
      </c>
      <c r="DD76" s="7">
        <f>IF(A76="","",IF((A76+94)&gt;Model!$B$4,0,MAX(0,Model!$B$6-IF((A76+94)&gt;=Model!$B$11,Model!$B$20,0)-IF(94&lt;Model!$B$15,Model!$B$22,0))/(1-Model!$B$9)/(1+Model!$B$18)^94))</f>
        <v/>
      </c>
      <c r="DE76" s="7">
        <f>IF(A76="","",IF((A76+95)&gt;Model!$B$4,0,MAX(0,Model!$B$6-IF((A76+95)&gt;=Model!$B$11,Model!$B$20,0)-IF(95&lt;Model!$B$15,Model!$B$22,0))/(1-Model!$B$9)/(1+Model!$B$18)^95))</f>
        <v/>
      </c>
      <c r="DF76" s="7">
        <f>IF(A76="","",IF((A76+96)&gt;Model!$B$4,0,MAX(0,Model!$B$6-IF((A76+96)&gt;=Model!$B$11,Model!$B$20,0)-IF(96&lt;Model!$B$15,Model!$B$22,0))/(1-Model!$B$9)/(1+Model!$B$18)^96))</f>
        <v/>
      </c>
      <c r="DG76" s="7">
        <f>IF(A76="","",IF((A76+97)&gt;Model!$B$4,0,MAX(0,Model!$B$6-IF((A76+97)&gt;=Model!$B$11,Model!$B$20,0)-IF(97&lt;Model!$B$15,Model!$B$22,0))/(1-Model!$B$9)/(1+Model!$B$18)^97))</f>
        <v/>
      </c>
      <c r="DH76" s="7">
        <f>IF(A76="","",IF((A76+98)&gt;Model!$B$4,0,MAX(0,Model!$B$6-IF((A76+98)&gt;=Model!$B$11,Model!$B$20,0)-IF(98&lt;Model!$B$15,Model!$B$22,0))/(1-Model!$B$9)/(1+Model!$B$18)^98))</f>
        <v/>
      </c>
      <c r="DI76" s="7">
        <f>IF(A76="","",IF((A76+99)&gt;Model!$B$4,0,MAX(0,Model!$B$6-IF((A76+99)&gt;=Model!$B$11,Model!$B$20,0)-IF(99&lt;Model!$B$15,Model!$B$22,0))/(1-Model!$B$9)/(1+Model!$B$18)^99))</f>
        <v/>
      </c>
      <c r="DJ76" s="7">
        <f>IF(A76="","",IF((A76+100)&gt;Model!$B$4,0,MAX(0,Model!$B$6-IF((A76+100)&gt;=Model!$B$11,Model!$B$20,0)-IF(100&lt;Model!$B$15,Model!$B$22,0))/(1-Model!$B$9)/(1+Model!$B$18)^100))</f>
        <v/>
      </c>
      <c r="DK76" s="7">
        <f>IF(A76="","",IF((A76+101)&gt;Model!$B$4,0,MAX(0,Model!$B$6-IF((A76+101)&gt;=Model!$B$11,Model!$B$20,0)-IF(101&lt;Model!$B$15,Model!$B$22,0))/(1-Model!$B$9)/(1+Model!$B$18)^101))</f>
        <v/>
      </c>
      <c r="DL76" s="7">
        <f>IF(A76="","",IF((A76+102)&gt;Model!$B$4,0,MAX(0,Model!$B$6-IF((A76+102)&gt;=Model!$B$11,Model!$B$20,0)-IF(102&lt;Model!$B$15,Model!$B$22,0))/(1-Model!$B$9)/(1+Model!$B$18)^102))</f>
        <v/>
      </c>
      <c r="DM76" s="7">
        <f>IF(A76="","",IF((A76+103)&gt;Model!$B$4,0,MAX(0,Model!$B$6-IF((A76+103)&gt;=Model!$B$11,Model!$B$20,0)-IF(103&lt;Model!$B$15,Model!$B$22,0))/(1-Model!$B$9)/(1+Model!$B$18)^103))</f>
        <v/>
      </c>
      <c r="DN76" s="7">
        <f>IF(A76="","",IF((A76+104)&gt;Model!$B$4,0,MAX(0,Model!$B$6-IF((A76+104)&gt;=Model!$B$11,Model!$B$20,0)-IF(104&lt;Model!$B$15,Model!$B$22,0))/(1-Model!$B$9)/(1+Model!$B$18)^104))</f>
        <v/>
      </c>
      <c r="DO76" s="7">
        <f>IF(A76="","",IF((A76+105)&gt;Model!$B$4,0,MAX(0,Model!$B$6-IF((A76+105)&gt;=Model!$B$11,Model!$B$20,0)-IF(105&lt;Model!$B$15,Model!$B$22,0))/(1-Model!$B$9)/(1+Model!$B$18)^105))</f>
        <v/>
      </c>
      <c r="DP76" s="7">
        <f>IF(A76="","",IF((A76+106)&gt;Model!$B$4,0,MAX(0,Model!$B$6-IF((A76+106)&gt;=Model!$B$11,Model!$B$20,0)-IF(106&lt;Model!$B$15,Model!$B$22,0))/(1-Model!$B$9)/(1+Model!$B$18)^106))</f>
        <v/>
      </c>
      <c r="DQ76" s="7">
        <f>IF(A76="","",IF((A76+107)&gt;Model!$B$4,0,MAX(0,Model!$B$6-IF((A76+107)&gt;=Model!$B$11,Model!$B$20,0)-IF(107&lt;Model!$B$15,Model!$B$22,0))/(1-Model!$B$9)/(1+Model!$B$18)^107))</f>
        <v/>
      </c>
      <c r="DR76" s="7">
        <f>IF(A76="","",IF((A76+108)&gt;Model!$B$4,0,MAX(0,Model!$B$6-IF((A76+108)&gt;=Model!$B$11,Model!$B$20,0)-IF(108&lt;Model!$B$15,Model!$B$22,0))/(1-Model!$B$9)/(1+Model!$B$18)^108))</f>
        <v/>
      </c>
      <c r="DS76" s="7">
        <f>IF(A76="","",IF((A76+109)&gt;Model!$B$4,0,MAX(0,Model!$B$6-IF((A76+109)&gt;=Model!$B$11,Model!$B$20,0)-IF(109&lt;Model!$B$15,Model!$B$22,0))/(1-Model!$B$9)/(1+Model!$B$18)^109))</f>
        <v/>
      </c>
      <c r="DT76" s="7">
        <f>IF(A76="","",IF((A76+110)&gt;Model!$B$4,0,MAX(0,Model!$B$6-IF((A76+110)&gt;=Model!$B$11,Model!$B$20,0)-IF(110&lt;Model!$B$15,Model!$B$22,0))/(1-Model!$B$9)/(1+Model!$B$18)^110))</f>
        <v/>
      </c>
      <c r="DU76" s="7">
        <f>IF(A76="","",IF((A76+111)&gt;Model!$B$4,0,MAX(0,Model!$B$6-IF((A76+111)&gt;=Model!$B$11,Model!$B$20,0)-IF(111&lt;Model!$B$15,Model!$B$22,0))/(1-Model!$B$9)/(1+Model!$B$18)^111))</f>
        <v/>
      </c>
      <c r="DV76" s="7">
        <f>IF(A76="","",IF((A76+112)&gt;Model!$B$4,0,MAX(0,Model!$B$6-IF((A76+112)&gt;=Model!$B$11,Model!$B$20,0)-IF(112&lt;Model!$B$15,Model!$B$22,0))/(1-Model!$B$9)/(1+Model!$B$18)^112))</f>
        <v/>
      </c>
      <c r="DW76" s="7">
        <f>IF(A76="","",IF((A76+113)&gt;Model!$B$4,0,MAX(0,Model!$B$6-IF((A76+113)&gt;=Model!$B$11,Model!$B$20,0)-IF(113&lt;Model!$B$15,Model!$B$22,0))/(1-Model!$B$9)/(1+Model!$B$18)^113))</f>
        <v/>
      </c>
      <c r="DX76" s="7">
        <f>IF(A76="","",IF((A76+114)&gt;Model!$B$4,0,MAX(0,Model!$B$6-IF((A76+114)&gt;=Model!$B$11,Model!$B$20,0)-IF(114&lt;Model!$B$15,Model!$B$22,0))/(1-Model!$B$9)/(1+Model!$B$18)^114))</f>
        <v/>
      </c>
      <c r="DY76" s="7">
        <f>IF(A76="","",IF((A76+115)&gt;Model!$B$4,0,MAX(0,Model!$B$6-IF((A76+115)&gt;=Model!$B$11,Model!$B$20,0)-IF(115&lt;Model!$B$15,Model!$B$22,0))/(1-Model!$B$9)/(1+Model!$B$18)^115))</f>
        <v/>
      </c>
      <c r="DZ76" s="7">
        <f>IF(A76="","",IF((A76+116)&gt;Model!$B$4,0,MAX(0,Model!$B$6-IF((A76+116)&gt;=Model!$B$11,Model!$B$20,0)-IF(116&lt;Model!$B$15,Model!$B$22,0))/(1-Model!$B$9)/(1+Model!$B$18)^116))</f>
        <v/>
      </c>
      <c r="EA76" s="7">
        <f>IF(A76="","",IF((A76+117)&gt;Model!$B$4,0,MAX(0,Model!$B$6-IF((A76+117)&gt;=Model!$B$11,Model!$B$20,0)-IF(117&lt;Model!$B$15,Model!$B$22,0))/(1-Model!$B$9)/(1+Model!$B$18)^117))</f>
        <v/>
      </c>
      <c r="EB76" s="7">
        <f>IF(A76="","",IF((A76+118)&gt;Model!$B$4,0,MAX(0,Model!$B$6-IF((A76+118)&gt;=Model!$B$11,Model!$B$20,0)-IF(118&lt;Model!$B$15,Model!$B$22,0))/(1-Model!$B$9)/(1+Model!$B$18)^118))</f>
        <v/>
      </c>
      <c r="EC76" s="7">
        <f>IF(A76="","",IF((A76+119)&gt;Model!$B$4,0,MAX(0,Model!$B$6-IF((A76+119)&gt;=Model!$B$11,Model!$B$20,0)-IF(119&lt;Model!$B$15,Model!$B$22,0))/(1-Model!$B$9)/(1+Model!$B$18)^119))</f>
        <v/>
      </c>
      <c r="ED76" s="7">
        <f>IF(A76="","",IF((A76+120)&gt;Model!$B$4,0,MAX(0,Model!$B$6-IF((A76+120)&gt;=Model!$B$11,Model!$B$20,0)-IF(120&lt;Model!$B$15,Model!$B$22,0))/(1-Model!$B$9)/(1+Model!$B$18)^120))</f>
        <v/>
      </c>
    </row>
    <row r="77">
      <c r="A77">
        <f>IF(Model!$B$10+ROW()-2&lt;=Model!$B$4,Model!$B$10+ROW()-2,"")</f>
        <v/>
      </c>
      <c r="B77">
        <f>IF(A77="","",A77-Model!$B$10)</f>
        <v/>
      </c>
      <c r="C77" s="7">
        <f>IF(A77="","",Model!$B$5*(1+Model!$B$18)^B77)</f>
        <v/>
      </c>
      <c r="D77" s="7">
        <f>IF(A77="","",SUM(N77:ED77))</f>
        <v/>
      </c>
      <c r="E77" s="7">
        <f>IF(A77="","",IF(A77&gt;=Model!$B$11,Model!$B$20,0))</f>
        <v/>
      </c>
      <c r="F77" s="7">
        <f>IF(A77="","",IF(Model!$B$15&gt;0,Model!$B$22,0))</f>
        <v/>
      </c>
      <c r="G77" s="7">
        <f>IF(A77="","",E77+F77)</f>
        <v/>
      </c>
      <c r="H77" s="7">
        <f>IF(A77="","",MAX(0,Model!$B$6-G77))</f>
        <v/>
      </c>
      <c r="I77" s="7">
        <f>IF(A77="","",H77/(1-Model!$B$9))</f>
        <v/>
      </c>
      <c r="J77" s="7">
        <f>IF(A77="","",C77-D77)</f>
        <v/>
      </c>
      <c r="K77">
        <f>IF(A77="","",C77&gt;=D77)</f>
        <v/>
      </c>
      <c r="L77" s="7">
        <f>IF(A77="","",IF(A77&gt;=Model!$B$11,Model!$B$19*(1+Model!$B$13)^B77,0))</f>
        <v/>
      </c>
      <c r="M77" s="7">
        <f>IF(A77="","",IF(Model!$B$15&gt;0,Model!$B$21*(1+Model!$B$13)^B77,0))</f>
        <v/>
      </c>
      <c r="N77" s="7">
        <f>IF(A77="","",IF((A77+0)&gt;Model!$B$4,0,MAX(0,Model!$B$6-IF((A77+0)&gt;=Model!$B$11,Model!$B$20,0)-IF(0&lt;Model!$B$15,Model!$B$22,0))/(1-Model!$B$9)/(1+Model!$B$18)^0))</f>
        <v/>
      </c>
      <c r="O77" s="7">
        <f>IF(A77="","",IF((A77+1)&gt;Model!$B$4,0,MAX(0,Model!$B$6-IF((A77+1)&gt;=Model!$B$11,Model!$B$20,0)-IF(1&lt;Model!$B$15,Model!$B$22,0))/(1-Model!$B$9)/(1+Model!$B$18)^1))</f>
        <v/>
      </c>
      <c r="P77" s="7">
        <f>IF(A77="","",IF((A77+2)&gt;Model!$B$4,0,MAX(0,Model!$B$6-IF((A77+2)&gt;=Model!$B$11,Model!$B$20,0)-IF(2&lt;Model!$B$15,Model!$B$22,0))/(1-Model!$B$9)/(1+Model!$B$18)^2))</f>
        <v/>
      </c>
      <c r="Q77" s="7">
        <f>IF(A77="","",IF((A77+3)&gt;Model!$B$4,0,MAX(0,Model!$B$6-IF((A77+3)&gt;=Model!$B$11,Model!$B$20,0)-IF(3&lt;Model!$B$15,Model!$B$22,0))/(1-Model!$B$9)/(1+Model!$B$18)^3))</f>
        <v/>
      </c>
      <c r="R77" s="7">
        <f>IF(A77="","",IF((A77+4)&gt;Model!$B$4,0,MAX(0,Model!$B$6-IF((A77+4)&gt;=Model!$B$11,Model!$B$20,0)-IF(4&lt;Model!$B$15,Model!$B$22,0))/(1-Model!$B$9)/(1+Model!$B$18)^4))</f>
        <v/>
      </c>
      <c r="S77" s="7">
        <f>IF(A77="","",IF((A77+5)&gt;Model!$B$4,0,MAX(0,Model!$B$6-IF((A77+5)&gt;=Model!$B$11,Model!$B$20,0)-IF(5&lt;Model!$B$15,Model!$B$22,0))/(1-Model!$B$9)/(1+Model!$B$18)^5))</f>
        <v/>
      </c>
      <c r="T77" s="7">
        <f>IF(A77="","",IF((A77+6)&gt;Model!$B$4,0,MAX(0,Model!$B$6-IF((A77+6)&gt;=Model!$B$11,Model!$B$20,0)-IF(6&lt;Model!$B$15,Model!$B$22,0))/(1-Model!$B$9)/(1+Model!$B$18)^6))</f>
        <v/>
      </c>
      <c r="U77" s="7">
        <f>IF(A77="","",IF((A77+7)&gt;Model!$B$4,0,MAX(0,Model!$B$6-IF((A77+7)&gt;=Model!$B$11,Model!$B$20,0)-IF(7&lt;Model!$B$15,Model!$B$22,0))/(1-Model!$B$9)/(1+Model!$B$18)^7))</f>
        <v/>
      </c>
      <c r="V77" s="7">
        <f>IF(A77="","",IF((A77+8)&gt;Model!$B$4,0,MAX(0,Model!$B$6-IF((A77+8)&gt;=Model!$B$11,Model!$B$20,0)-IF(8&lt;Model!$B$15,Model!$B$22,0))/(1-Model!$B$9)/(1+Model!$B$18)^8))</f>
        <v/>
      </c>
      <c r="W77" s="7">
        <f>IF(A77="","",IF((A77+9)&gt;Model!$B$4,0,MAX(0,Model!$B$6-IF((A77+9)&gt;=Model!$B$11,Model!$B$20,0)-IF(9&lt;Model!$B$15,Model!$B$22,0))/(1-Model!$B$9)/(1+Model!$B$18)^9))</f>
        <v/>
      </c>
      <c r="X77" s="7">
        <f>IF(A77="","",IF((A77+10)&gt;Model!$B$4,0,MAX(0,Model!$B$6-IF((A77+10)&gt;=Model!$B$11,Model!$B$20,0)-IF(10&lt;Model!$B$15,Model!$B$22,0))/(1-Model!$B$9)/(1+Model!$B$18)^10))</f>
        <v/>
      </c>
      <c r="Y77" s="7">
        <f>IF(A77="","",IF((A77+11)&gt;Model!$B$4,0,MAX(0,Model!$B$6-IF((A77+11)&gt;=Model!$B$11,Model!$B$20,0)-IF(11&lt;Model!$B$15,Model!$B$22,0))/(1-Model!$B$9)/(1+Model!$B$18)^11))</f>
        <v/>
      </c>
      <c r="Z77" s="7">
        <f>IF(A77="","",IF((A77+12)&gt;Model!$B$4,0,MAX(0,Model!$B$6-IF((A77+12)&gt;=Model!$B$11,Model!$B$20,0)-IF(12&lt;Model!$B$15,Model!$B$22,0))/(1-Model!$B$9)/(1+Model!$B$18)^12))</f>
        <v/>
      </c>
      <c r="AA77" s="7">
        <f>IF(A77="","",IF((A77+13)&gt;Model!$B$4,0,MAX(0,Model!$B$6-IF((A77+13)&gt;=Model!$B$11,Model!$B$20,0)-IF(13&lt;Model!$B$15,Model!$B$22,0))/(1-Model!$B$9)/(1+Model!$B$18)^13))</f>
        <v/>
      </c>
      <c r="AB77" s="7">
        <f>IF(A77="","",IF((A77+14)&gt;Model!$B$4,0,MAX(0,Model!$B$6-IF((A77+14)&gt;=Model!$B$11,Model!$B$20,0)-IF(14&lt;Model!$B$15,Model!$B$22,0))/(1-Model!$B$9)/(1+Model!$B$18)^14))</f>
        <v/>
      </c>
      <c r="AC77" s="7">
        <f>IF(A77="","",IF((A77+15)&gt;Model!$B$4,0,MAX(0,Model!$B$6-IF((A77+15)&gt;=Model!$B$11,Model!$B$20,0)-IF(15&lt;Model!$B$15,Model!$B$22,0))/(1-Model!$B$9)/(1+Model!$B$18)^15))</f>
        <v/>
      </c>
      <c r="AD77" s="7">
        <f>IF(A77="","",IF((A77+16)&gt;Model!$B$4,0,MAX(0,Model!$B$6-IF((A77+16)&gt;=Model!$B$11,Model!$B$20,0)-IF(16&lt;Model!$B$15,Model!$B$22,0))/(1-Model!$B$9)/(1+Model!$B$18)^16))</f>
        <v/>
      </c>
      <c r="AE77" s="7">
        <f>IF(A77="","",IF((A77+17)&gt;Model!$B$4,0,MAX(0,Model!$B$6-IF((A77+17)&gt;=Model!$B$11,Model!$B$20,0)-IF(17&lt;Model!$B$15,Model!$B$22,0))/(1-Model!$B$9)/(1+Model!$B$18)^17))</f>
        <v/>
      </c>
      <c r="AF77" s="7">
        <f>IF(A77="","",IF((A77+18)&gt;Model!$B$4,0,MAX(0,Model!$B$6-IF((A77+18)&gt;=Model!$B$11,Model!$B$20,0)-IF(18&lt;Model!$B$15,Model!$B$22,0))/(1-Model!$B$9)/(1+Model!$B$18)^18))</f>
        <v/>
      </c>
      <c r="AG77" s="7">
        <f>IF(A77="","",IF((A77+19)&gt;Model!$B$4,0,MAX(0,Model!$B$6-IF((A77+19)&gt;=Model!$B$11,Model!$B$20,0)-IF(19&lt;Model!$B$15,Model!$B$22,0))/(1-Model!$B$9)/(1+Model!$B$18)^19))</f>
        <v/>
      </c>
      <c r="AH77" s="7">
        <f>IF(A77="","",IF((A77+20)&gt;Model!$B$4,0,MAX(0,Model!$B$6-IF((A77+20)&gt;=Model!$B$11,Model!$B$20,0)-IF(20&lt;Model!$B$15,Model!$B$22,0))/(1-Model!$B$9)/(1+Model!$B$18)^20))</f>
        <v/>
      </c>
      <c r="AI77" s="7">
        <f>IF(A77="","",IF((A77+21)&gt;Model!$B$4,0,MAX(0,Model!$B$6-IF((A77+21)&gt;=Model!$B$11,Model!$B$20,0)-IF(21&lt;Model!$B$15,Model!$B$22,0))/(1-Model!$B$9)/(1+Model!$B$18)^21))</f>
        <v/>
      </c>
      <c r="AJ77" s="7">
        <f>IF(A77="","",IF((A77+22)&gt;Model!$B$4,0,MAX(0,Model!$B$6-IF((A77+22)&gt;=Model!$B$11,Model!$B$20,0)-IF(22&lt;Model!$B$15,Model!$B$22,0))/(1-Model!$B$9)/(1+Model!$B$18)^22))</f>
        <v/>
      </c>
      <c r="AK77" s="7">
        <f>IF(A77="","",IF((A77+23)&gt;Model!$B$4,0,MAX(0,Model!$B$6-IF((A77+23)&gt;=Model!$B$11,Model!$B$20,0)-IF(23&lt;Model!$B$15,Model!$B$22,0))/(1-Model!$B$9)/(1+Model!$B$18)^23))</f>
        <v/>
      </c>
      <c r="AL77" s="7">
        <f>IF(A77="","",IF((A77+24)&gt;Model!$B$4,0,MAX(0,Model!$B$6-IF((A77+24)&gt;=Model!$B$11,Model!$B$20,0)-IF(24&lt;Model!$B$15,Model!$B$22,0))/(1-Model!$B$9)/(1+Model!$B$18)^24))</f>
        <v/>
      </c>
      <c r="AM77" s="7">
        <f>IF(A77="","",IF((A77+25)&gt;Model!$B$4,0,MAX(0,Model!$B$6-IF((A77+25)&gt;=Model!$B$11,Model!$B$20,0)-IF(25&lt;Model!$B$15,Model!$B$22,0))/(1-Model!$B$9)/(1+Model!$B$18)^25))</f>
        <v/>
      </c>
      <c r="AN77" s="7">
        <f>IF(A77="","",IF((A77+26)&gt;Model!$B$4,0,MAX(0,Model!$B$6-IF((A77+26)&gt;=Model!$B$11,Model!$B$20,0)-IF(26&lt;Model!$B$15,Model!$B$22,0))/(1-Model!$B$9)/(1+Model!$B$18)^26))</f>
        <v/>
      </c>
      <c r="AO77" s="7">
        <f>IF(A77="","",IF((A77+27)&gt;Model!$B$4,0,MAX(0,Model!$B$6-IF((A77+27)&gt;=Model!$B$11,Model!$B$20,0)-IF(27&lt;Model!$B$15,Model!$B$22,0))/(1-Model!$B$9)/(1+Model!$B$18)^27))</f>
        <v/>
      </c>
      <c r="AP77" s="7">
        <f>IF(A77="","",IF((A77+28)&gt;Model!$B$4,0,MAX(0,Model!$B$6-IF((A77+28)&gt;=Model!$B$11,Model!$B$20,0)-IF(28&lt;Model!$B$15,Model!$B$22,0))/(1-Model!$B$9)/(1+Model!$B$18)^28))</f>
        <v/>
      </c>
      <c r="AQ77" s="7">
        <f>IF(A77="","",IF((A77+29)&gt;Model!$B$4,0,MAX(0,Model!$B$6-IF((A77+29)&gt;=Model!$B$11,Model!$B$20,0)-IF(29&lt;Model!$B$15,Model!$B$22,0))/(1-Model!$B$9)/(1+Model!$B$18)^29))</f>
        <v/>
      </c>
      <c r="AR77" s="7">
        <f>IF(A77="","",IF((A77+30)&gt;Model!$B$4,0,MAX(0,Model!$B$6-IF((A77+30)&gt;=Model!$B$11,Model!$B$20,0)-IF(30&lt;Model!$B$15,Model!$B$22,0))/(1-Model!$B$9)/(1+Model!$B$18)^30))</f>
        <v/>
      </c>
      <c r="AS77" s="7">
        <f>IF(A77="","",IF((A77+31)&gt;Model!$B$4,0,MAX(0,Model!$B$6-IF((A77+31)&gt;=Model!$B$11,Model!$B$20,0)-IF(31&lt;Model!$B$15,Model!$B$22,0))/(1-Model!$B$9)/(1+Model!$B$18)^31))</f>
        <v/>
      </c>
      <c r="AT77" s="7">
        <f>IF(A77="","",IF((A77+32)&gt;Model!$B$4,0,MAX(0,Model!$B$6-IF((A77+32)&gt;=Model!$B$11,Model!$B$20,0)-IF(32&lt;Model!$B$15,Model!$B$22,0))/(1-Model!$B$9)/(1+Model!$B$18)^32))</f>
        <v/>
      </c>
      <c r="AU77" s="7">
        <f>IF(A77="","",IF((A77+33)&gt;Model!$B$4,0,MAX(0,Model!$B$6-IF((A77+33)&gt;=Model!$B$11,Model!$B$20,0)-IF(33&lt;Model!$B$15,Model!$B$22,0))/(1-Model!$B$9)/(1+Model!$B$18)^33))</f>
        <v/>
      </c>
      <c r="AV77" s="7">
        <f>IF(A77="","",IF((A77+34)&gt;Model!$B$4,0,MAX(0,Model!$B$6-IF((A77+34)&gt;=Model!$B$11,Model!$B$20,0)-IF(34&lt;Model!$B$15,Model!$B$22,0))/(1-Model!$B$9)/(1+Model!$B$18)^34))</f>
        <v/>
      </c>
      <c r="AW77" s="7">
        <f>IF(A77="","",IF((A77+35)&gt;Model!$B$4,0,MAX(0,Model!$B$6-IF((A77+35)&gt;=Model!$B$11,Model!$B$20,0)-IF(35&lt;Model!$B$15,Model!$B$22,0))/(1-Model!$B$9)/(1+Model!$B$18)^35))</f>
        <v/>
      </c>
      <c r="AX77" s="7">
        <f>IF(A77="","",IF((A77+36)&gt;Model!$B$4,0,MAX(0,Model!$B$6-IF((A77+36)&gt;=Model!$B$11,Model!$B$20,0)-IF(36&lt;Model!$B$15,Model!$B$22,0))/(1-Model!$B$9)/(1+Model!$B$18)^36))</f>
        <v/>
      </c>
      <c r="AY77" s="7">
        <f>IF(A77="","",IF((A77+37)&gt;Model!$B$4,0,MAX(0,Model!$B$6-IF((A77+37)&gt;=Model!$B$11,Model!$B$20,0)-IF(37&lt;Model!$B$15,Model!$B$22,0))/(1-Model!$B$9)/(1+Model!$B$18)^37))</f>
        <v/>
      </c>
      <c r="AZ77" s="7">
        <f>IF(A77="","",IF((A77+38)&gt;Model!$B$4,0,MAX(0,Model!$B$6-IF((A77+38)&gt;=Model!$B$11,Model!$B$20,0)-IF(38&lt;Model!$B$15,Model!$B$22,0))/(1-Model!$B$9)/(1+Model!$B$18)^38))</f>
        <v/>
      </c>
      <c r="BA77" s="7">
        <f>IF(A77="","",IF((A77+39)&gt;Model!$B$4,0,MAX(0,Model!$B$6-IF((A77+39)&gt;=Model!$B$11,Model!$B$20,0)-IF(39&lt;Model!$B$15,Model!$B$22,0))/(1-Model!$B$9)/(1+Model!$B$18)^39))</f>
        <v/>
      </c>
      <c r="BB77" s="7">
        <f>IF(A77="","",IF((A77+40)&gt;Model!$B$4,0,MAX(0,Model!$B$6-IF((A77+40)&gt;=Model!$B$11,Model!$B$20,0)-IF(40&lt;Model!$B$15,Model!$B$22,0))/(1-Model!$B$9)/(1+Model!$B$18)^40))</f>
        <v/>
      </c>
      <c r="BC77" s="7">
        <f>IF(A77="","",IF((A77+41)&gt;Model!$B$4,0,MAX(0,Model!$B$6-IF((A77+41)&gt;=Model!$B$11,Model!$B$20,0)-IF(41&lt;Model!$B$15,Model!$B$22,0))/(1-Model!$B$9)/(1+Model!$B$18)^41))</f>
        <v/>
      </c>
      <c r="BD77" s="7">
        <f>IF(A77="","",IF((A77+42)&gt;Model!$B$4,0,MAX(0,Model!$B$6-IF((A77+42)&gt;=Model!$B$11,Model!$B$20,0)-IF(42&lt;Model!$B$15,Model!$B$22,0))/(1-Model!$B$9)/(1+Model!$B$18)^42))</f>
        <v/>
      </c>
      <c r="BE77" s="7">
        <f>IF(A77="","",IF((A77+43)&gt;Model!$B$4,0,MAX(0,Model!$B$6-IF((A77+43)&gt;=Model!$B$11,Model!$B$20,0)-IF(43&lt;Model!$B$15,Model!$B$22,0))/(1-Model!$B$9)/(1+Model!$B$18)^43))</f>
        <v/>
      </c>
      <c r="BF77" s="7">
        <f>IF(A77="","",IF((A77+44)&gt;Model!$B$4,0,MAX(0,Model!$B$6-IF((A77+44)&gt;=Model!$B$11,Model!$B$20,0)-IF(44&lt;Model!$B$15,Model!$B$22,0))/(1-Model!$B$9)/(1+Model!$B$18)^44))</f>
        <v/>
      </c>
      <c r="BG77" s="7">
        <f>IF(A77="","",IF((A77+45)&gt;Model!$B$4,0,MAX(0,Model!$B$6-IF((A77+45)&gt;=Model!$B$11,Model!$B$20,0)-IF(45&lt;Model!$B$15,Model!$B$22,0))/(1-Model!$B$9)/(1+Model!$B$18)^45))</f>
        <v/>
      </c>
      <c r="BH77" s="7">
        <f>IF(A77="","",IF((A77+46)&gt;Model!$B$4,0,MAX(0,Model!$B$6-IF((A77+46)&gt;=Model!$B$11,Model!$B$20,0)-IF(46&lt;Model!$B$15,Model!$B$22,0))/(1-Model!$B$9)/(1+Model!$B$18)^46))</f>
        <v/>
      </c>
      <c r="BI77" s="7">
        <f>IF(A77="","",IF((A77+47)&gt;Model!$B$4,0,MAX(0,Model!$B$6-IF((A77+47)&gt;=Model!$B$11,Model!$B$20,0)-IF(47&lt;Model!$B$15,Model!$B$22,0))/(1-Model!$B$9)/(1+Model!$B$18)^47))</f>
        <v/>
      </c>
      <c r="BJ77" s="7">
        <f>IF(A77="","",IF((A77+48)&gt;Model!$B$4,0,MAX(0,Model!$B$6-IF((A77+48)&gt;=Model!$B$11,Model!$B$20,0)-IF(48&lt;Model!$B$15,Model!$B$22,0))/(1-Model!$B$9)/(1+Model!$B$18)^48))</f>
        <v/>
      </c>
      <c r="BK77" s="7">
        <f>IF(A77="","",IF((A77+49)&gt;Model!$B$4,0,MAX(0,Model!$B$6-IF((A77+49)&gt;=Model!$B$11,Model!$B$20,0)-IF(49&lt;Model!$B$15,Model!$B$22,0))/(1-Model!$B$9)/(1+Model!$B$18)^49))</f>
        <v/>
      </c>
      <c r="BL77" s="7">
        <f>IF(A77="","",IF((A77+50)&gt;Model!$B$4,0,MAX(0,Model!$B$6-IF((A77+50)&gt;=Model!$B$11,Model!$B$20,0)-IF(50&lt;Model!$B$15,Model!$B$22,0))/(1-Model!$B$9)/(1+Model!$B$18)^50))</f>
        <v/>
      </c>
      <c r="BM77" s="7">
        <f>IF(A77="","",IF((A77+51)&gt;Model!$B$4,0,MAX(0,Model!$B$6-IF((A77+51)&gt;=Model!$B$11,Model!$B$20,0)-IF(51&lt;Model!$B$15,Model!$B$22,0))/(1-Model!$B$9)/(1+Model!$B$18)^51))</f>
        <v/>
      </c>
      <c r="BN77" s="7">
        <f>IF(A77="","",IF((A77+52)&gt;Model!$B$4,0,MAX(0,Model!$B$6-IF((A77+52)&gt;=Model!$B$11,Model!$B$20,0)-IF(52&lt;Model!$B$15,Model!$B$22,0))/(1-Model!$B$9)/(1+Model!$B$18)^52))</f>
        <v/>
      </c>
      <c r="BO77" s="7">
        <f>IF(A77="","",IF((A77+53)&gt;Model!$B$4,0,MAX(0,Model!$B$6-IF((A77+53)&gt;=Model!$B$11,Model!$B$20,0)-IF(53&lt;Model!$B$15,Model!$B$22,0))/(1-Model!$B$9)/(1+Model!$B$18)^53))</f>
        <v/>
      </c>
      <c r="BP77" s="7">
        <f>IF(A77="","",IF((A77+54)&gt;Model!$B$4,0,MAX(0,Model!$B$6-IF((A77+54)&gt;=Model!$B$11,Model!$B$20,0)-IF(54&lt;Model!$B$15,Model!$B$22,0))/(1-Model!$B$9)/(1+Model!$B$18)^54))</f>
        <v/>
      </c>
      <c r="BQ77" s="7">
        <f>IF(A77="","",IF((A77+55)&gt;Model!$B$4,0,MAX(0,Model!$B$6-IF((A77+55)&gt;=Model!$B$11,Model!$B$20,0)-IF(55&lt;Model!$B$15,Model!$B$22,0))/(1-Model!$B$9)/(1+Model!$B$18)^55))</f>
        <v/>
      </c>
      <c r="BR77" s="7">
        <f>IF(A77="","",IF((A77+56)&gt;Model!$B$4,0,MAX(0,Model!$B$6-IF((A77+56)&gt;=Model!$B$11,Model!$B$20,0)-IF(56&lt;Model!$B$15,Model!$B$22,0))/(1-Model!$B$9)/(1+Model!$B$18)^56))</f>
        <v/>
      </c>
      <c r="BS77" s="7">
        <f>IF(A77="","",IF((A77+57)&gt;Model!$B$4,0,MAX(0,Model!$B$6-IF((A77+57)&gt;=Model!$B$11,Model!$B$20,0)-IF(57&lt;Model!$B$15,Model!$B$22,0))/(1-Model!$B$9)/(1+Model!$B$18)^57))</f>
        <v/>
      </c>
      <c r="BT77" s="7">
        <f>IF(A77="","",IF((A77+58)&gt;Model!$B$4,0,MAX(0,Model!$B$6-IF((A77+58)&gt;=Model!$B$11,Model!$B$20,0)-IF(58&lt;Model!$B$15,Model!$B$22,0))/(1-Model!$B$9)/(1+Model!$B$18)^58))</f>
        <v/>
      </c>
      <c r="BU77" s="7">
        <f>IF(A77="","",IF((A77+59)&gt;Model!$B$4,0,MAX(0,Model!$B$6-IF((A77+59)&gt;=Model!$B$11,Model!$B$20,0)-IF(59&lt;Model!$B$15,Model!$B$22,0))/(1-Model!$B$9)/(1+Model!$B$18)^59))</f>
        <v/>
      </c>
      <c r="BV77" s="7">
        <f>IF(A77="","",IF((A77+60)&gt;Model!$B$4,0,MAX(0,Model!$B$6-IF((A77+60)&gt;=Model!$B$11,Model!$B$20,0)-IF(60&lt;Model!$B$15,Model!$B$22,0))/(1-Model!$B$9)/(1+Model!$B$18)^60))</f>
        <v/>
      </c>
      <c r="BW77" s="7">
        <f>IF(A77="","",IF((A77+61)&gt;Model!$B$4,0,MAX(0,Model!$B$6-IF((A77+61)&gt;=Model!$B$11,Model!$B$20,0)-IF(61&lt;Model!$B$15,Model!$B$22,0))/(1-Model!$B$9)/(1+Model!$B$18)^61))</f>
        <v/>
      </c>
      <c r="BX77" s="7">
        <f>IF(A77="","",IF((A77+62)&gt;Model!$B$4,0,MAX(0,Model!$B$6-IF((A77+62)&gt;=Model!$B$11,Model!$B$20,0)-IF(62&lt;Model!$B$15,Model!$B$22,0))/(1-Model!$B$9)/(1+Model!$B$18)^62))</f>
        <v/>
      </c>
      <c r="BY77" s="7">
        <f>IF(A77="","",IF((A77+63)&gt;Model!$B$4,0,MAX(0,Model!$B$6-IF((A77+63)&gt;=Model!$B$11,Model!$B$20,0)-IF(63&lt;Model!$B$15,Model!$B$22,0))/(1-Model!$B$9)/(1+Model!$B$18)^63))</f>
        <v/>
      </c>
      <c r="BZ77" s="7">
        <f>IF(A77="","",IF((A77+64)&gt;Model!$B$4,0,MAX(0,Model!$B$6-IF((A77+64)&gt;=Model!$B$11,Model!$B$20,0)-IF(64&lt;Model!$B$15,Model!$B$22,0))/(1-Model!$B$9)/(1+Model!$B$18)^64))</f>
        <v/>
      </c>
      <c r="CA77" s="7">
        <f>IF(A77="","",IF((A77+65)&gt;Model!$B$4,0,MAX(0,Model!$B$6-IF((A77+65)&gt;=Model!$B$11,Model!$B$20,0)-IF(65&lt;Model!$B$15,Model!$B$22,0))/(1-Model!$B$9)/(1+Model!$B$18)^65))</f>
        <v/>
      </c>
      <c r="CB77" s="7">
        <f>IF(A77="","",IF((A77+66)&gt;Model!$B$4,0,MAX(0,Model!$B$6-IF((A77+66)&gt;=Model!$B$11,Model!$B$20,0)-IF(66&lt;Model!$B$15,Model!$B$22,0))/(1-Model!$B$9)/(1+Model!$B$18)^66))</f>
        <v/>
      </c>
      <c r="CC77" s="7">
        <f>IF(A77="","",IF((A77+67)&gt;Model!$B$4,0,MAX(0,Model!$B$6-IF((A77+67)&gt;=Model!$B$11,Model!$B$20,0)-IF(67&lt;Model!$B$15,Model!$B$22,0))/(1-Model!$B$9)/(1+Model!$B$18)^67))</f>
        <v/>
      </c>
      <c r="CD77" s="7">
        <f>IF(A77="","",IF((A77+68)&gt;Model!$B$4,0,MAX(0,Model!$B$6-IF((A77+68)&gt;=Model!$B$11,Model!$B$20,0)-IF(68&lt;Model!$B$15,Model!$B$22,0))/(1-Model!$B$9)/(1+Model!$B$18)^68))</f>
        <v/>
      </c>
      <c r="CE77" s="7">
        <f>IF(A77="","",IF((A77+69)&gt;Model!$B$4,0,MAX(0,Model!$B$6-IF((A77+69)&gt;=Model!$B$11,Model!$B$20,0)-IF(69&lt;Model!$B$15,Model!$B$22,0))/(1-Model!$B$9)/(1+Model!$B$18)^69))</f>
        <v/>
      </c>
      <c r="CF77" s="7">
        <f>IF(A77="","",IF((A77+70)&gt;Model!$B$4,0,MAX(0,Model!$B$6-IF((A77+70)&gt;=Model!$B$11,Model!$B$20,0)-IF(70&lt;Model!$B$15,Model!$B$22,0))/(1-Model!$B$9)/(1+Model!$B$18)^70))</f>
        <v/>
      </c>
      <c r="CG77" s="7">
        <f>IF(A77="","",IF((A77+71)&gt;Model!$B$4,0,MAX(0,Model!$B$6-IF((A77+71)&gt;=Model!$B$11,Model!$B$20,0)-IF(71&lt;Model!$B$15,Model!$B$22,0))/(1-Model!$B$9)/(1+Model!$B$18)^71))</f>
        <v/>
      </c>
      <c r="CH77" s="7">
        <f>IF(A77="","",IF((A77+72)&gt;Model!$B$4,0,MAX(0,Model!$B$6-IF((A77+72)&gt;=Model!$B$11,Model!$B$20,0)-IF(72&lt;Model!$B$15,Model!$B$22,0))/(1-Model!$B$9)/(1+Model!$B$18)^72))</f>
        <v/>
      </c>
      <c r="CI77" s="7">
        <f>IF(A77="","",IF((A77+73)&gt;Model!$B$4,0,MAX(0,Model!$B$6-IF((A77+73)&gt;=Model!$B$11,Model!$B$20,0)-IF(73&lt;Model!$B$15,Model!$B$22,0))/(1-Model!$B$9)/(1+Model!$B$18)^73))</f>
        <v/>
      </c>
      <c r="CJ77" s="7">
        <f>IF(A77="","",IF((A77+74)&gt;Model!$B$4,0,MAX(0,Model!$B$6-IF((A77+74)&gt;=Model!$B$11,Model!$B$20,0)-IF(74&lt;Model!$B$15,Model!$B$22,0))/(1-Model!$B$9)/(1+Model!$B$18)^74))</f>
        <v/>
      </c>
      <c r="CK77" s="7">
        <f>IF(A77="","",IF((A77+75)&gt;Model!$B$4,0,MAX(0,Model!$B$6-IF((A77+75)&gt;=Model!$B$11,Model!$B$20,0)-IF(75&lt;Model!$B$15,Model!$B$22,0))/(1-Model!$B$9)/(1+Model!$B$18)^75))</f>
        <v/>
      </c>
      <c r="CL77" s="7">
        <f>IF(A77="","",IF((A77+76)&gt;Model!$B$4,0,MAX(0,Model!$B$6-IF((A77+76)&gt;=Model!$B$11,Model!$B$20,0)-IF(76&lt;Model!$B$15,Model!$B$22,0))/(1-Model!$B$9)/(1+Model!$B$18)^76))</f>
        <v/>
      </c>
      <c r="CM77" s="7">
        <f>IF(A77="","",IF((A77+77)&gt;Model!$B$4,0,MAX(0,Model!$B$6-IF((A77+77)&gt;=Model!$B$11,Model!$B$20,0)-IF(77&lt;Model!$B$15,Model!$B$22,0))/(1-Model!$B$9)/(1+Model!$B$18)^77))</f>
        <v/>
      </c>
      <c r="CN77" s="7">
        <f>IF(A77="","",IF((A77+78)&gt;Model!$B$4,0,MAX(0,Model!$B$6-IF((A77+78)&gt;=Model!$B$11,Model!$B$20,0)-IF(78&lt;Model!$B$15,Model!$B$22,0))/(1-Model!$B$9)/(1+Model!$B$18)^78))</f>
        <v/>
      </c>
      <c r="CO77" s="7">
        <f>IF(A77="","",IF((A77+79)&gt;Model!$B$4,0,MAX(0,Model!$B$6-IF((A77+79)&gt;=Model!$B$11,Model!$B$20,0)-IF(79&lt;Model!$B$15,Model!$B$22,0))/(1-Model!$B$9)/(1+Model!$B$18)^79))</f>
        <v/>
      </c>
      <c r="CP77" s="7">
        <f>IF(A77="","",IF((A77+80)&gt;Model!$B$4,0,MAX(0,Model!$B$6-IF((A77+80)&gt;=Model!$B$11,Model!$B$20,0)-IF(80&lt;Model!$B$15,Model!$B$22,0))/(1-Model!$B$9)/(1+Model!$B$18)^80))</f>
        <v/>
      </c>
      <c r="CQ77" s="7">
        <f>IF(A77="","",IF((A77+81)&gt;Model!$B$4,0,MAX(0,Model!$B$6-IF((A77+81)&gt;=Model!$B$11,Model!$B$20,0)-IF(81&lt;Model!$B$15,Model!$B$22,0))/(1-Model!$B$9)/(1+Model!$B$18)^81))</f>
        <v/>
      </c>
      <c r="CR77" s="7">
        <f>IF(A77="","",IF((A77+82)&gt;Model!$B$4,0,MAX(0,Model!$B$6-IF((A77+82)&gt;=Model!$B$11,Model!$B$20,0)-IF(82&lt;Model!$B$15,Model!$B$22,0))/(1-Model!$B$9)/(1+Model!$B$18)^82))</f>
        <v/>
      </c>
      <c r="CS77" s="7">
        <f>IF(A77="","",IF((A77+83)&gt;Model!$B$4,0,MAX(0,Model!$B$6-IF((A77+83)&gt;=Model!$B$11,Model!$B$20,0)-IF(83&lt;Model!$B$15,Model!$B$22,0))/(1-Model!$B$9)/(1+Model!$B$18)^83))</f>
        <v/>
      </c>
      <c r="CT77" s="7">
        <f>IF(A77="","",IF((A77+84)&gt;Model!$B$4,0,MAX(0,Model!$B$6-IF((A77+84)&gt;=Model!$B$11,Model!$B$20,0)-IF(84&lt;Model!$B$15,Model!$B$22,0))/(1-Model!$B$9)/(1+Model!$B$18)^84))</f>
        <v/>
      </c>
      <c r="CU77" s="7">
        <f>IF(A77="","",IF((A77+85)&gt;Model!$B$4,0,MAX(0,Model!$B$6-IF((A77+85)&gt;=Model!$B$11,Model!$B$20,0)-IF(85&lt;Model!$B$15,Model!$B$22,0))/(1-Model!$B$9)/(1+Model!$B$18)^85))</f>
        <v/>
      </c>
      <c r="CV77" s="7">
        <f>IF(A77="","",IF((A77+86)&gt;Model!$B$4,0,MAX(0,Model!$B$6-IF((A77+86)&gt;=Model!$B$11,Model!$B$20,0)-IF(86&lt;Model!$B$15,Model!$B$22,0))/(1-Model!$B$9)/(1+Model!$B$18)^86))</f>
        <v/>
      </c>
      <c r="CW77" s="7">
        <f>IF(A77="","",IF((A77+87)&gt;Model!$B$4,0,MAX(0,Model!$B$6-IF((A77+87)&gt;=Model!$B$11,Model!$B$20,0)-IF(87&lt;Model!$B$15,Model!$B$22,0))/(1-Model!$B$9)/(1+Model!$B$18)^87))</f>
        <v/>
      </c>
      <c r="CX77" s="7">
        <f>IF(A77="","",IF((A77+88)&gt;Model!$B$4,0,MAX(0,Model!$B$6-IF((A77+88)&gt;=Model!$B$11,Model!$B$20,0)-IF(88&lt;Model!$B$15,Model!$B$22,0))/(1-Model!$B$9)/(1+Model!$B$18)^88))</f>
        <v/>
      </c>
      <c r="CY77" s="7">
        <f>IF(A77="","",IF((A77+89)&gt;Model!$B$4,0,MAX(0,Model!$B$6-IF((A77+89)&gt;=Model!$B$11,Model!$B$20,0)-IF(89&lt;Model!$B$15,Model!$B$22,0))/(1-Model!$B$9)/(1+Model!$B$18)^89))</f>
        <v/>
      </c>
      <c r="CZ77" s="7">
        <f>IF(A77="","",IF((A77+90)&gt;Model!$B$4,0,MAX(0,Model!$B$6-IF((A77+90)&gt;=Model!$B$11,Model!$B$20,0)-IF(90&lt;Model!$B$15,Model!$B$22,0))/(1-Model!$B$9)/(1+Model!$B$18)^90))</f>
        <v/>
      </c>
      <c r="DA77" s="7">
        <f>IF(A77="","",IF((A77+91)&gt;Model!$B$4,0,MAX(0,Model!$B$6-IF((A77+91)&gt;=Model!$B$11,Model!$B$20,0)-IF(91&lt;Model!$B$15,Model!$B$22,0))/(1-Model!$B$9)/(1+Model!$B$18)^91))</f>
        <v/>
      </c>
      <c r="DB77" s="7">
        <f>IF(A77="","",IF((A77+92)&gt;Model!$B$4,0,MAX(0,Model!$B$6-IF((A77+92)&gt;=Model!$B$11,Model!$B$20,0)-IF(92&lt;Model!$B$15,Model!$B$22,0))/(1-Model!$B$9)/(1+Model!$B$18)^92))</f>
        <v/>
      </c>
      <c r="DC77" s="7">
        <f>IF(A77="","",IF((A77+93)&gt;Model!$B$4,0,MAX(0,Model!$B$6-IF((A77+93)&gt;=Model!$B$11,Model!$B$20,0)-IF(93&lt;Model!$B$15,Model!$B$22,0))/(1-Model!$B$9)/(1+Model!$B$18)^93))</f>
        <v/>
      </c>
      <c r="DD77" s="7">
        <f>IF(A77="","",IF((A77+94)&gt;Model!$B$4,0,MAX(0,Model!$B$6-IF((A77+94)&gt;=Model!$B$11,Model!$B$20,0)-IF(94&lt;Model!$B$15,Model!$B$22,0))/(1-Model!$B$9)/(1+Model!$B$18)^94))</f>
        <v/>
      </c>
      <c r="DE77" s="7">
        <f>IF(A77="","",IF((A77+95)&gt;Model!$B$4,0,MAX(0,Model!$B$6-IF((A77+95)&gt;=Model!$B$11,Model!$B$20,0)-IF(95&lt;Model!$B$15,Model!$B$22,0))/(1-Model!$B$9)/(1+Model!$B$18)^95))</f>
        <v/>
      </c>
      <c r="DF77" s="7">
        <f>IF(A77="","",IF((A77+96)&gt;Model!$B$4,0,MAX(0,Model!$B$6-IF((A77+96)&gt;=Model!$B$11,Model!$B$20,0)-IF(96&lt;Model!$B$15,Model!$B$22,0))/(1-Model!$B$9)/(1+Model!$B$18)^96))</f>
        <v/>
      </c>
      <c r="DG77" s="7">
        <f>IF(A77="","",IF((A77+97)&gt;Model!$B$4,0,MAX(0,Model!$B$6-IF((A77+97)&gt;=Model!$B$11,Model!$B$20,0)-IF(97&lt;Model!$B$15,Model!$B$22,0))/(1-Model!$B$9)/(1+Model!$B$18)^97))</f>
        <v/>
      </c>
      <c r="DH77" s="7">
        <f>IF(A77="","",IF((A77+98)&gt;Model!$B$4,0,MAX(0,Model!$B$6-IF((A77+98)&gt;=Model!$B$11,Model!$B$20,0)-IF(98&lt;Model!$B$15,Model!$B$22,0))/(1-Model!$B$9)/(1+Model!$B$18)^98))</f>
        <v/>
      </c>
      <c r="DI77" s="7">
        <f>IF(A77="","",IF((A77+99)&gt;Model!$B$4,0,MAX(0,Model!$B$6-IF((A77+99)&gt;=Model!$B$11,Model!$B$20,0)-IF(99&lt;Model!$B$15,Model!$B$22,0))/(1-Model!$B$9)/(1+Model!$B$18)^99))</f>
        <v/>
      </c>
      <c r="DJ77" s="7">
        <f>IF(A77="","",IF((A77+100)&gt;Model!$B$4,0,MAX(0,Model!$B$6-IF((A77+100)&gt;=Model!$B$11,Model!$B$20,0)-IF(100&lt;Model!$B$15,Model!$B$22,0))/(1-Model!$B$9)/(1+Model!$B$18)^100))</f>
        <v/>
      </c>
      <c r="DK77" s="7">
        <f>IF(A77="","",IF((A77+101)&gt;Model!$B$4,0,MAX(0,Model!$B$6-IF((A77+101)&gt;=Model!$B$11,Model!$B$20,0)-IF(101&lt;Model!$B$15,Model!$B$22,0))/(1-Model!$B$9)/(1+Model!$B$18)^101))</f>
        <v/>
      </c>
      <c r="DL77" s="7">
        <f>IF(A77="","",IF((A77+102)&gt;Model!$B$4,0,MAX(0,Model!$B$6-IF((A77+102)&gt;=Model!$B$11,Model!$B$20,0)-IF(102&lt;Model!$B$15,Model!$B$22,0))/(1-Model!$B$9)/(1+Model!$B$18)^102))</f>
        <v/>
      </c>
      <c r="DM77" s="7">
        <f>IF(A77="","",IF((A77+103)&gt;Model!$B$4,0,MAX(0,Model!$B$6-IF((A77+103)&gt;=Model!$B$11,Model!$B$20,0)-IF(103&lt;Model!$B$15,Model!$B$22,0))/(1-Model!$B$9)/(1+Model!$B$18)^103))</f>
        <v/>
      </c>
      <c r="DN77" s="7">
        <f>IF(A77="","",IF((A77+104)&gt;Model!$B$4,0,MAX(0,Model!$B$6-IF((A77+104)&gt;=Model!$B$11,Model!$B$20,0)-IF(104&lt;Model!$B$15,Model!$B$22,0))/(1-Model!$B$9)/(1+Model!$B$18)^104))</f>
        <v/>
      </c>
      <c r="DO77" s="7">
        <f>IF(A77="","",IF((A77+105)&gt;Model!$B$4,0,MAX(0,Model!$B$6-IF((A77+105)&gt;=Model!$B$11,Model!$B$20,0)-IF(105&lt;Model!$B$15,Model!$B$22,0))/(1-Model!$B$9)/(1+Model!$B$18)^105))</f>
        <v/>
      </c>
      <c r="DP77" s="7">
        <f>IF(A77="","",IF((A77+106)&gt;Model!$B$4,0,MAX(0,Model!$B$6-IF((A77+106)&gt;=Model!$B$11,Model!$B$20,0)-IF(106&lt;Model!$B$15,Model!$B$22,0))/(1-Model!$B$9)/(1+Model!$B$18)^106))</f>
        <v/>
      </c>
      <c r="DQ77" s="7">
        <f>IF(A77="","",IF((A77+107)&gt;Model!$B$4,0,MAX(0,Model!$B$6-IF((A77+107)&gt;=Model!$B$11,Model!$B$20,0)-IF(107&lt;Model!$B$15,Model!$B$22,0))/(1-Model!$B$9)/(1+Model!$B$18)^107))</f>
        <v/>
      </c>
      <c r="DR77" s="7">
        <f>IF(A77="","",IF((A77+108)&gt;Model!$B$4,0,MAX(0,Model!$B$6-IF((A77+108)&gt;=Model!$B$11,Model!$B$20,0)-IF(108&lt;Model!$B$15,Model!$B$22,0))/(1-Model!$B$9)/(1+Model!$B$18)^108))</f>
        <v/>
      </c>
      <c r="DS77" s="7">
        <f>IF(A77="","",IF((A77+109)&gt;Model!$B$4,0,MAX(0,Model!$B$6-IF((A77+109)&gt;=Model!$B$11,Model!$B$20,0)-IF(109&lt;Model!$B$15,Model!$B$22,0))/(1-Model!$B$9)/(1+Model!$B$18)^109))</f>
        <v/>
      </c>
      <c r="DT77" s="7">
        <f>IF(A77="","",IF((A77+110)&gt;Model!$B$4,0,MAX(0,Model!$B$6-IF((A77+110)&gt;=Model!$B$11,Model!$B$20,0)-IF(110&lt;Model!$B$15,Model!$B$22,0))/(1-Model!$B$9)/(1+Model!$B$18)^110))</f>
        <v/>
      </c>
      <c r="DU77" s="7">
        <f>IF(A77="","",IF((A77+111)&gt;Model!$B$4,0,MAX(0,Model!$B$6-IF((A77+111)&gt;=Model!$B$11,Model!$B$20,0)-IF(111&lt;Model!$B$15,Model!$B$22,0))/(1-Model!$B$9)/(1+Model!$B$18)^111))</f>
        <v/>
      </c>
      <c r="DV77" s="7">
        <f>IF(A77="","",IF((A77+112)&gt;Model!$B$4,0,MAX(0,Model!$B$6-IF((A77+112)&gt;=Model!$B$11,Model!$B$20,0)-IF(112&lt;Model!$B$15,Model!$B$22,0))/(1-Model!$B$9)/(1+Model!$B$18)^112))</f>
        <v/>
      </c>
      <c r="DW77" s="7">
        <f>IF(A77="","",IF((A77+113)&gt;Model!$B$4,0,MAX(0,Model!$B$6-IF((A77+113)&gt;=Model!$B$11,Model!$B$20,0)-IF(113&lt;Model!$B$15,Model!$B$22,0))/(1-Model!$B$9)/(1+Model!$B$18)^113))</f>
        <v/>
      </c>
      <c r="DX77" s="7">
        <f>IF(A77="","",IF((A77+114)&gt;Model!$B$4,0,MAX(0,Model!$B$6-IF((A77+114)&gt;=Model!$B$11,Model!$B$20,0)-IF(114&lt;Model!$B$15,Model!$B$22,0))/(1-Model!$B$9)/(1+Model!$B$18)^114))</f>
        <v/>
      </c>
      <c r="DY77" s="7">
        <f>IF(A77="","",IF((A77+115)&gt;Model!$B$4,0,MAX(0,Model!$B$6-IF((A77+115)&gt;=Model!$B$11,Model!$B$20,0)-IF(115&lt;Model!$B$15,Model!$B$22,0))/(1-Model!$B$9)/(1+Model!$B$18)^115))</f>
        <v/>
      </c>
      <c r="DZ77" s="7">
        <f>IF(A77="","",IF((A77+116)&gt;Model!$B$4,0,MAX(0,Model!$B$6-IF((A77+116)&gt;=Model!$B$11,Model!$B$20,0)-IF(116&lt;Model!$B$15,Model!$B$22,0))/(1-Model!$B$9)/(1+Model!$B$18)^116))</f>
        <v/>
      </c>
      <c r="EA77" s="7">
        <f>IF(A77="","",IF((A77+117)&gt;Model!$B$4,0,MAX(0,Model!$B$6-IF((A77+117)&gt;=Model!$B$11,Model!$B$20,0)-IF(117&lt;Model!$B$15,Model!$B$22,0))/(1-Model!$B$9)/(1+Model!$B$18)^117))</f>
        <v/>
      </c>
      <c r="EB77" s="7">
        <f>IF(A77="","",IF((A77+118)&gt;Model!$B$4,0,MAX(0,Model!$B$6-IF((A77+118)&gt;=Model!$B$11,Model!$B$20,0)-IF(118&lt;Model!$B$15,Model!$B$22,0))/(1-Model!$B$9)/(1+Model!$B$18)^118))</f>
        <v/>
      </c>
      <c r="EC77" s="7">
        <f>IF(A77="","",IF((A77+119)&gt;Model!$B$4,0,MAX(0,Model!$B$6-IF((A77+119)&gt;=Model!$B$11,Model!$B$20,0)-IF(119&lt;Model!$B$15,Model!$B$22,0))/(1-Model!$B$9)/(1+Model!$B$18)^119))</f>
        <v/>
      </c>
      <c r="ED77" s="7">
        <f>IF(A77="","",IF((A77+120)&gt;Model!$B$4,0,MAX(0,Model!$B$6-IF((A77+120)&gt;=Model!$B$11,Model!$B$20,0)-IF(120&lt;Model!$B$15,Model!$B$22,0))/(1-Model!$B$9)/(1+Model!$B$18)^120))</f>
        <v/>
      </c>
    </row>
    <row r="78">
      <c r="A78">
        <f>IF(Model!$B$10+ROW()-2&lt;=Model!$B$4,Model!$B$10+ROW()-2,"")</f>
        <v/>
      </c>
      <c r="B78">
        <f>IF(A78="","",A78-Model!$B$10)</f>
        <v/>
      </c>
      <c r="C78" s="7">
        <f>IF(A78="","",Model!$B$5*(1+Model!$B$18)^B78)</f>
        <v/>
      </c>
      <c r="D78" s="7">
        <f>IF(A78="","",SUM(N78:ED78))</f>
        <v/>
      </c>
      <c r="E78" s="7">
        <f>IF(A78="","",IF(A78&gt;=Model!$B$11,Model!$B$20,0))</f>
        <v/>
      </c>
      <c r="F78" s="7">
        <f>IF(A78="","",IF(Model!$B$15&gt;0,Model!$B$22,0))</f>
        <v/>
      </c>
      <c r="G78" s="7">
        <f>IF(A78="","",E78+F78)</f>
        <v/>
      </c>
      <c r="H78" s="7">
        <f>IF(A78="","",MAX(0,Model!$B$6-G78))</f>
        <v/>
      </c>
      <c r="I78" s="7">
        <f>IF(A78="","",H78/(1-Model!$B$9))</f>
        <v/>
      </c>
      <c r="J78" s="7">
        <f>IF(A78="","",C78-D78)</f>
        <v/>
      </c>
      <c r="K78">
        <f>IF(A78="","",C78&gt;=D78)</f>
        <v/>
      </c>
      <c r="L78" s="7">
        <f>IF(A78="","",IF(A78&gt;=Model!$B$11,Model!$B$19*(1+Model!$B$13)^B78,0))</f>
        <v/>
      </c>
      <c r="M78" s="7">
        <f>IF(A78="","",IF(Model!$B$15&gt;0,Model!$B$21*(1+Model!$B$13)^B78,0))</f>
        <v/>
      </c>
      <c r="N78" s="7">
        <f>IF(A78="","",IF((A78+0)&gt;Model!$B$4,0,MAX(0,Model!$B$6-IF((A78+0)&gt;=Model!$B$11,Model!$B$20,0)-IF(0&lt;Model!$B$15,Model!$B$22,0))/(1-Model!$B$9)/(1+Model!$B$18)^0))</f>
        <v/>
      </c>
      <c r="O78" s="7">
        <f>IF(A78="","",IF((A78+1)&gt;Model!$B$4,0,MAX(0,Model!$B$6-IF((A78+1)&gt;=Model!$B$11,Model!$B$20,0)-IF(1&lt;Model!$B$15,Model!$B$22,0))/(1-Model!$B$9)/(1+Model!$B$18)^1))</f>
        <v/>
      </c>
      <c r="P78" s="7">
        <f>IF(A78="","",IF((A78+2)&gt;Model!$B$4,0,MAX(0,Model!$B$6-IF((A78+2)&gt;=Model!$B$11,Model!$B$20,0)-IF(2&lt;Model!$B$15,Model!$B$22,0))/(1-Model!$B$9)/(1+Model!$B$18)^2))</f>
        <v/>
      </c>
      <c r="Q78" s="7">
        <f>IF(A78="","",IF((A78+3)&gt;Model!$B$4,0,MAX(0,Model!$B$6-IF((A78+3)&gt;=Model!$B$11,Model!$B$20,0)-IF(3&lt;Model!$B$15,Model!$B$22,0))/(1-Model!$B$9)/(1+Model!$B$18)^3))</f>
        <v/>
      </c>
      <c r="R78" s="7">
        <f>IF(A78="","",IF((A78+4)&gt;Model!$B$4,0,MAX(0,Model!$B$6-IF((A78+4)&gt;=Model!$B$11,Model!$B$20,0)-IF(4&lt;Model!$B$15,Model!$B$22,0))/(1-Model!$B$9)/(1+Model!$B$18)^4))</f>
        <v/>
      </c>
      <c r="S78" s="7">
        <f>IF(A78="","",IF((A78+5)&gt;Model!$B$4,0,MAX(0,Model!$B$6-IF((A78+5)&gt;=Model!$B$11,Model!$B$20,0)-IF(5&lt;Model!$B$15,Model!$B$22,0))/(1-Model!$B$9)/(1+Model!$B$18)^5))</f>
        <v/>
      </c>
      <c r="T78" s="7">
        <f>IF(A78="","",IF((A78+6)&gt;Model!$B$4,0,MAX(0,Model!$B$6-IF((A78+6)&gt;=Model!$B$11,Model!$B$20,0)-IF(6&lt;Model!$B$15,Model!$B$22,0))/(1-Model!$B$9)/(1+Model!$B$18)^6))</f>
        <v/>
      </c>
      <c r="U78" s="7">
        <f>IF(A78="","",IF((A78+7)&gt;Model!$B$4,0,MAX(0,Model!$B$6-IF((A78+7)&gt;=Model!$B$11,Model!$B$20,0)-IF(7&lt;Model!$B$15,Model!$B$22,0))/(1-Model!$B$9)/(1+Model!$B$18)^7))</f>
        <v/>
      </c>
      <c r="V78" s="7">
        <f>IF(A78="","",IF((A78+8)&gt;Model!$B$4,0,MAX(0,Model!$B$6-IF((A78+8)&gt;=Model!$B$11,Model!$B$20,0)-IF(8&lt;Model!$B$15,Model!$B$22,0))/(1-Model!$B$9)/(1+Model!$B$18)^8))</f>
        <v/>
      </c>
      <c r="W78" s="7">
        <f>IF(A78="","",IF((A78+9)&gt;Model!$B$4,0,MAX(0,Model!$B$6-IF((A78+9)&gt;=Model!$B$11,Model!$B$20,0)-IF(9&lt;Model!$B$15,Model!$B$22,0))/(1-Model!$B$9)/(1+Model!$B$18)^9))</f>
        <v/>
      </c>
      <c r="X78" s="7">
        <f>IF(A78="","",IF((A78+10)&gt;Model!$B$4,0,MAX(0,Model!$B$6-IF((A78+10)&gt;=Model!$B$11,Model!$B$20,0)-IF(10&lt;Model!$B$15,Model!$B$22,0))/(1-Model!$B$9)/(1+Model!$B$18)^10))</f>
        <v/>
      </c>
      <c r="Y78" s="7">
        <f>IF(A78="","",IF((A78+11)&gt;Model!$B$4,0,MAX(0,Model!$B$6-IF((A78+11)&gt;=Model!$B$11,Model!$B$20,0)-IF(11&lt;Model!$B$15,Model!$B$22,0))/(1-Model!$B$9)/(1+Model!$B$18)^11))</f>
        <v/>
      </c>
      <c r="Z78" s="7">
        <f>IF(A78="","",IF((A78+12)&gt;Model!$B$4,0,MAX(0,Model!$B$6-IF((A78+12)&gt;=Model!$B$11,Model!$B$20,0)-IF(12&lt;Model!$B$15,Model!$B$22,0))/(1-Model!$B$9)/(1+Model!$B$18)^12))</f>
        <v/>
      </c>
      <c r="AA78" s="7">
        <f>IF(A78="","",IF((A78+13)&gt;Model!$B$4,0,MAX(0,Model!$B$6-IF((A78+13)&gt;=Model!$B$11,Model!$B$20,0)-IF(13&lt;Model!$B$15,Model!$B$22,0))/(1-Model!$B$9)/(1+Model!$B$18)^13))</f>
        <v/>
      </c>
      <c r="AB78" s="7">
        <f>IF(A78="","",IF((A78+14)&gt;Model!$B$4,0,MAX(0,Model!$B$6-IF((A78+14)&gt;=Model!$B$11,Model!$B$20,0)-IF(14&lt;Model!$B$15,Model!$B$22,0))/(1-Model!$B$9)/(1+Model!$B$18)^14))</f>
        <v/>
      </c>
      <c r="AC78" s="7">
        <f>IF(A78="","",IF((A78+15)&gt;Model!$B$4,0,MAX(0,Model!$B$6-IF((A78+15)&gt;=Model!$B$11,Model!$B$20,0)-IF(15&lt;Model!$B$15,Model!$B$22,0))/(1-Model!$B$9)/(1+Model!$B$18)^15))</f>
        <v/>
      </c>
      <c r="AD78" s="7">
        <f>IF(A78="","",IF((A78+16)&gt;Model!$B$4,0,MAX(0,Model!$B$6-IF((A78+16)&gt;=Model!$B$11,Model!$B$20,0)-IF(16&lt;Model!$B$15,Model!$B$22,0))/(1-Model!$B$9)/(1+Model!$B$18)^16))</f>
        <v/>
      </c>
      <c r="AE78" s="7">
        <f>IF(A78="","",IF((A78+17)&gt;Model!$B$4,0,MAX(0,Model!$B$6-IF((A78+17)&gt;=Model!$B$11,Model!$B$20,0)-IF(17&lt;Model!$B$15,Model!$B$22,0))/(1-Model!$B$9)/(1+Model!$B$18)^17))</f>
        <v/>
      </c>
      <c r="AF78" s="7">
        <f>IF(A78="","",IF((A78+18)&gt;Model!$B$4,0,MAX(0,Model!$B$6-IF((A78+18)&gt;=Model!$B$11,Model!$B$20,0)-IF(18&lt;Model!$B$15,Model!$B$22,0))/(1-Model!$B$9)/(1+Model!$B$18)^18))</f>
        <v/>
      </c>
      <c r="AG78" s="7">
        <f>IF(A78="","",IF((A78+19)&gt;Model!$B$4,0,MAX(0,Model!$B$6-IF((A78+19)&gt;=Model!$B$11,Model!$B$20,0)-IF(19&lt;Model!$B$15,Model!$B$22,0))/(1-Model!$B$9)/(1+Model!$B$18)^19))</f>
        <v/>
      </c>
      <c r="AH78" s="7">
        <f>IF(A78="","",IF((A78+20)&gt;Model!$B$4,0,MAX(0,Model!$B$6-IF((A78+20)&gt;=Model!$B$11,Model!$B$20,0)-IF(20&lt;Model!$B$15,Model!$B$22,0))/(1-Model!$B$9)/(1+Model!$B$18)^20))</f>
        <v/>
      </c>
      <c r="AI78" s="7">
        <f>IF(A78="","",IF((A78+21)&gt;Model!$B$4,0,MAX(0,Model!$B$6-IF((A78+21)&gt;=Model!$B$11,Model!$B$20,0)-IF(21&lt;Model!$B$15,Model!$B$22,0))/(1-Model!$B$9)/(1+Model!$B$18)^21))</f>
        <v/>
      </c>
      <c r="AJ78" s="7">
        <f>IF(A78="","",IF((A78+22)&gt;Model!$B$4,0,MAX(0,Model!$B$6-IF((A78+22)&gt;=Model!$B$11,Model!$B$20,0)-IF(22&lt;Model!$B$15,Model!$B$22,0))/(1-Model!$B$9)/(1+Model!$B$18)^22))</f>
        <v/>
      </c>
      <c r="AK78" s="7">
        <f>IF(A78="","",IF((A78+23)&gt;Model!$B$4,0,MAX(0,Model!$B$6-IF((A78+23)&gt;=Model!$B$11,Model!$B$20,0)-IF(23&lt;Model!$B$15,Model!$B$22,0))/(1-Model!$B$9)/(1+Model!$B$18)^23))</f>
        <v/>
      </c>
      <c r="AL78" s="7">
        <f>IF(A78="","",IF((A78+24)&gt;Model!$B$4,0,MAX(0,Model!$B$6-IF((A78+24)&gt;=Model!$B$11,Model!$B$20,0)-IF(24&lt;Model!$B$15,Model!$B$22,0))/(1-Model!$B$9)/(1+Model!$B$18)^24))</f>
        <v/>
      </c>
      <c r="AM78" s="7">
        <f>IF(A78="","",IF((A78+25)&gt;Model!$B$4,0,MAX(0,Model!$B$6-IF((A78+25)&gt;=Model!$B$11,Model!$B$20,0)-IF(25&lt;Model!$B$15,Model!$B$22,0))/(1-Model!$B$9)/(1+Model!$B$18)^25))</f>
        <v/>
      </c>
      <c r="AN78" s="7">
        <f>IF(A78="","",IF((A78+26)&gt;Model!$B$4,0,MAX(0,Model!$B$6-IF((A78+26)&gt;=Model!$B$11,Model!$B$20,0)-IF(26&lt;Model!$B$15,Model!$B$22,0))/(1-Model!$B$9)/(1+Model!$B$18)^26))</f>
        <v/>
      </c>
      <c r="AO78" s="7">
        <f>IF(A78="","",IF((A78+27)&gt;Model!$B$4,0,MAX(0,Model!$B$6-IF((A78+27)&gt;=Model!$B$11,Model!$B$20,0)-IF(27&lt;Model!$B$15,Model!$B$22,0))/(1-Model!$B$9)/(1+Model!$B$18)^27))</f>
        <v/>
      </c>
      <c r="AP78" s="7">
        <f>IF(A78="","",IF((A78+28)&gt;Model!$B$4,0,MAX(0,Model!$B$6-IF((A78+28)&gt;=Model!$B$11,Model!$B$20,0)-IF(28&lt;Model!$B$15,Model!$B$22,0))/(1-Model!$B$9)/(1+Model!$B$18)^28))</f>
        <v/>
      </c>
      <c r="AQ78" s="7">
        <f>IF(A78="","",IF((A78+29)&gt;Model!$B$4,0,MAX(0,Model!$B$6-IF((A78+29)&gt;=Model!$B$11,Model!$B$20,0)-IF(29&lt;Model!$B$15,Model!$B$22,0))/(1-Model!$B$9)/(1+Model!$B$18)^29))</f>
        <v/>
      </c>
      <c r="AR78" s="7">
        <f>IF(A78="","",IF((A78+30)&gt;Model!$B$4,0,MAX(0,Model!$B$6-IF((A78+30)&gt;=Model!$B$11,Model!$B$20,0)-IF(30&lt;Model!$B$15,Model!$B$22,0))/(1-Model!$B$9)/(1+Model!$B$18)^30))</f>
        <v/>
      </c>
      <c r="AS78" s="7">
        <f>IF(A78="","",IF((A78+31)&gt;Model!$B$4,0,MAX(0,Model!$B$6-IF((A78+31)&gt;=Model!$B$11,Model!$B$20,0)-IF(31&lt;Model!$B$15,Model!$B$22,0))/(1-Model!$B$9)/(1+Model!$B$18)^31))</f>
        <v/>
      </c>
      <c r="AT78" s="7">
        <f>IF(A78="","",IF((A78+32)&gt;Model!$B$4,0,MAX(0,Model!$B$6-IF((A78+32)&gt;=Model!$B$11,Model!$B$20,0)-IF(32&lt;Model!$B$15,Model!$B$22,0))/(1-Model!$B$9)/(1+Model!$B$18)^32))</f>
        <v/>
      </c>
      <c r="AU78" s="7">
        <f>IF(A78="","",IF((A78+33)&gt;Model!$B$4,0,MAX(0,Model!$B$6-IF((A78+33)&gt;=Model!$B$11,Model!$B$20,0)-IF(33&lt;Model!$B$15,Model!$B$22,0))/(1-Model!$B$9)/(1+Model!$B$18)^33))</f>
        <v/>
      </c>
      <c r="AV78" s="7">
        <f>IF(A78="","",IF((A78+34)&gt;Model!$B$4,0,MAX(0,Model!$B$6-IF((A78+34)&gt;=Model!$B$11,Model!$B$20,0)-IF(34&lt;Model!$B$15,Model!$B$22,0))/(1-Model!$B$9)/(1+Model!$B$18)^34))</f>
        <v/>
      </c>
      <c r="AW78" s="7">
        <f>IF(A78="","",IF((A78+35)&gt;Model!$B$4,0,MAX(0,Model!$B$6-IF((A78+35)&gt;=Model!$B$11,Model!$B$20,0)-IF(35&lt;Model!$B$15,Model!$B$22,0))/(1-Model!$B$9)/(1+Model!$B$18)^35))</f>
        <v/>
      </c>
      <c r="AX78" s="7">
        <f>IF(A78="","",IF((A78+36)&gt;Model!$B$4,0,MAX(0,Model!$B$6-IF((A78+36)&gt;=Model!$B$11,Model!$B$20,0)-IF(36&lt;Model!$B$15,Model!$B$22,0))/(1-Model!$B$9)/(1+Model!$B$18)^36))</f>
        <v/>
      </c>
      <c r="AY78" s="7">
        <f>IF(A78="","",IF((A78+37)&gt;Model!$B$4,0,MAX(0,Model!$B$6-IF((A78+37)&gt;=Model!$B$11,Model!$B$20,0)-IF(37&lt;Model!$B$15,Model!$B$22,0))/(1-Model!$B$9)/(1+Model!$B$18)^37))</f>
        <v/>
      </c>
      <c r="AZ78" s="7">
        <f>IF(A78="","",IF((A78+38)&gt;Model!$B$4,0,MAX(0,Model!$B$6-IF((A78+38)&gt;=Model!$B$11,Model!$B$20,0)-IF(38&lt;Model!$B$15,Model!$B$22,0))/(1-Model!$B$9)/(1+Model!$B$18)^38))</f>
        <v/>
      </c>
      <c r="BA78" s="7">
        <f>IF(A78="","",IF((A78+39)&gt;Model!$B$4,0,MAX(0,Model!$B$6-IF((A78+39)&gt;=Model!$B$11,Model!$B$20,0)-IF(39&lt;Model!$B$15,Model!$B$22,0))/(1-Model!$B$9)/(1+Model!$B$18)^39))</f>
        <v/>
      </c>
      <c r="BB78" s="7">
        <f>IF(A78="","",IF((A78+40)&gt;Model!$B$4,0,MAX(0,Model!$B$6-IF((A78+40)&gt;=Model!$B$11,Model!$B$20,0)-IF(40&lt;Model!$B$15,Model!$B$22,0))/(1-Model!$B$9)/(1+Model!$B$18)^40))</f>
        <v/>
      </c>
      <c r="BC78" s="7">
        <f>IF(A78="","",IF((A78+41)&gt;Model!$B$4,0,MAX(0,Model!$B$6-IF((A78+41)&gt;=Model!$B$11,Model!$B$20,0)-IF(41&lt;Model!$B$15,Model!$B$22,0))/(1-Model!$B$9)/(1+Model!$B$18)^41))</f>
        <v/>
      </c>
      <c r="BD78" s="7">
        <f>IF(A78="","",IF((A78+42)&gt;Model!$B$4,0,MAX(0,Model!$B$6-IF((A78+42)&gt;=Model!$B$11,Model!$B$20,0)-IF(42&lt;Model!$B$15,Model!$B$22,0))/(1-Model!$B$9)/(1+Model!$B$18)^42))</f>
        <v/>
      </c>
      <c r="BE78" s="7">
        <f>IF(A78="","",IF((A78+43)&gt;Model!$B$4,0,MAX(0,Model!$B$6-IF((A78+43)&gt;=Model!$B$11,Model!$B$20,0)-IF(43&lt;Model!$B$15,Model!$B$22,0))/(1-Model!$B$9)/(1+Model!$B$18)^43))</f>
        <v/>
      </c>
      <c r="BF78" s="7">
        <f>IF(A78="","",IF((A78+44)&gt;Model!$B$4,0,MAX(0,Model!$B$6-IF((A78+44)&gt;=Model!$B$11,Model!$B$20,0)-IF(44&lt;Model!$B$15,Model!$B$22,0))/(1-Model!$B$9)/(1+Model!$B$18)^44))</f>
        <v/>
      </c>
      <c r="BG78" s="7">
        <f>IF(A78="","",IF((A78+45)&gt;Model!$B$4,0,MAX(0,Model!$B$6-IF((A78+45)&gt;=Model!$B$11,Model!$B$20,0)-IF(45&lt;Model!$B$15,Model!$B$22,0))/(1-Model!$B$9)/(1+Model!$B$18)^45))</f>
        <v/>
      </c>
      <c r="BH78" s="7">
        <f>IF(A78="","",IF((A78+46)&gt;Model!$B$4,0,MAX(0,Model!$B$6-IF((A78+46)&gt;=Model!$B$11,Model!$B$20,0)-IF(46&lt;Model!$B$15,Model!$B$22,0))/(1-Model!$B$9)/(1+Model!$B$18)^46))</f>
        <v/>
      </c>
      <c r="BI78" s="7">
        <f>IF(A78="","",IF((A78+47)&gt;Model!$B$4,0,MAX(0,Model!$B$6-IF((A78+47)&gt;=Model!$B$11,Model!$B$20,0)-IF(47&lt;Model!$B$15,Model!$B$22,0))/(1-Model!$B$9)/(1+Model!$B$18)^47))</f>
        <v/>
      </c>
      <c r="BJ78" s="7">
        <f>IF(A78="","",IF((A78+48)&gt;Model!$B$4,0,MAX(0,Model!$B$6-IF((A78+48)&gt;=Model!$B$11,Model!$B$20,0)-IF(48&lt;Model!$B$15,Model!$B$22,0))/(1-Model!$B$9)/(1+Model!$B$18)^48))</f>
        <v/>
      </c>
      <c r="BK78" s="7">
        <f>IF(A78="","",IF((A78+49)&gt;Model!$B$4,0,MAX(0,Model!$B$6-IF((A78+49)&gt;=Model!$B$11,Model!$B$20,0)-IF(49&lt;Model!$B$15,Model!$B$22,0))/(1-Model!$B$9)/(1+Model!$B$18)^49))</f>
        <v/>
      </c>
      <c r="BL78" s="7">
        <f>IF(A78="","",IF((A78+50)&gt;Model!$B$4,0,MAX(0,Model!$B$6-IF((A78+50)&gt;=Model!$B$11,Model!$B$20,0)-IF(50&lt;Model!$B$15,Model!$B$22,0))/(1-Model!$B$9)/(1+Model!$B$18)^50))</f>
        <v/>
      </c>
      <c r="BM78" s="7">
        <f>IF(A78="","",IF((A78+51)&gt;Model!$B$4,0,MAX(0,Model!$B$6-IF((A78+51)&gt;=Model!$B$11,Model!$B$20,0)-IF(51&lt;Model!$B$15,Model!$B$22,0))/(1-Model!$B$9)/(1+Model!$B$18)^51))</f>
        <v/>
      </c>
      <c r="BN78" s="7">
        <f>IF(A78="","",IF((A78+52)&gt;Model!$B$4,0,MAX(0,Model!$B$6-IF((A78+52)&gt;=Model!$B$11,Model!$B$20,0)-IF(52&lt;Model!$B$15,Model!$B$22,0))/(1-Model!$B$9)/(1+Model!$B$18)^52))</f>
        <v/>
      </c>
      <c r="BO78" s="7">
        <f>IF(A78="","",IF((A78+53)&gt;Model!$B$4,0,MAX(0,Model!$B$6-IF((A78+53)&gt;=Model!$B$11,Model!$B$20,0)-IF(53&lt;Model!$B$15,Model!$B$22,0))/(1-Model!$B$9)/(1+Model!$B$18)^53))</f>
        <v/>
      </c>
      <c r="BP78" s="7">
        <f>IF(A78="","",IF((A78+54)&gt;Model!$B$4,0,MAX(0,Model!$B$6-IF((A78+54)&gt;=Model!$B$11,Model!$B$20,0)-IF(54&lt;Model!$B$15,Model!$B$22,0))/(1-Model!$B$9)/(1+Model!$B$18)^54))</f>
        <v/>
      </c>
      <c r="BQ78" s="7">
        <f>IF(A78="","",IF((A78+55)&gt;Model!$B$4,0,MAX(0,Model!$B$6-IF((A78+55)&gt;=Model!$B$11,Model!$B$20,0)-IF(55&lt;Model!$B$15,Model!$B$22,0))/(1-Model!$B$9)/(1+Model!$B$18)^55))</f>
        <v/>
      </c>
      <c r="BR78" s="7">
        <f>IF(A78="","",IF((A78+56)&gt;Model!$B$4,0,MAX(0,Model!$B$6-IF((A78+56)&gt;=Model!$B$11,Model!$B$20,0)-IF(56&lt;Model!$B$15,Model!$B$22,0))/(1-Model!$B$9)/(1+Model!$B$18)^56))</f>
        <v/>
      </c>
      <c r="BS78" s="7">
        <f>IF(A78="","",IF((A78+57)&gt;Model!$B$4,0,MAX(0,Model!$B$6-IF((A78+57)&gt;=Model!$B$11,Model!$B$20,0)-IF(57&lt;Model!$B$15,Model!$B$22,0))/(1-Model!$B$9)/(1+Model!$B$18)^57))</f>
        <v/>
      </c>
      <c r="BT78" s="7">
        <f>IF(A78="","",IF((A78+58)&gt;Model!$B$4,0,MAX(0,Model!$B$6-IF((A78+58)&gt;=Model!$B$11,Model!$B$20,0)-IF(58&lt;Model!$B$15,Model!$B$22,0))/(1-Model!$B$9)/(1+Model!$B$18)^58))</f>
        <v/>
      </c>
      <c r="BU78" s="7">
        <f>IF(A78="","",IF((A78+59)&gt;Model!$B$4,0,MAX(0,Model!$B$6-IF((A78+59)&gt;=Model!$B$11,Model!$B$20,0)-IF(59&lt;Model!$B$15,Model!$B$22,0))/(1-Model!$B$9)/(1+Model!$B$18)^59))</f>
        <v/>
      </c>
      <c r="BV78" s="7">
        <f>IF(A78="","",IF((A78+60)&gt;Model!$B$4,0,MAX(0,Model!$B$6-IF((A78+60)&gt;=Model!$B$11,Model!$B$20,0)-IF(60&lt;Model!$B$15,Model!$B$22,0))/(1-Model!$B$9)/(1+Model!$B$18)^60))</f>
        <v/>
      </c>
      <c r="BW78" s="7">
        <f>IF(A78="","",IF((A78+61)&gt;Model!$B$4,0,MAX(0,Model!$B$6-IF((A78+61)&gt;=Model!$B$11,Model!$B$20,0)-IF(61&lt;Model!$B$15,Model!$B$22,0))/(1-Model!$B$9)/(1+Model!$B$18)^61))</f>
        <v/>
      </c>
      <c r="BX78" s="7">
        <f>IF(A78="","",IF((A78+62)&gt;Model!$B$4,0,MAX(0,Model!$B$6-IF((A78+62)&gt;=Model!$B$11,Model!$B$20,0)-IF(62&lt;Model!$B$15,Model!$B$22,0))/(1-Model!$B$9)/(1+Model!$B$18)^62))</f>
        <v/>
      </c>
      <c r="BY78" s="7">
        <f>IF(A78="","",IF((A78+63)&gt;Model!$B$4,0,MAX(0,Model!$B$6-IF((A78+63)&gt;=Model!$B$11,Model!$B$20,0)-IF(63&lt;Model!$B$15,Model!$B$22,0))/(1-Model!$B$9)/(1+Model!$B$18)^63))</f>
        <v/>
      </c>
      <c r="BZ78" s="7">
        <f>IF(A78="","",IF((A78+64)&gt;Model!$B$4,0,MAX(0,Model!$B$6-IF((A78+64)&gt;=Model!$B$11,Model!$B$20,0)-IF(64&lt;Model!$B$15,Model!$B$22,0))/(1-Model!$B$9)/(1+Model!$B$18)^64))</f>
        <v/>
      </c>
      <c r="CA78" s="7">
        <f>IF(A78="","",IF((A78+65)&gt;Model!$B$4,0,MAX(0,Model!$B$6-IF((A78+65)&gt;=Model!$B$11,Model!$B$20,0)-IF(65&lt;Model!$B$15,Model!$B$22,0))/(1-Model!$B$9)/(1+Model!$B$18)^65))</f>
        <v/>
      </c>
      <c r="CB78" s="7">
        <f>IF(A78="","",IF((A78+66)&gt;Model!$B$4,0,MAX(0,Model!$B$6-IF((A78+66)&gt;=Model!$B$11,Model!$B$20,0)-IF(66&lt;Model!$B$15,Model!$B$22,0))/(1-Model!$B$9)/(1+Model!$B$18)^66))</f>
        <v/>
      </c>
      <c r="CC78" s="7">
        <f>IF(A78="","",IF((A78+67)&gt;Model!$B$4,0,MAX(0,Model!$B$6-IF((A78+67)&gt;=Model!$B$11,Model!$B$20,0)-IF(67&lt;Model!$B$15,Model!$B$22,0))/(1-Model!$B$9)/(1+Model!$B$18)^67))</f>
        <v/>
      </c>
      <c r="CD78" s="7">
        <f>IF(A78="","",IF((A78+68)&gt;Model!$B$4,0,MAX(0,Model!$B$6-IF((A78+68)&gt;=Model!$B$11,Model!$B$20,0)-IF(68&lt;Model!$B$15,Model!$B$22,0))/(1-Model!$B$9)/(1+Model!$B$18)^68))</f>
        <v/>
      </c>
      <c r="CE78" s="7">
        <f>IF(A78="","",IF((A78+69)&gt;Model!$B$4,0,MAX(0,Model!$B$6-IF((A78+69)&gt;=Model!$B$11,Model!$B$20,0)-IF(69&lt;Model!$B$15,Model!$B$22,0))/(1-Model!$B$9)/(1+Model!$B$18)^69))</f>
        <v/>
      </c>
      <c r="CF78" s="7">
        <f>IF(A78="","",IF((A78+70)&gt;Model!$B$4,0,MAX(0,Model!$B$6-IF((A78+70)&gt;=Model!$B$11,Model!$B$20,0)-IF(70&lt;Model!$B$15,Model!$B$22,0))/(1-Model!$B$9)/(1+Model!$B$18)^70))</f>
        <v/>
      </c>
      <c r="CG78" s="7">
        <f>IF(A78="","",IF((A78+71)&gt;Model!$B$4,0,MAX(0,Model!$B$6-IF((A78+71)&gt;=Model!$B$11,Model!$B$20,0)-IF(71&lt;Model!$B$15,Model!$B$22,0))/(1-Model!$B$9)/(1+Model!$B$18)^71))</f>
        <v/>
      </c>
      <c r="CH78" s="7">
        <f>IF(A78="","",IF((A78+72)&gt;Model!$B$4,0,MAX(0,Model!$B$6-IF((A78+72)&gt;=Model!$B$11,Model!$B$20,0)-IF(72&lt;Model!$B$15,Model!$B$22,0))/(1-Model!$B$9)/(1+Model!$B$18)^72))</f>
        <v/>
      </c>
      <c r="CI78" s="7">
        <f>IF(A78="","",IF((A78+73)&gt;Model!$B$4,0,MAX(0,Model!$B$6-IF((A78+73)&gt;=Model!$B$11,Model!$B$20,0)-IF(73&lt;Model!$B$15,Model!$B$22,0))/(1-Model!$B$9)/(1+Model!$B$18)^73))</f>
        <v/>
      </c>
      <c r="CJ78" s="7">
        <f>IF(A78="","",IF((A78+74)&gt;Model!$B$4,0,MAX(0,Model!$B$6-IF((A78+74)&gt;=Model!$B$11,Model!$B$20,0)-IF(74&lt;Model!$B$15,Model!$B$22,0))/(1-Model!$B$9)/(1+Model!$B$18)^74))</f>
        <v/>
      </c>
      <c r="CK78" s="7">
        <f>IF(A78="","",IF((A78+75)&gt;Model!$B$4,0,MAX(0,Model!$B$6-IF((A78+75)&gt;=Model!$B$11,Model!$B$20,0)-IF(75&lt;Model!$B$15,Model!$B$22,0))/(1-Model!$B$9)/(1+Model!$B$18)^75))</f>
        <v/>
      </c>
      <c r="CL78" s="7">
        <f>IF(A78="","",IF((A78+76)&gt;Model!$B$4,0,MAX(0,Model!$B$6-IF((A78+76)&gt;=Model!$B$11,Model!$B$20,0)-IF(76&lt;Model!$B$15,Model!$B$22,0))/(1-Model!$B$9)/(1+Model!$B$18)^76))</f>
        <v/>
      </c>
      <c r="CM78" s="7">
        <f>IF(A78="","",IF((A78+77)&gt;Model!$B$4,0,MAX(0,Model!$B$6-IF((A78+77)&gt;=Model!$B$11,Model!$B$20,0)-IF(77&lt;Model!$B$15,Model!$B$22,0))/(1-Model!$B$9)/(1+Model!$B$18)^77))</f>
        <v/>
      </c>
      <c r="CN78" s="7">
        <f>IF(A78="","",IF((A78+78)&gt;Model!$B$4,0,MAX(0,Model!$B$6-IF((A78+78)&gt;=Model!$B$11,Model!$B$20,0)-IF(78&lt;Model!$B$15,Model!$B$22,0))/(1-Model!$B$9)/(1+Model!$B$18)^78))</f>
        <v/>
      </c>
      <c r="CO78" s="7">
        <f>IF(A78="","",IF((A78+79)&gt;Model!$B$4,0,MAX(0,Model!$B$6-IF((A78+79)&gt;=Model!$B$11,Model!$B$20,0)-IF(79&lt;Model!$B$15,Model!$B$22,0))/(1-Model!$B$9)/(1+Model!$B$18)^79))</f>
        <v/>
      </c>
      <c r="CP78" s="7">
        <f>IF(A78="","",IF((A78+80)&gt;Model!$B$4,0,MAX(0,Model!$B$6-IF((A78+80)&gt;=Model!$B$11,Model!$B$20,0)-IF(80&lt;Model!$B$15,Model!$B$22,0))/(1-Model!$B$9)/(1+Model!$B$18)^80))</f>
        <v/>
      </c>
      <c r="CQ78" s="7">
        <f>IF(A78="","",IF((A78+81)&gt;Model!$B$4,0,MAX(0,Model!$B$6-IF((A78+81)&gt;=Model!$B$11,Model!$B$20,0)-IF(81&lt;Model!$B$15,Model!$B$22,0))/(1-Model!$B$9)/(1+Model!$B$18)^81))</f>
        <v/>
      </c>
      <c r="CR78" s="7">
        <f>IF(A78="","",IF((A78+82)&gt;Model!$B$4,0,MAX(0,Model!$B$6-IF((A78+82)&gt;=Model!$B$11,Model!$B$20,0)-IF(82&lt;Model!$B$15,Model!$B$22,0))/(1-Model!$B$9)/(1+Model!$B$18)^82))</f>
        <v/>
      </c>
      <c r="CS78" s="7">
        <f>IF(A78="","",IF((A78+83)&gt;Model!$B$4,0,MAX(0,Model!$B$6-IF((A78+83)&gt;=Model!$B$11,Model!$B$20,0)-IF(83&lt;Model!$B$15,Model!$B$22,0))/(1-Model!$B$9)/(1+Model!$B$18)^83))</f>
        <v/>
      </c>
      <c r="CT78" s="7">
        <f>IF(A78="","",IF((A78+84)&gt;Model!$B$4,0,MAX(0,Model!$B$6-IF((A78+84)&gt;=Model!$B$11,Model!$B$20,0)-IF(84&lt;Model!$B$15,Model!$B$22,0))/(1-Model!$B$9)/(1+Model!$B$18)^84))</f>
        <v/>
      </c>
      <c r="CU78" s="7">
        <f>IF(A78="","",IF((A78+85)&gt;Model!$B$4,0,MAX(0,Model!$B$6-IF((A78+85)&gt;=Model!$B$11,Model!$B$20,0)-IF(85&lt;Model!$B$15,Model!$B$22,0))/(1-Model!$B$9)/(1+Model!$B$18)^85))</f>
        <v/>
      </c>
      <c r="CV78" s="7">
        <f>IF(A78="","",IF((A78+86)&gt;Model!$B$4,0,MAX(0,Model!$B$6-IF((A78+86)&gt;=Model!$B$11,Model!$B$20,0)-IF(86&lt;Model!$B$15,Model!$B$22,0))/(1-Model!$B$9)/(1+Model!$B$18)^86))</f>
        <v/>
      </c>
      <c r="CW78" s="7">
        <f>IF(A78="","",IF((A78+87)&gt;Model!$B$4,0,MAX(0,Model!$B$6-IF((A78+87)&gt;=Model!$B$11,Model!$B$20,0)-IF(87&lt;Model!$B$15,Model!$B$22,0))/(1-Model!$B$9)/(1+Model!$B$18)^87))</f>
        <v/>
      </c>
      <c r="CX78" s="7">
        <f>IF(A78="","",IF((A78+88)&gt;Model!$B$4,0,MAX(0,Model!$B$6-IF((A78+88)&gt;=Model!$B$11,Model!$B$20,0)-IF(88&lt;Model!$B$15,Model!$B$22,0))/(1-Model!$B$9)/(1+Model!$B$18)^88))</f>
        <v/>
      </c>
      <c r="CY78" s="7">
        <f>IF(A78="","",IF((A78+89)&gt;Model!$B$4,0,MAX(0,Model!$B$6-IF((A78+89)&gt;=Model!$B$11,Model!$B$20,0)-IF(89&lt;Model!$B$15,Model!$B$22,0))/(1-Model!$B$9)/(1+Model!$B$18)^89))</f>
        <v/>
      </c>
      <c r="CZ78" s="7">
        <f>IF(A78="","",IF((A78+90)&gt;Model!$B$4,0,MAX(0,Model!$B$6-IF((A78+90)&gt;=Model!$B$11,Model!$B$20,0)-IF(90&lt;Model!$B$15,Model!$B$22,0))/(1-Model!$B$9)/(1+Model!$B$18)^90))</f>
        <v/>
      </c>
      <c r="DA78" s="7">
        <f>IF(A78="","",IF((A78+91)&gt;Model!$B$4,0,MAX(0,Model!$B$6-IF((A78+91)&gt;=Model!$B$11,Model!$B$20,0)-IF(91&lt;Model!$B$15,Model!$B$22,0))/(1-Model!$B$9)/(1+Model!$B$18)^91))</f>
        <v/>
      </c>
      <c r="DB78" s="7">
        <f>IF(A78="","",IF((A78+92)&gt;Model!$B$4,0,MAX(0,Model!$B$6-IF((A78+92)&gt;=Model!$B$11,Model!$B$20,0)-IF(92&lt;Model!$B$15,Model!$B$22,0))/(1-Model!$B$9)/(1+Model!$B$18)^92))</f>
        <v/>
      </c>
      <c r="DC78" s="7">
        <f>IF(A78="","",IF((A78+93)&gt;Model!$B$4,0,MAX(0,Model!$B$6-IF((A78+93)&gt;=Model!$B$11,Model!$B$20,0)-IF(93&lt;Model!$B$15,Model!$B$22,0))/(1-Model!$B$9)/(1+Model!$B$18)^93))</f>
        <v/>
      </c>
      <c r="DD78" s="7">
        <f>IF(A78="","",IF((A78+94)&gt;Model!$B$4,0,MAX(0,Model!$B$6-IF((A78+94)&gt;=Model!$B$11,Model!$B$20,0)-IF(94&lt;Model!$B$15,Model!$B$22,0))/(1-Model!$B$9)/(1+Model!$B$18)^94))</f>
        <v/>
      </c>
      <c r="DE78" s="7">
        <f>IF(A78="","",IF((A78+95)&gt;Model!$B$4,0,MAX(0,Model!$B$6-IF((A78+95)&gt;=Model!$B$11,Model!$B$20,0)-IF(95&lt;Model!$B$15,Model!$B$22,0))/(1-Model!$B$9)/(1+Model!$B$18)^95))</f>
        <v/>
      </c>
      <c r="DF78" s="7">
        <f>IF(A78="","",IF((A78+96)&gt;Model!$B$4,0,MAX(0,Model!$B$6-IF((A78+96)&gt;=Model!$B$11,Model!$B$20,0)-IF(96&lt;Model!$B$15,Model!$B$22,0))/(1-Model!$B$9)/(1+Model!$B$18)^96))</f>
        <v/>
      </c>
      <c r="DG78" s="7">
        <f>IF(A78="","",IF((A78+97)&gt;Model!$B$4,0,MAX(0,Model!$B$6-IF((A78+97)&gt;=Model!$B$11,Model!$B$20,0)-IF(97&lt;Model!$B$15,Model!$B$22,0))/(1-Model!$B$9)/(1+Model!$B$18)^97))</f>
        <v/>
      </c>
      <c r="DH78" s="7">
        <f>IF(A78="","",IF((A78+98)&gt;Model!$B$4,0,MAX(0,Model!$B$6-IF((A78+98)&gt;=Model!$B$11,Model!$B$20,0)-IF(98&lt;Model!$B$15,Model!$B$22,0))/(1-Model!$B$9)/(1+Model!$B$18)^98))</f>
        <v/>
      </c>
      <c r="DI78" s="7">
        <f>IF(A78="","",IF((A78+99)&gt;Model!$B$4,0,MAX(0,Model!$B$6-IF((A78+99)&gt;=Model!$B$11,Model!$B$20,0)-IF(99&lt;Model!$B$15,Model!$B$22,0))/(1-Model!$B$9)/(1+Model!$B$18)^99))</f>
        <v/>
      </c>
      <c r="DJ78" s="7">
        <f>IF(A78="","",IF((A78+100)&gt;Model!$B$4,0,MAX(0,Model!$B$6-IF((A78+100)&gt;=Model!$B$11,Model!$B$20,0)-IF(100&lt;Model!$B$15,Model!$B$22,0))/(1-Model!$B$9)/(1+Model!$B$18)^100))</f>
        <v/>
      </c>
      <c r="DK78" s="7">
        <f>IF(A78="","",IF((A78+101)&gt;Model!$B$4,0,MAX(0,Model!$B$6-IF((A78+101)&gt;=Model!$B$11,Model!$B$20,0)-IF(101&lt;Model!$B$15,Model!$B$22,0))/(1-Model!$B$9)/(1+Model!$B$18)^101))</f>
        <v/>
      </c>
      <c r="DL78" s="7">
        <f>IF(A78="","",IF((A78+102)&gt;Model!$B$4,0,MAX(0,Model!$B$6-IF((A78+102)&gt;=Model!$B$11,Model!$B$20,0)-IF(102&lt;Model!$B$15,Model!$B$22,0))/(1-Model!$B$9)/(1+Model!$B$18)^102))</f>
        <v/>
      </c>
      <c r="DM78" s="7">
        <f>IF(A78="","",IF((A78+103)&gt;Model!$B$4,0,MAX(0,Model!$B$6-IF((A78+103)&gt;=Model!$B$11,Model!$B$20,0)-IF(103&lt;Model!$B$15,Model!$B$22,0))/(1-Model!$B$9)/(1+Model!$B$18)^103))</f>
        <v/>
      </c>
      <c r="DN78" s="7">
        <f>IF(A78="","",IF((A78+104)&gt;Model!$B$4,0,MAX(0,Model!$B$6-IF((A78+104)&gt;=Model!$B$11,Model!$B$20,0)-IF(104&lt;Model!$B$15,Model!$B$22,0))/(1-Model!$B$9)/(1+Model!$B$18)^104))</f>
        <v/>
      </c>
      <c r="DO78" s="7">
        <f>IF(A78="","",IF((A78+105)&gt;Model!$B$4,0,MAX(0,Model!$B$6-IF((A78+105)&gt;=Model!$B$11,Model!$B$20,0)-IF(105&lt;Model!$B$15,Model!$B$22,0))/(1-Model!$B$9)/(1+Model!$B$18)^105))</f>
        <v/>
      </c>
      <c r="DP78" s="7">
        <f>IF(A78="","",IF((A78+106)&gt;Model!$B$4,0,MAX(0,Model!$B$6-IF((A78+106)&gt;=Model!$B$11,Model!$B$20,0)-IF(106&lt;Model!$B$15,Model!$B$22,0))/(1-Model!$B$9)/(1+Model!$B$18)^106))</f>
        <v/>
      </c>
      <c r="DQ78" s="7">
        <f>IF(A78="","",IF((A78+107)&gt;Model!$B$4,0,MAX(0,Model!$B$6-IF((A78+107)&gt;=Model!$B$11,Model!$B$20,0)-IF(107&lt;Model!$B$15,Model!$B$22,0))/(1-Model!$B$9)/(1+Model!$B$18)^107))</f>
        <v/>
      </c>
      <c r="DR78" s="7">
        <f>IF(A78="","",IF((A78+108)&gt;Model!$B$4,0,MAX(0,Model!$B$6-IF((A78+108)&gt;=Model!$B$11,Model!$B$20,0)-IF(108&lt;Model!$B$15,Model!$B$22,0))/(1-Model!$B$9)/(1+Model!$B$18)^108))</f>
        <v/>
      </c>
      <c r="DS78" s="7">
        <f>IF(A78="","",IF((A78+109)&gt;Model!$B$4,0,MAX(0,Model!$B$6-IF((A78+109)&gt;=Model!$B$11,Model!$B$20,0)-IF(109&lt;Model!$B$15,Model!$B$22,0))/(1-Model!$B$9)/(1+Model!$B$18)^109))</f>
        <v/>
      </c>
      <c r="DT78" s="7">
        <f>IF(A78="","",IF((A78+110)&gt;Model!$B$4,0,MAX(0,Model!$B$6-IF((A78+110)&gt;=Model!$B$11,Model!$B$20,0)-IF(110&lt;Model!$B$15,Model!$B$22,0))/(1-Model!$B$9)/(1+Model!$B$18)^110))</f>
        <v/>
      </c>
      <c r="DU78" s="7">
        <f>IF(A78="","",IF((A78+111)&gt;Model!$B$4,0,MAX(0,Model!$B$6-IF((A78+111)&gt;=Model!$B$11,Model!$B$20,0)-IF(111&lt;Model!$B$15,Model!$B$22,0))/(1-Model!$B$9)/(1+Model!$B$18)^111))</f>
        <v/>
      </c>
      <c r="DV78" s="7">
        <f>IF(A78="","",IF((A78+112)&gt;Model!$B$4,0,MAX(0,Model!$B$6-IF((A78+112)&gt;=Model!$B$11,Model!$B$20,0)-IF(112&lt;Model!$B$15,Model!$B$22,0))/(1-Model!$B$9)/(1+Model!$B$18)^112))</f>
        <v/>
      </c>
      <c r="DW78" s="7">
        <f>IF(A78="","",IF((A78+113)&gt;Model!$B$4,0,MAX(0,Model!$B$6-IF((A78+113)&gt;=Model!$B$11,Model!$B$20,0)-IF(113&lt;Model!$B$15,Model!$B$22,0))/(1-Model!$B$9)/(1+Model!$B$18)^113))</f>
        <v/>
      </c>
      <c r="DX78" s="7">
        <f>IF(A78="","",IF((A78+114)&gt;Model!$B$4,0,MAX(0,Model!$B$6-IF((A78+114)&gt;=Model!$B$11,Model!$B$20,0)-IF(114&lt;Model!$B$15,Model!$B$22,0))/(1-Model!$B$9)/(1+Model!$B$18)^114))</f>
        <v/>
      </c>
      <c r="DY78" s="7">
        <f>IF(A78="","",IF((A78+115)&gt;Model!$B$4,0,MAX(0,Model!$B$6-IF((A78+115)&gt;=Model!$B$11,Model!$B$20,0)-IF(115&lt;Model!$B$15,Model!$B$22,0))/(1-Model!$B$9)/(1+Model!$B$18)^115))</f>
        <v/>
      </c>
      <c r="DZ78" s="7">
        <f>IF(A78="","",IF((A78+116)&gt;Model!$B$4,0,MAX(0,Model!$B$6-IF((A78+116)&gt;=Model!$B$11,Model!$B$20,0)-IF(116&lt;Model!$B$15,Model!$B$22,0))/(1-Model!$B$9)/(1+Model!$B$18)^116))</f>
        <v/>
      </c>
      <c r="EA78" s="7">
        <f>IF(A78="","",IF((A78+117)&gt;Model!$B$4,0,MAX(0,Model!$B$6-IF((A78+117)&gt;=Model!$B$11,Model!$B$20,0)-IF(117&lt;Model!$B$15,Model!$B$22,0))/(1-Model!$B$9)/(1+Model!$B$18)^117))</f>
        <v/>
      </c>
      <c r="EB78" s="7">
        <f>IF(A78="","",IF((A78+118)&gt;Model!$B$4,0,MAX(0,Model!$B$6-IF((A78+118)&gt;=Model!$B$11,Model!$B$20,0)-IF(118&lt;Model!$B$15,Model!$B$22,0))/(1-Model!$B$9)/(1+Model!$B$18)^118))</f>
        <v/>
      </c>
      <c r="EC78" s="7">
        <f>IF(A78="","",IF((A78+119)&gt;Model!$B$4,0,MAX(0,Model!$B$6-IF((A78+119)&gt;=Model!$B$11,Model!$B$20,0)-IF(119&lt;Model!$B$15,Model!$B$22,0))/(1-Model!$B$9)/(1+Model!$B$18)^119))</f>
        <v/>
      </c>
      <c r="ED78" s="7">
        <f>IF(A78="","",IF((A78+120)&gt;Model!$B$4,0,MAX(0,Model!$B$6-IF((A78+120)&gt;=Model!$B$11,Model!$B$20,0)-IF(120&lt;Model!$B$15,Model!$B$22,0))/(1-Model!$B$9)/(1+Model!$B$18)^120))</f>
        <v/>
      </c>
    </row>
    <row r="79">
      <c r="A79">
        <f>IF(Model!$B$10+ROW()-2&lt;=Model!$B$4,Model!$B$10+ROW()-2,"")</f>
        <v/>
      </c>
      <c r="B79">
        <f>IF(A79="","",A79-Model!$B$10)</f>
        <v/>
      </c>
      <c r="C79" s="7">
        <f>IF(A79="","",Model!$B$5*(1+Model!$B$18)^B79)</f>
        <v/>
      </c>
      <c r="D79" s="7">
        <f>IF(A79="","",SUM(N79:ED79))</f>
        <v/>
      </c>
      <c r="E79" s="7">
        <f>IF(A79="","",IF(A79&gt;=Model!$B$11,Model!$B$20,0))</f>
        <v/>
      </c>
      <c r="F79" s="7">
        <f>IF(A79="","",IF(Model!$B$15&gt;0,Model!$B$22,0))</f>
        <v/>
      </c>
      <c r="G79" s="7">
        <f>IF(A79="","",E79+F79)</f>
        <v/>
      </c>
      <c r="H79" s="7">
        <f>IF(A79="","",MAX(0,Model!$B$6-G79))</f>
        <v/>
      </c>
      <c r="I79" s="7">
        <f>IF(A79="","",H79/(1-Model!$B$9))</f>
        <v/>
      </c>
      <c r="J79" s="7">
        <f>IF(A79="","",C79-D79)</f>
        <v/>
      </c>
      <c r="K79">
        <f>IF(A79="","",C79&gt;=D79)</f>
        <v/>
      </c>
      <c r="L79" s="7">
        <f>IF(A79="","",IF(A79&gt;=Model!$B$11,Model!$B$19*(1+Model!$B$13)^B79,0))</f>
        <v/>
      </c>
      <c r="M79" s="7">
        <f>IF(A79="","",IF(Model!$B$15&gt;0,Model!$B$21*(1+Model!$B$13)^B79,0))</f>
        <v/>
      </c>
      <c r="N79" s="7">
        <f>IF(A79="","",IF((A79+0)&gt;Model!$B$4,0,MAX(0,Model!$B$6-IF((A79+0)&gt;=Model!$B$11,Model!$B$20,0)-IF(0&lt;Model!$B$15,Model!$B$22,0))/(1-Model!$B$9)/(1+Model!$B$18)^0))</f>
        <v/>
      </c>
      <c r="O79" s="7">
        <f>IF(A79="","",IF((A79+1)&gt;Model!$B$4,0,MAX(0,Model!$B$6-IF((A79+1)&gt;=Model!$B$11,Model!$B$20,0)-IF(1&lt;Model!$B$15,Model!$B$22,0))/(1-Model!$B$9)/(1+Model!$B$18)^1))</f>
        <v/>
      </c>
      <c r="P79" s="7">
        <f>IF(A79="","",IF((A79+2)&gt;Model!$B$4,0,MAX(0,Model!$B$6-IF((A79+2)&gt;=Model!$B$11,Model!$B$20,0)-IF(2&lt;Model!$B$15,Model!$B$22,0))/(1-Model!$B$9)/(1+Model!$B$18)^2))</f>
        <v/>
      </c>
      <c r="Q79" s="7">
        <f>IF(A79="","",IF((A79+3)&gt;Model!$B$4,0,MAX(0,Model!$B$6-IF((A79+3)&gt;=Model!$B$11,Model!$B$20,0)-IF(3&lt;Model!$B$15,Model!$B$22,0))/(1-Model!$B$9)/(1+Model!$B$18)^3))</f>
        <v/>
      </c>
      <c r="R79" s="7">
        <f>IF(A79="","",IF((A79+4)&gt;Model!$B$4,0,MAX(0,Model!$B$6-IF((A79+4)&gt;=Model!$B$11,Model!$B$20,0)-IF(4&lt;Model!$B$15,Model!$B$22,0))/(1-Model!$B$9)/(1+Model!$B$18)^4))</f>
        <v/>
      </c>
      <c r="S79" s="7">
        <f>IF(A79="","",IF((A79+5)&gt;Model!$B$4,0,MAX(0,Model!$B$6-IF((A79+5)&gt;=Model!$B$11,Model!$B$20,0)-IF(5&lt;Model!$B$15,Model!$B$22,0))/(1-Model!$B$9)/(1+Model!$B$18)^5))</f>
        <v/>
      </c>
      <c r="T79" s="7">
        <f>IF(A79="","",IF((A79+6)&gt;Model!$B$4,0,MAX(0,Model!$B$6-IF((A79+6)&gt;=Model!$B$11,Model!$B$20,0)-IF(6&lt;Model!$B$15,Model!$B$22,0))/(1-Model!$B$9)/(1+Model!$B$18)^6))</f>
        <v/>
      </c>
      <c r="U79" s="7">
        <f>IF(A79="","",IF((A79+7)&gt;Model!$B$4,0,MAX(0,Model!$B$6-IF((A79+7)&gt;=Model!$B$11,Model!$B$20,0)-IF(7&lt;Model!$B$15,Model!$B$22,0))/(1-Model!$B$9)/(1+Model!$B$18)^7))</f>
        <v/>
      </c>
      <c r="V79" s="7">
        <f>IF(A79="","",IF((A79+8)&gt;Model!$B$4,0,MAX(0,Model!$B$6-IF((A79+8)&gt;=Model!$B$11,Model!$B$20,0)-IF(8&lt;Model!$B$15,Model!$B$22,0))/(1-Model!$B$9)/(1+Model!$B$18)^8))</f>
        <v/>
      </c>
      <c r="W79" s="7">
        <f>IF(A79="","",IF((A79+9)&gt;Model!$B$4,0,MAX(0,Model!$B$6-IF((A79+9)&gt;=Model!$B$11,Model!$B$20,0)-IF(9&lt;Model!$B$15,Model!$B$22,0))/(1-Model!$B$9)/(1+Model!$B$18)^9))</f>
        <v/>
      </c>
      <c r="X79" s="7">
        <f>IF(A79="","",IF((A79+10)&gt;Model!$B$4,0,MAX(0,Model!$B$6-IF((A79+10)&gt;=Model!$B$11,Model!$B$20,0)-IF(10&lt;Model!$B$15,Model!$B$22,0))/(1-Model!$B$9)/(1+Model!$B$18)^10))</f>
        <v/>
      </c>
      <c r="Y79" s="7">
        <f>IF(A79="","",IF((A79+11)&gt;Model!$B$4,0,MAX(0,Model!$B$6-IF((A79+11)&gt;=Model!$B$11,Model!$B$20,0)-IF(11&lt;Model!$B$15,Model!$B$22,0))/(1-Model!$B$9)/(1+Model!$B$18)^11))</f>
        <v/>
      </c>
      <c r="Z79" s="7">
        <f>IF(A79="","",IF((A79+12)&gt;Model!$B$4,0,MAX(0,Model!$B$6-IF((A79+12)&gt;=Model!$B$11,Model!$B$20,0)-IF(12&lt;Model!$B$15,Model!$B$22,0))/(1-Model!$B$9)/(1+Model!$B$18)^12))</f>
        <v/>
      </c>
      <c r="AA79" s="7">
        <f>IF(A79="","",IF((A79+13)&gt;Model!$B$4,0,MAX(0,Model!$B$6-IF((A79+13)&gt;=Model!$B$11,Model!$B$20,0)-IF(13&lt;Model!$B$15,Model!$B$22,0))/(1-Model!$B$9)/(1+Model!$B$18)^13))</f>
        <v/>
      </c>
      <c r="AB79" s="7">
        <f>IF(A79="","",IF((A79+14)&gt;Model!$B$4,0,MAX(0,Model!$B$6-IF((A79+14)&gt;=Model!$B$11,Model!$B$20,0)-IF(14&lt;Model!$B$15,Model!$B$22,0))/(1-Model!$B$9)/(1+Model!$B$18)^14))</f>
        <v/>
      </c>
      <c r="AC79" s="7">
        <f>IF(A79="","",IF((A79+15)&gt;Model!$B$4,0,MAX(0,Model!$B$6-IF((A79+15)&gt;=Model!$B$11,Model!$B$20,0)-IF(15&lt;Model!$B$15,Model!$B$22,0))/(1-Model!$B$9)/(1+Model!$B$18)^15))</f>
        <v/>
      </c>
      <c r="AD79" s="7">
        <f>IF(A79="","",IF((A79+16)&gt;Model!$B$4,0,MAX(0,Model!$B$6-IF((A79+16)&gt;=Model!$B$11,Model!$B$20,0)-IF(16&lt;Model!$B$15,Model!$B$22,0))/(1-Model!$B$9)/(1+Model!$B$18)^16))</f>
        <v/>
      </c>
      <c r="AE79" s="7">
        <f>IF(A79="","",IF((A79+17)&gt;Model!$B$4,0,MAX(0,Model!$B$6-IF((A79+17)&gt;=Model!$B$11,Model!$B$20,0)-IF(17&lt;Model!$B$15,Model!$B$22,0))/(1-Model!$B$9)/(1+Model!$B$18)^17))</f>
        <v/>
      </c>
      <c r="AF79" s="7">
        <f>IF(A79="","",IF((A79+18)&gt;Model!$B$4,0,MAX(0,Model!$B$6-IF((A79+18)&gt;=Model!$B$11,Model!$B$20,0)-IF(18&lt;Model!$B$15,Model!$B$22,0))/(1-Model!$B$9)/(1+Model!$B$18)^18))</f>
        <v/>
      </c>
      <c r="AG79" s="7">
        <f>IF(A79="","",IF((A79+19)&gt;Model!$B$4,0,MAX(0,Model!$B$6-IF((A79+19)&gt;=Model!$B$11,Model!$B$20,0)-IF(19&lt;Model!$B$15,Model!$B$22,0))/(1-Model!$B$9)/(1+Model!$B$18)^19))</f>
        <v/>
      </c>
      <c r="AH79" s="7">
        <f>IF(A79="","",IF((A79+20)&gt;Model!$B$4,0,MAX(0,Model!$B$6-IF((A79+20)&gt;=Model!$B$11,Model!$B$20,0)-IF(20&lt;Model!$B$15,Model!$B$22,0))/(1-Model!$B$9)/(1+Model!$B$18)^20))</f>
        <v/>
      </c>
      <c r="AI79" s="7">
        <f>IF(A79="","",IF((A79+21)&gt;Model!$B$4,0,MAX(0,Model!$B$6-IF((A79+21)&gt;=Model!$B$11,Model!$B$20,0)-IF(21&lt;Model!$B$15,Model!$B$22,0))/(1-Model!$B$9)/(1+Model!$B$18)^21))</f>
        <v/>
      </c>
      <c r="AJ79" s="7">
        <f>IF(A79="","",IF((A79+22)&gt;Model!$B$4,0,MAX(0,Model!$B$6-IF((A79+22)&gt;=Model!$B$11,Model!$B$20,0)-IF(22&lt;Model!$B$15,Model!$B$22,0))/(1-Model!$B$9)/(1+Model!$B$18)^22))</f>
        <v/>
      </c>
      <c r="AK79" s="7">
        <f>IF(A79="","",IF((A79+23)&gt;Model!$B$4,0,MAX(0,Model!$B$6-IF((A79+23)&gt;=Model!$B$11,Model!$B$20,0)-IF(23&lt;Model!$B$15,Model!$B$22,0))/(1-Model!$B$9)/(1+Model!$B$18)^23))</f>
        <v/>
      </c>
      <c r="AL79" s="7">
        <f>IF(A79="","",IF((A79+24)&gt;Model!$B$4,0,MAX(0,Model!$B$6-IF((A79+24)&gt;=Model!$B$11,Model!$B$20,0)-IF(24&lt;Model!$B$15,Model!$B$22,0))/(1-Model!$B$9)/(1+Model!$B$18)^24))</f>
        <v/>
      </c>
      <c r="AM79" s="7">
        <f>IF(A79="","",IF((A79+25)&gt;Model!$B$4,0,MAX(0,Model!$B$6-IF((A79+25)&gt;=Model!$B$11,Model!$B$20,0)-IF(25&lt;Model!$B$15,Model!$B$22,0))/(1-Model!$B$9)/(1+Model!$B$18)^25))</f>
        <v/>
      </c>
      <c r="AN79" s="7">
        <f>IF(A79="","",IF((A79+26)&gt;Model!$B$4,0,MAX(0,Model!$B$6-IF((A79+26)&gt;=Model!$B$11,Model!$B$20,0)-IF(26&lt;Model!$B$15,Model!$B$22,0))/(1-Model!$B$9)/(1+Model!$B$18)^26))</f>
        <v/>
      </c>
      <c r="AO79" s="7">
        <f>IF(A79="","",IF((A79+27)&gt;Model!$B$4,0,MAX(0,Model!$B$6-IF((A79+27)&gt;=Model!$B$11,Model!$B$20,0)-IF(27&lt;Model!$B$15,Model!$B$22,0))/(1-Model!$B$9)/(1+Model!$B$18)^27))</f>
        <v/>
      </c>
      <c r="AP79" s="7">
        <f>IF(A79="","",IF((A79+28)&gt;Model!$B$4,0,MAX(0,Model!$B$6-IF((A79+28)&gt;=Model!$B$11,Model!$B$20,0)-IF(28&lt;Model!$B$15,Model!$B$22,0))/(1-Model!$B$9)/(1+Model!$B$18)^28))</f>
        <v/>
      </c>
      <c r="AQ79" s="7">
        <f>IF(A79="","",IF((A79+29)&gt;Model!$B$4,0,MAX(0,Model!$B$6-IF((A79+29)&gt;=Model!$B$11,Model!$B$20,0)-IF(29&lt;Model!$B$15,Model!$B$22,0))/(1-Model!$B$9)/(1+Model!$B$18)^29))</f>
        <v/>
      </c>
      <c r="AR79" s="7">
        <f>IF(A79="","",IF((A79+30)&gt;Model!$B$4,0,MAX(0,Model!$B$6-IF((A79+30)&gt;=Model!$B$11,Model!$B$20,0)-IF(30&lt;Model!$B$15,Model!$B$22,0))/(1-Model!$B$9)/(1+Model!$B$18)^30))</f>
        <v/>
      </c>
      <c r="AS79" s="7">
        <f>IF(A79="","",IF((A79+31)&gt;Model!$B$4,0,MAX(0,Model!$B$6-IF((A79+31)&gt;=Model!$B$11,Model!$B$20,0)-IF(31&lt;Model!$B$15,Model!$B$22,0))/(1-Model!$B$9)/(1+Model!$B$18)^31))</f>
        <v/>
      </c>
      <c r="AT79" s="7">
        <f>IF(A79="","",IF((A79+32)&gt;Model!$B$4,0,MAX(0,Model!$B$6-IF((A79+32)&gt;=Model!$B$11,Model!$B$20,0)-IF(32&lt;Model!$B$15,Model!$B$22,0))/(1-Model!$B$9)/(1+Model!$B$18)^32))</f>
        <v/>
      </c>
      <c r="AU79" s="7">
        <f>IF(A79="","",IF((A79+33)&gt;Model!$B$4,0,MAX(0,Model!$B$6-IF((A79+33)&gt;=Model!$B$11,Model!$B$20,0)-IF(33&lt;Model!$B$15,Model!$B$22,0))/(1-Model!$B$9)/(1+Model!$B$18)^33))</f>
        <v/>
      </c>
      <c r="AV79" s="7">
        <f>IF(A79="","",IF((A79+34)&gt;Model!$B$4,0,MAX(0,Model!$B$6-IF((A79+34)&gt;=Model!$B$11,Model!$B$20,0)-IF(34&lt;Model!$B$15,Model!$B$22,0))/(1-Model!$B$9)/(1+Model!$B$18)^34))</f>
        <v/>
      </c>
      <c r="AW79" s="7">
        <f>IF(A79="","",IF((A79+35)&gt;Model!$B$4,0,MAX(0,Model!$B$6-IF((A79+35)&gt;=Model!$B$11,Model!$B$20,0)-IF(35&lt;Model!$B$15,Model!$B$22,0))/(1-Model!$B$9)/(1+Model!$B$18)^35))</f>
        <v/>
      </c>
      <c r="AX79" s="7">
        <f>IF(A79="","",IF((A79+36)&gt;Model!$B$4,0,MAX(0,Model!$B$6-IF((A79+36)&gt;=Model!$B$11,Model!$B$20,0)-IF(36&lt;Model!$B$15,Model!$B$22,0))/(1-Model!$B$9)/(1+Model!$B$18)^36))</f>
        <v/>
      </c>
      <c r="AY79" s="7">
        <f>IF(A79="","",IF((A79+37)&gt;Model!$B$4,0,MAX(0,Model!$B$6-IF((A79+37)&gt;=Model!$B$11,Model!$B$20,0)-IF(37&lt;Model!$B$15,Model!$B$22,0))/(1-Model!$B$9)/(1+Model!$B$18)^37))</f>
        <v/>
      </c>
      <c r="AZ79" s="7">
        <f>IF(A79="","",IF((A79+38)&gt;Model!$B$4,0,MAX(0,Model!$B$6-IF((A79+38)&gt;=Model!$B$11,Model!$B$20,0)-IF(38&lt;Model!$B$15,Model!$B$22,0))/(1-Model!$B$9)/(1+Model!$B$18)^38))</f>
        <v/>
      </c>
      <c r="BA79" s="7">
        <f>IF(A79="","",IF((A79+39)&gt;Model!$B$4,0,MAX(0,Model!$B$6-IF((A79+39)&gt;=Model!$B$11,Model!$B$20,0)-IF(39&lt;Model!$B$15,Model!$B$22,0))/(1-Model!$B$9)/(1+Model!$B$18)^39))</f>
        <v/>
      </c>
      <c r="BB79" s="7">
        <f>IF(A79="","",IF((A79+40)&gt;Model!$B$4,0,MAX(0,Model!$B$6-IF((A79+40)&gt;=Model!$B$11,Model!$B$20,0)-IF(40&lt;Model!$B$15,Model!$B$22,0))/(1-Model!$B$9)/(1+Model!$B$18)^40))</f>
        <v/>
      </c>
      <c r="BC79" s="7">
        <f>IF(A79="","",IF((A79+41)&gt;Model!$B$4,0,MAX(0,Model!$B$6-IF((A79+41)&gt;=Model!$B$11,Model!$B$20,0)-IF(41&lt;Model!$B$15,Model!$B$22,0))/(1-Model!$B$9)/(1+Model!$B$18)^41))</f>
        <v/>
      </c>
      <c r="BD79" s="7">
        <f>IF(A79="","",IF((A79+42)&gt;Model!$B$4,0,MAX(0,Model!$B$6-IF((A79+42)&gt;=Model!$B$11,Model!$B$20,0)-IF(42&lt;Model!$B$15,Model!$B$22,0))/(1-Model!$B$9)/(1+Model!$B$18)^42))</f>
        <v/>
      </c>
      <c r="BE79" s="7">
        <f>IF(A79="","",IF((A79+43)&gt;Model!$B$4,0,MAX(0,Model!$B$6-IF((A79+43)&gt;=Model!$B$11,Model!$B$20,0)-IF(43&lt;Model!$B$15,Model!$B$22,0))/(1-Model!$B$9)/(1+Model!$B$18)^43))</f>
        <v/>
      </c>
      <c r="BF79" s="7">
        <f>IF(A79="","",IF((A79+44)&gt;Model!$B$4,0,MAX(0,Model!$B$6-IF((A79+44)&gt;=Model!$B$11,Model!$B$20,0)-IF(44&lt;Model!$B$15,Model!$B$22,0))/(1-Model!$B$9)/(1+Model!$B$18)^44))</f>
        <v/>
      </c>
      <c r="BG79" s="7">
        <f>IF(A79="","",IF((A79+45)&gt;Model!$B$4,0,MAX(0,Model!$B$6-IF((A79+45)&gt;=Model!$B$11,Model!$B$20,0)-IF(45&lt;Model!$B$15,Model!$B$22,0))/(1-Model!$B$9)/(1+Model!$B$18)^45))</f>
        <v/>
      </c>
      <c r="BH79" s="7">
        <f>IF(A79="","",IF((A79+46)&gt;Model!$B$4,0,MAX(0,Model!$B$6-IF((A79+46)&gt;=Model!$B$11,Model!$B$20,0)-IF(46&lt;Model!$B$15,Model!$B$22,0))/(1-Model!$B$9)/(1+Model!$B$18)^46))</f>
        <v/>
      </c>
      <c r="BI79" s="7">
        <f>IF(A79="","",IF((A79+47)&gt;Model!$B$4,0,MAX(0,Model!$B$6-IF((A79+47)&gt;=Model!$B$11,Model!$B$20,0)-IF(47&lt;Model!$B$15,Model!$B$22,0))/(1-Model!$B$9)/(1+Model!$B$18)^47))</f>
        <v/>
      </c>
      <c r="BJ79" s="7">
        <f>IF(A79="","",IF((A79+48)&gt;Model!$B$4,0,MAX(0,Model!$B$6-IF((A79+48)&gt;=Model!$B$11,Model!$B$20,0)-IF(48&lt;Model!$B$15,Model!$B$22,0))/(1-Model!$B$9)/(1+Model!$B$18)^48))</f>
        <v/>
      </c>
      <c r="BK79" s="7">
        <f>IF(A79="","",IF((A79+49)&gt;Model!$B$4,0,MAX(0,Model!$B$6-IF((A79+49)&gt;=Model!$B$11,Model!$B$20,0)-IF(49&lt;Model!$B$15,Model!$B$22,0))/(1-Model!$B$9)/(1+Model!$B$18)^49))</f>
        <v/>
      </c>
      <c r="BL79" s="7">
        <f>IF(A79="","",IF((A79+50)&gt;Model!$B$4,0,MAX(0,Model!$B$6-IF((A79+50)&gt;=Model!$B$11,Model!$B$20,0)-IF(50&lt;Model!$B$15,Model!$B$22,0))/(1-Model!$B$9)/(1+Model!$B$18)^50))</f>
        <v/>
      </c>
      <c r="BM79" s="7">
        <f>IF(A79="","",IF((A79+51)&gt;Model!$B$4,0,MAX(0,Model!$B$6-IF((A79+51)&gt;=Model!$B$11,Model!$B$20,0)-IF(51&lt;Model!$B$15,Model!$B$22,0))/(1-Model!$B$9)/(1+Model!$B$18)^51))</f>
        <v/>
      </c>
      <c r="BN79" s="7">
        <f>IF(A79="","",IF((A79+52)&gt;Model!$B$4,0,MAX(0,Model!$B$6-IF((A79+52)&gt;=Model!$B$11,Model!$B$20,0)-IF(52&lt;Model!$B$15,Model!$B$22,0))/(1-Model!$B$9)/(1+Model!$B$18)^52))</f>
        <v/>
      </c>
      <c r="BO79" s="7">
        <f>IF(A79="","",IF((A79+53)&gt;Model!$B$4,0,MAX(0,Model!$B$6-IF((A79+53)&gt;=Model!$B$11,Model!$B$20,0)-IF(53&lt;Model!$B$15,Model!$B$22,0))/(1-Model!$B$9)/(1+Model!$B$18)^53))</f>
        <v/>
      </c>
      <c r="BP79" s="7">
        <f>IF(A79="","",IF((A79+54)&gt;Model!$B$4,0,MAX(0,Model!$B$6-IF((A79+54)&gt;=Model!$B$11,Model!$B$20,0)-IF(54&lt;Model!$B$15,Model!$B$22,0))/(1-Model!$B$9)/(1+Model!$B$18)^54))</f>
        <v/>
      </c>
      <c r="BQ79" s="7">
        <f>IF(A79="","",IF((A79+55)&gt;Model!$B$4,0,MAX(0,Model!$B$6-IF((A79+55)&gt;=Model!$B$11,Model!$B$20,0)-IF(55&lt;Model!$B$15,Model!$B$22,0))/(1-Model!$B$9)/(1+Model!$B$18)^55))</f>
        <v/>
      </c>
      <c r="BR79" s="7">
        <f>IF(A79="","",IF((A79+56)&gt;Model!$B$4,0,MAX(0,Model!$B$6-IF((A79+56)&gt;=Model!$B$11,Model!$B$20,0)-IF(56&lt;Model!$B$15,Model!$B$22,0))/(1-Model!$B$9)/(1+Model!$B$18)^56))</f>
        <v/>
      </c>
      <c r="BS79" s="7">
        <f>IF(A79="","",IF((A79+57)&gt;Model!$B$4,0,MAX(0,Model!$B$6-IF((A79+57)&gt;=Model!$B$11,Model!$B$20,0)-IF(57&lt;Model!$B$15,Model!$B$22,0))/(1-Model!$B$9)/(1+Model!$B$18)^57))</f>
        <v/>
      </c>
      <c r="BT79" s="7">
        <f>IF(A79="","",IF((A79+58)&gt;Model!$B$4,0,MAX(0,Model!$B$6-IF((A79+58)&gt;=Model!$B$11,Model!$B$20,0)-IF(58&lt;Model!$B$15,Model!$B$22,0))/(1-Model!$B$9)/(1+Model!$B$18)^58))</f>
        <v/>
      </c>
      <c r="BU79" s="7">
        <f>IF(A79="","",IF((A79+59)&gt;Model!$B$4,0,MAX(0,Model!$B$6-IF((A79+59)&gt;=Model!$B$11,Model!$B$20,0)-IF(59&lt;Model!$B$15,Model!$B$22,0))/(1-Model!$B$9)/(1+Model!$B$18)^59))</f>
        <v/>
      </c>
      <c r="BV79" s="7">
        <f>IF(A79="","",IF((A79+60)&gt;Model!$B$4,0,MAX(0,Model!$B$6-IF((A79+60)&gt;=Model!$B$11,Model!$B$20,0)-IF(60&lt;Model!$B$15,Model!$B$22,0))/(1-Model!$B$9)/(1+Model!$B$18)^60))</f>
        <v/>
      </c>
      <c r="BW79" s="7">
        <f>IF(A79="","",IF((A79+61)&gt;Model!$B$4,0,MAX(0,Model!$B$6-IF((A79+61)&gt;=Model!$B$11,Model!$B$20,0)-IF(61&lt;Model!$B$15,Model!$B$22,0))/(1-Model!$B$9)/(1+Model!$B$18)^61))</f>
        <v/>
      </c>
      <c r="BX79" s="7">
        <f>IF(A79="","",IF((A79+62)&gt;Model!$B$4,0,MAX(0,Model!$B$6-IF((A79+62)&gt;=Model!$B$11,Model!$B$20,0)-IF(62&lt;Model!$B$15,Model!$B$22,0))/(1-Model!$B$9)/(1+Model!$B$18)^62))</f>
        <v/>
      </c>
      <c r="BY79" s="7">
        <f>IF(A79="","",IF((A79+63)&gt;Model!$B$4,0,MAX(0,Model!$B$6-IF((A79+63)&gt;=Model!$B$11,Model!$B$20,0)-IF(63&lt;Model!$B$15,Model!$B$22,0))/(1-Model!$B$9)/(1+Model!$B$18)^63))</f>
        <v/>
      </c>
      <c r="BZ79" s="7">
        <f>IF(A79="","",IF((A79+64)&gt;Model!$B$4,0,MAX(0,Model!$B$6-IF((A79+64)&gt;=Model!$B$11,Model!$B$20,0)-IF(64&lt;Model!$B$15,Model!$B$22,0))/(1-Model!$B$9)/(1+Model!$B$18)^64))</f>
        <v/>
      </c>
      <c r="CA79" s="7">
        <f>IF(A79="","",IF((A79+65)&gt;Model!$B$4,0,MAX(0,Model!$B$6-IF((A79+65)&gt;=Model!$B$11,Model!$B$20,0)-IF(65&lt;Model!$B$15,Model!$B$22,0))/(1-Model!$B$9)/(1+Model!$B$18)^65))</f>
        <v/>
      </c>
      <c r="CB79" s="7">
        <f>IF(A79="","",IF((A79+66)&gt;Model!$B$4,0,MAX(0,Model!$B$6-IF((A79+66)&gt;=Model!$B$11,Model!$B$20,0)-IF(66&lt;Model!$B$15,Model!$B$22,0))/(1-Model!$B$9)/(1+Model!$B$18)^66))</f>
        <v/>
      </c>
      <c r="CC79" s="7">
        <f>IF(A79="","",IF((A79+67)&gt;Model!$B$4,0,MAX(0,Model!$B$6-IF((A79+67)&gt;=Model!$B$11,Model!$B$20,0)-IF(67&lt;Model!$B$15,Model!$B$22,0))/(1-Model!$B$9)/(1+Model!$B$18)^67))</f>
        <v/>
      </c>
      <c r="CD79" s="7">
        <f>IF(A79="","",IF((A79+68)&gt;Model!$B$4,0,MAX(0,Model!$B$6-IF((A79+68)&gt;=Model!$B$11,Model!$B$20,0)-IF(68&lt;Model!$B$15,Model!$B$22,0))/(1-Model!$B$9)/(1+Model!$B$18)^68))</f>
        <v/>
      </c>
      <c r="CE79" s="7">
        <f>IF(A79="","",IF((A79+69)&gt;Model!$B$4,0,MAX(0,Model!$B$6-IF((A79+69)&gt;=Model!$B$11,Model!$B$20,0)-IF(69&lt;Model!$B$15,Model!$B$22,0))/(1-Model!$B$9)/(1+Model!$B$18)^69))</f>
        <v/>
      </c>
      <c r="CF79" s="7">
        <f>IF(A79="","",IF((A79+70)&gt;Model!$B$4,0,MAX(0,Model!$B$6-IF((A79+70)&gt;=Model!$B$11,Model!$B$20,0)-IF(70&lt;Model!$B$15,Model!$B$22,0))/(1-Model!$B$9)/(1+Model!$B$18)^70))</f>
        <v/>
      </c>
      <c r="CG79" s="7">
        <f>IF(A79="","",IF((A79+71)&gt;Model!$B$4,0,MAX(0,Model!$B$6-IF((A79+71)&gt;=Model!$B$11,Model!$B$20,0)-IF(71&lt;Model!$B$15,Model!$B$22,0))/(1-Model!$B$9)/(1+Model!$B$18)^71))</f>
        <v/>
      </c>
      <c r="CH79" s="7">
        <f>IF(A79="","",IF((A79+72)&gt;Model!$B$4,0,MAX(0,Model!$B$6-IF((A79+72)&gt;=Model!$B$11,Model!$B$20,0)-IF(72&lt;Model!$B$15,Model!$B$22,0))/(1-Model!$B$9)/(1+Model!$B$18)^72))</f>
        <v/>
      </c>
      <c r="CI79" s="7">
        <f>IF(A79="","",IF((A79+73)&gt;Model!$B$4,0,MAX(0,Model!$B$6-IF((A79+73)&gt;=Model!$B$11,Model!$B$20,0)-IF(73&lt;Model!$B$15,Model!$B$22,0))/(1-Model!$B$9)/(1+Model!$B$18)^73))</f>
        <v/>
      </c>
      <c r="CJ79" s="7">
        <f>IF(A79="","",IF((A79+74)&gt;Model!$B$4,0,MAX(0,Model!$B$6-IF((A79+74)&gt;=Model!$B$11,Model!$B$20,0)-IF(74&lt;Model!$B$15,Model!$B$22,0))/(1-Model!$B$9)/(1+Model!$B$18)^74))</f>
        <v/>
      </c>
      <c r="CK79" s="7">
        <f>IF(A79="","",IF((A79+75)&gt;Model!$B$4,0,MAX(0,Model!$B$6-IF((A79+75)&gt;=Model!$B$11,Model!$B$20,0)-IF(75&lt;Model!$B$15,Model!$B$22,0))/(1-Model!$B$9)/(1+Model!$B$18)^75))</f>
        <v/>
      </c>
      <c r="CL79" s="7">
        <f>IF(A79="","",IF((A79+76)&gt;Model!$B$4,0,MAX(0,Model!$B$6-IF((A79+76)&gt;=Model!$B$11,Model!$B$20,0)-IF(76&lt;Model!$B$15,Model!$B$22,0))/(1-Model!$B$9)/(1+Model!$B$18)^76))</f>
        <v/>
      </c>
      <c r="CM79" s="7">
        <f>IF(A79="","",IF((A79+77)&gt;Model!$B$4,0,MAX(0,Model!$B$6-IF((A79+77)&gt;=Model!$B$11,Model!$B$20,0)-IF(77&lt;Model!$B$15,Model!$B$22,0))/(1-Model!$B$9)/(1+Model!$B$18)^77))</f>
        <v/>
      </c>
      <c r="CN79" s="7">
        <f>IF(A79="","",IF((A79+78)&gt;Model!$B$4,0,MAX(0,Model!$B$6-IF((A79+78)&gt;=Model!$B$11,Model!$B$20,0)-IF(78&lt;Model!$B$15,Model!$B$22,0))/(1-Model!$B$9)/(1+Model!$B$18)^78))</f>
        <v/>
      </c>
      <c r="CO79" s="7">
        <f>IF(A79="","",IF((A79+79)&gt;Model!$B$4,0,MAX(0,Model!$B$6-IF((A79+79)&gt;=Model!$B$11,Model!$B$20,0)-IF(79&lt;Model!$B$15,Model!$B$22,0))/(1-Model!$B$9)/(1+Model!$B$18)^79))</f>
        <v/>
      </c>
      <c r="CP79" s="7">
        <f>IF(A79="","",IF((A79+80)&gt;Model!$B$4,0,MAX(0,Model!$B$6-IF((A79+80)&gt;=Model!$B$11,Model!$B$20,0)-IF(80&lt;Model!$B$15,Model!$B$22,0))/(1-Model!$B$9)/(1+Model!$B$18)^80))</f>
        <v/>
      </c>
      <c r="CQ79" s="7">
        <f>IF(A79="","",IF((A79+81)&gt;Model!$B$4,0,MAX(0,Model!$B$6-IF((A79+81)&gt;=Model!$B$11,Model!$B$20,0)-IF(81&lt;Model!$B$15,Model!$B$22,0))/(1-Model!$B$9)/(1+Model!$B$18)^81))</f>
        <v/>
      </c>
      <c r="CR79" s="7">
        <f>IF(A79="","",IF((A79+82)&gt;Model!$B$4,0,MAX(0,Model!$B$6-IF((A79+82)&gt;=Model!$B$11,Model!$B$20,0)-IF(82&lt;Model!$B$15,Model!$B$22,0))/(1-Model!$B$9)/(1+Model!$B$18)^82))</f>
        <v/>
      </c>
      <c r="CS79" s="7">
        <f>IF(A79="","",IF((A79+83)&gt;Model!$B$4,0,MAX(0,Model!$B$6-IF((A79+83)&gt;=Model!$B$11,Model!$B$20,0)-IF(83&lt;Model!$B$15,Model!$B$22,0))/(1-Model!$B$9)/(1+Model!$B$18)^83))</f>
        <v/>
      </c>
      <c r="CT79" s="7">
        <f>IF(A79="","",IF((A79+84)&gt;Model!$B$4,0,MAX(0,Model!$B$6-IF((A79+84)&gt;=Model!$B$11,Model!$B$20,0)-IF(84&lt;Model!$B$15,Model!$B$22,0))/(1-Model!$B$9)/(1+Model!$B$18)^84))</f>
        <v/>
      </c>
      <c r="CU79" s="7">
        <f>IF(A79="","",IF((A79+85)&gt;Model!$B$4,0,MAX(0,Model!$B$6-IF((A79+85)&gt;=Model!$B$11,Model!$B$20,0)-IF(85&lt;Model!$B$15,Model!$B$22,0))/(1-Model!$B$9)/(1+Model!$B$18)^85))</f>
        <v/>
      </c>
      <c r="CV79" s="7">
        <f>IF(A79="","",IF((A79+86)&gt;Model!$B$4,0,MAX(0,Model!$B$6-IF((A79+86)&gt;=Model!$B$11,Model!$B$20,0)-IF(86&lt;Model!$B$15,Model!$B$22,0))/(1-Model!$B$9)/(1+Model!$B$18)^86))</f>
        <v/>
      </c>
      <c r="CW79" s="7">
        <f>IF(A79="","",IF((A79+87)&gt;Model!$B$4,0,MAX(0,Model!$B$6-IF((A79+87)&gt;=Model!$B$11,Model!$B$20,0)-IF(87&lt;Model!$B$15,Model!$B$22,0))/(1-Model!$B$9)/(1+Model!$B$18)^87))</f>
        <v/>
      </c>
      <c r="CX79" s="7">
        <f>IF(A79="","",IF((A79+88)&gt;Model!$B$4,0,MAX(0,Model!$B$6-IF((A79+88)&gt;=Model!$B$11,Model!$B$20,0)-IF(88&lt;Model!$B$15,Model!$B$22,0))/(1-Model!$B$9)/(1+Model!$B$18)^88))</f>
        <v/>
      </c>
      <c r="CY79" s="7">
        <f>IF(A79="","",IF((A79+89)&gt;Model!$B$4,0,MAX(0,Model!$B$6-IF((A79+89)&gt;=Model!$B$11,Model!$B$20,0)-IF(89&lt;Model!$B$15,Model!$B$22,0))/(1-Model!$B$9)/(1+Model!$B$18)^89))</f>
        <v/>
      </c>
      <c r="CZ79" s="7">
        <f>IF(A79="","",IF((A79+90)&gt;Model!$B$4,0,MAX(0,Model!$B$6-IF((A79+90)&gt;=Model!$B$11,Model!$B$20,0)-IF(90&lt;Model!$B$15,Model!$B$22,0))/(1-Model!$B$9)/(1+Model!$B$18)^90))</f>
        <v/>
      </c>
      <c r="DA79" s="7">
        <f>IF(A79="","",IF((A79+91)&gt;Model!$B$4,0,MAX(0,Model!$B$6-IF((A79+91)&gt;=Model!$B$11,Model!$B$20,0)-IF(91&lt;Model!$B$15,Model!$B$22,0))/(1-Model!$B$9)/(1+Model!$B$18)^91))</f>
        <v/>
      </c>
      <c r="DB79" s="7">
        <f>IF(A79="","",IF((A79+92)&gt;Model!$B$4,0,MAX(0,Model!$B$6-IF((A79+92)&gt;=Model!$B$11,Model!$B$20,0)-IF(92&lt;Model!$B$15,Model!$B$22,0))/(1-Model!$B$9)/(1+Model!$B$18)^92))</f>
        <v/>
      </c>
      <c r="DC79" s="7">
        <f>IF(A79="","",IF((A79+93)&gt;Model!$B$4,0,MAX(0,Model!$B$6-IF((A79+93)&gt;=Model!$B$11,Model!$B$20,0)-IF(93&lt;Model!$B$15,Model!$B$22,0))/(1-Model!$B$9)/(1+Model!$B$18)^93))</f>
        <v/>
      </c>
      <c r="DD79" s="7">
        <f>IF(A79="","",IF((A79+94)&gt;Model!$B$4,0,MAX(0,Model!$B$6-IF((A79+94)&gt;=Model!$B$11,Model!$B$20,0)-IF(94&lt;Model!$B$15,Model!$B$22,0))/(1-Model!$B$9)/(1+Model!$B$18)^94))</f>
        <v/>
      </c>
      <c r="DE79" s="7">
        <f>IF(A79="","",IF((A79+95)&gt;Model!$B$4,0,MAX(0,Model!$B$6-IF((A79+95)&gt;=Model!$B$11,Model!$B$20,0)-IF(95&lt;Model!$B$15,Model!$B$22,0))/(1-Model!$B$9)/(1+Model!$B$18)^95))</f>
        <v/>
      </c>
      <c r="DF79" s="7">
        <f>IF(A79="","",IF((A79+96)&gt;Model!$B$4,0,MAX(0,Model!$B$6-IF((A79+96)&gt;=Model!$B$11,Model!$B$20,0)-IF(96&lt;Model!$B$15,Model!$B$22,0))/(1-Model!$B$9)/(1+Model!$B$18)^96))</f>
        <v/>
      </c>
      <c r="DG79" s="7">
        <f>IF(A79="","",IF((A79+97)&gt;Model!$B$4,0,MAX(0,Model!$B$6-IF((A79+97)&gt;=Model!$B$11,Model!$B$20,0)-IF(97&lt;Model!$B$15,Model!$B$22,0))/(1-Model!$B$9)/(1+Model!$B$18)^97))</f>
        <v/>
      </c>
      <c r="DH79" s="7">
        <f>IF(A79="","",IF((A79+98)&gt;Model!$B$4,0,MAX(0,Model!$B$6-IF((A79+98)&gt;=Model!$B$11,Model!$B$20,0)-IF(98&lt;Model!$B$15,Model!$B$22,0))/(1-Model!$B$9)/(1+Model!$B$18)^98))</f>
        <v/>
      </c>
      <c r="DI79" s="7">
        <f>IF(A79="","",IF((A79+99)&gt;Model!$B$4,0,MAX(0,Model!$B$6-IF((A79+99)&gt;=Model!$B$11,Model!$B$20,0)-IF(99&lt;Model!$B$15,Model!$B$22,0))/(1-Model!$B$9)/(1+Model!$B$18)^99))</f>
        <v/>
      </c>
      <c r="DJ79" s="7">
        <f>IF(A79="","",IF((A79+100)&gt;Model!$B$4,0,MAX(0,Model!$B$6-IF((A79+100)&gt;=Model!$B$11,Model!$B$20,0)-IF(100&lt;Model!$B$15,Model!$B$22,0))/(1-Model!$B$9)/(1+Model!$B$18)^100))</f>
        <v/>
      </c>
      <c r="DK79" s="7">
        <f>IF(A79="","",IF((A79+101)&gt;Model!$B$4,0,MAX(0,Model!$B$6-IF((A79+101)&gt;=Model!$B$11,Model!$B$20,0)-IF(101&lt;Model!$B$15,Model!$B$22,0))/(1-Model!$B$9)/(1+Model!$B$18)^101))</f>
        <v/>
      </c>
      <c r="DL79" s="7">
        <f>IF(A79="","",IF((A79+102)&gt;Model!$B$4,0,MAX(0,Model!$B$6-IF((A79+102)&gt;=Model!$B$11,Model!$B$20,0)-IF(102&lt;Model!$B$15,Model!$B$22,0))/(1-Model!$B$9)/(1+Model!$B$18)^102))</f>
        <v/>
      </c>
      <c r="DM79" s="7">
        <f>IF(A79="","",IF((A79+103)&gt;Model!$B$4,0,MAX(0,Model!$B$6-IF((A79+103)&gt;=Model!$B$11,Model!$B$20,0)-IF(103&lt;Model!$B$15,Model!$B$22,0))/(1-Model!$B$9)/(1+Model!$B$18)^103))</f>
        <v/>
      </c>
      <c r="DN79" s="7">
        <f>IF(A79="","",IF((A79+104)&gt;Model!$B$4,0,MAX(0,Model!$B$6-IF((A79+104)&gt;=Model!$B$11,Model!$B$20,0)-IF(104&lt;Model!$B$15,Model!$B$22,0))/(1-Model!$B$9)/(1+Model!$B$18)^104))</f>
        <v/>
      </c>
      <c r="DO79" s="7">
        <f>IF(A79="","",IF((A79+105)&gt;Model!$B$4,0,MAX(0,Model!$B$6-IF((A79+105)&gt;=Model!$B$11,Model!$B$20,0)-IF(105&lt;Model!$B$15,Model!$B$22,0))/(1-Model!$B$9)/(1+Model!$B$18)^105))</f>
        <v/>
      </c>
      <c r="DP79" s="7">
        <f>IF(A79="","",IF((A79+106)&gt;Model!$B$4,0,MAX(0,Model!$B$6-IF((A79+106)&gt;=Model!$B$11,Model!$B$20,0)-IF(106&lt;Model!$B$15,Model!$B$22,0))/(1-Model!$B$9)/(1+Model!$B$18)^106))</f>
        <v/>
      </c>
      <c r="DQ79" s="7">
        <f>IF(A79="","",IF((A79+107)&gt;Model!$B$4,0,MAX(0,Model!$B$6-IF((A79+107)&gt;=Model!$B$11,Model!$B$20,0)-IF(107&lt;Model!$B$15,Model!$B$22,0))/(1-Model!$B$9)/(1+Model!$B$18)^107))</f>
        <v/>
      </c>
      <c r="DR79" s="7">
        <f>IF(A79="","",IF((A79+108)&gt;Model!$B$4,0,MAX(0,Model!$B$6-IF((A79+108)&gt;=Model!$B$11,Model!$B$20,0)-IF(108&lt;Model!$B$15,Model!$B$22,0))/(1-Model!$B$9)/(1+Model!$B$18)^108))</f>
        <v/>
      </c>
      <c r="DS79" s="7">
        <f>IF(A79="","",IF((A79+109)&gt;Model!$B$4,0,MAX(0,Model!$B$6-IF((A79+109)&gt;=Model!$B$11,Model!$B$20,0)-IF(109&lt;Model!$B$15,Model!$B$22,0))/(1-Model!$B$9)/(1+Model!$B$18)^109))</f>
        <v/>
      </c>
      <c r="DT79" s="7">
        <f>IF(A79="","",IF((A79+110)&gt;Model!$B$4,0,MAX(0,Model!$B$6-IF((A79+110)&gt;=Model!$B$11,Model!$B$20,0)-IF(110&lt;Model!$B$15,Model!$B$22,0))/(1-Model!$B$9)/(1+Model!$B$18)^110))</f>
        <v/>
      </c>
      <c r="DU79" s="7">
        <f>IF(A79="","",IF((A79+111)&gt;Model!$B$4,0,MAX(0,Model!$B$6-IF((A79+111)&gt;=Model!$B$11,Model!$B$20,0)-IF(111&lt;Model!$B$15,Model!$B$22,0))/(1-Model!$B$9)/(1+Model!$B$18)^111))</f>
        <v/>
      </c>
      <c r="DV79" s="7">
        <f>IF(A79="","",IF((A79+112)&gt;Model!$B$4,0,MAX(0,Model!$B$6-IF((A79+112)&gt;=Model!$B$11,Model!$B$20,0)-IF(112&lt;Model!$B$15,Model!$B$22,0))/(1-Model!$B$9)/(1+Model!$B$18)^112))</f>
        <v/>
      </c>
      <c r="DW79" s="7">
        <f>IF(A79="","",IF((A79+113)&gt;Model!$B$4,0,MAX(0,Model!$B$6-IF((A79+113)&gt;=Model!$B$11,Model!$B$20,0)-IF(113&lt;Model!$B$15,Model!$B$22,0))/(1-Model!$B$9)/(1+Model!$B$18)^113))</f>
        <v/>
      </c>
      <c r="DX79" s="7">
        <f>IF(A79="","",IF((A79+114)&gt;Model!$B$4,0,MAX(0,Model!$B$6-IF((A79+114)&gt;=Model!$B$11,Model!$B$20,0)-IF(114&lt;Model!$B$15,Model!$B$22,0))/(1-Model!$B$9)/(1+Model!$B$18)^114))</f>
        <v/>
      </c>
      <c r="DY79" s="7">
        <f>IF(A79="","",IF((A79+115)&gt;Model!$B$4,0,MAX(0,Model!$B$6-IF((A79+115)&gt;=Model!$B$11,Model!$B$20,0)-IF(115&lt;Model!$B$15,Model!$B$22,0))/(1-Model!$B$9)/(1+Model!$B$18)^115))</f>
        <v/>
      </c>
      <c r="DZ79" s="7">
        <f>IF(A79="","",IF((A79+116)&gt;Model!$B$4,0,MAX(0,Model!$B$6-IF((A79+116)&gt;=Model!$B$11,Model!$B$20,0)-IF(116&lt;Model!$B$15,Model!$B$22,0))/(1-Model!$B$9)/(1+Model!$B$18)^116))</f>
        <v/>
      </c>
      <c r="EA79" s="7">
        <f>IF(A79="","",IF((A79+117)&gt;Model!$B$4,0,MAX(0,Model!$B$6-IF((A79+117)&gt;=Model!$B$11,Model!$B$20,0)-IF(117&lt;Model!$B$15,Model!$B$22,0))/(1-Model!$B$9)/(1+Model!$B$18)^117))</f>
        <v/>
      </c>
      <c r="EB79" s="7">
        <f>IF(A79="","",IF((A79+118)&gt;Model!$B$4,0,MAX(0,Model!$B$6-IF((A79+118)&gt;=Model!$B$11,Model!$B$20,0)-IF(118&lt;Model!$B$15,Model!$B$22,0))/(1-Model!$B$9)/(1+Model!$B$18)^118))</f>
        <v/>
      </c>
      <c r="EC79" s="7">
        <f>IF(A79="","",IF((A79+119)&gt;Model!$B$4,0,MAX(0,Model!$B$6-IF((A79+119)&gt;=Model!$B$11,Model!$B$20,0)-IF(119&lt;Model!$B$15,Model!$B$22,0))/(1-Model!$B$9)/(1+Model!$B$18)^119))</f>
        <v/>
      </c>
      <c r="ED79" s="7">
        <f>IF(A79="","",IF((A79+120)&gt;Model!$B$4,0,MAX(0,Model!$B$6-IF((A79+120)&gt;=Model!$B$11,Model!$B$20,0)-IF(120&lt;Model!$B$15,Model!$B$22,0))/(1-Model!$B$9)/(1+Model!$B$18)^120))</f>
        <v/>
      </c>
    </row>
    <row r="80">
      <c r="A80">
        <f>IF(Model!$B$10+ROW()-2&lt;=Model!$B$4,Model!$B$10+ROW()-2,"")</f>
        <v/>
      </c>
      <c r="B80">
        <f>IF(A80="","",A80-Model!$B$10)</f>
        <v/>
      </c>
      <c r="C80" s="7">
        <f>IF(A80="","",Model!$B$5*(1+Model!$B$18)^B80)</f>
        <v/>
      </c>
      <c r="D80" s="7">
        <f>IF(A80="","",SUM(N80:ED80))</f>
        <v/>
      </c>
      <c r="E80" s="7">
        <f>IF(A80="","",IF(A80&gt;=Model!$B$11,Model!$B$20,0))</f>
        <v/>
      </c>
      <c r="F80" s="7">
        <f>IF(A80="","",IF(Model!$B$15&gt;0,Model!$B$22,0))</f>
        <v/>
      </c>
      <c r="G80" s="7">
        <f>IF(A80="","",E80+F80)</f>
        <v/>
      </c>
      <c r="H80" s="7">
        <f>IF(A80="","",MAX(0,Model!$B$6-G80))</f>
        <v/>
      </c>
      <c r="I80" s="7">
        <f>IF(A80="","",H80/(1-Model!$B$9))</f>
        <v/>
      </c>
      <c r="J80" s="7">
        <f>IF(A80="","",C80-D80)</f>
        <v/>
      </c>
      <c r="K80">
        <f>IF(A80="","",C80&gt;=D80)</f>
        <v/>
      </c>
      <c r="L80" s="7">
        <f>IF(A80="","",IF(A80&gt;=Model!$B$11,Model!$B$19*(1+Model!$B$13)^B80,0))</f>
        <v/>
      </c>
      <c r="M80" s="7">
        <f>IF(A80="","",IF(Model!$B$15&gt;0,Model!$B$21*(1+Model!$B$13)^B80,0))</f>
        <v/>
      </c>
      <c r="N80" s="7">
        <f>IF(A80="","",IF((A80+0)&gt;Model!$B$4,0,MAX(0,Model!$B$6-IF((A80+0)&gt;=Model!$B$11,Model!$B$20,0)-IF(0&lt;Model!$B$15,Model!$B$22,0))/(1-Model!$B$9)/(1+Model!$B$18)^0))</f>
        <v/>
      </c>
      <c r="O80" s="7">
        <f>IF(A80="","",IF((A80+1)&gt;Model!$B$4,0,MAX(0,Model!$B$6-IF((A80+1)&gt;=Model!$B$11,Model!$B$20,0)-IF(1&lt;Model!$B$15,Model!$B$22,0))/(1-Model!$B$9)/(1+Model!$B$18)^1))</f>
        <v/>
      </c>
      <c r="P80" s="7">
        <f>IF(A80="","",IF((A80+2)&gt;Model!$B$4,0,MAX(0,Model!$B$6-IF((A80+2)&gt;=Model!$B$11,Model!$B$20,0)-IF(2&lt;Model!$B$15,Model!$B$22,0))/(1-Model!$B$9)/(1+Model!$B$18)^2))</f>
        <v/>
      </c>
      <c r="Q80" s="7">
        <f>IF(A80="","",IF((A80+3)&gt;Model!$B$4,0,MAX(0,Model!$B$6-IF((A80+3)&gt;=Model!$B$11,Model!$B$20,0)-IF(3&lt;Model!$B$15,Model!$B$22,0))/(1-Model!$B$9)/(1+Model!$B$18)^3))</f>
        <v/>
      </c>
      <c r="R80" s="7">
        <f>IF(A80="","",IF((A80+4)&gt;Model!$B$4,0,MAX(0,Model!$B$6-IF((A80+4)&gt;=Model!$B$11,Model!$B$20,0)-IF(4&lt;Model!$B$15,Model!$B$22,0))/(1-Model!$B$9)/(1+Model!$B$18)^4))</f>
        <v/>
      </c>
      <c r="S80" s="7">
        <f>IF(A80="","",IF((A80+5)&gt;Model!$B$4,0,MAX(0,Model!$B$6-IF((A80+5)&gt;=Model!$B$11,Model!$B$20,0)-IF(5&lt;Model!$B$15,Model!$B$22,0))/(1-Model!$B$9)/(1+Model!$B$18)^5))</f>
        <v/>
      </c>
      <c r="T80" s="7">
        <f>IF(A80="","",IF((A80+6)&gt;Model!$B$4,0,MAX(0,Model!$B$6-IF((A80+6)&gt;=Model!$B$11,Model!$B$20,0)-IF(6&lt;Model!$B$15,Model!$B$22,0))/(1-Model!$B$9)/(1+Model!$B$18)^6))</f>
        <v/>
      </c>
      <c r="U80" s="7">
        <f>IF(A80="","",IF((A80+7)&gt;Model!$B$4,0,MAX(0,Model!$B$6-IF((A80+7)&gt;=Model!$B$11,Model!$B$20,0)-IF(7&lt;Model!$B$15,Model!$B$22,0))/(1-Model!$B$9)/(1+Model!$B$18)^7))</f>
        <v/>
      </c>
      <c r="V80" s="7">
        <f>IF(A80="","",IF((A80+8)&gt;Model!$B$4,0,MAX(0,Model!$B$6-IF((A80+8)&gt;=Model!$B$11,Model!$B$20,0)-IF(8&lt;Model!$B$15,Model!$B$22,0))/(1-Model!$B$9)/(1+Model!$B$18)^8))</f>
        <v/>
      </c>
      <c r="W80" s="7">
        <f>IF(A80="","",IF((A80+9)&gt;Model!$B$4,0,MAX(0,Model!$B$6-IF((A80+9)&gt;=Model!$B$11,Model!$B$20,0)-IF(9&lt;Model!$B$15,Model!$B$22,0))/(1-Model!$B$9)/(1+Model!$B$18)^9))</f>
        <v/>
      </c>
      <c r="X80" s="7">
        <f>IF(A80="","",IF((A80+10)&gt;Model!$B$4,0,MAX(0,Model!$B$6-IF((A80+10)&gt;=Model!$B$11,Model!$B$20,0)-IF(10&lt;Model!$B$15,Model!$B$22,0))/(1-Model!$B$9)/(1+Model!$B$18)^10))</f>
        <v/>
      </c>
      <c r="Y80" s="7">
        <f>IF(A80="","",IF((A80+11)&gt;Model!$B$4,0,MAX(0,Model!$B$6-IF((A80+11)&gt;=Model!$B$11,Model!$B$20,0)-IF(11&lt;Model!$B$15,Model!$B$22,0))/(1-Model!$B$9)/(1+Model!$B$18)^11))</f>
        <v/>
      </c>
      <c r="Z80" s="7">
        <f>IF(A80="","",IF((A80+12)&gt;Model!$B$4,0,MAX(0,Model!$B$6-IF((A80+12)&gt;=Model!$B$11,Model!$B$20,0)-IF(12&lt;Model!$B$15,Model!$B$22,0))/(1-Model!$B$9)/(1+Model!$B$18)^12))</f>
        <v/>
      </c>
      <c r="AA80" s="7">
        <f>IF(A80="","",IF((A80+13)&gt;Model!$B$4,0,MAX(0,Model!$B$6-IF((A80+13)&gt;=Model!$B$11,Model!$B$20,0)-IF(13&lt;Model!$B$15,Model!$B$22,0))/(1-Model!$B$9)/(1+Model!$B$18)^13))</f>
        <v/>
      </c>
      <c r="AB80" s="7">
        <f>IF(A80="","",IF((A80+14)&gt;Model!$B$4,0,MAX(0,Model!$B$6-IF((A80+14)&gt;=Model!$B$11,Model!$B$20,0)-IF(14&lt;Model!$B$15,Model!$B$22,0))/(1-Model!$B$9)/(1+Model!$B$18)^14))</f>
        <v/>
      </c>
      <c r="AC80" s="7">
        <f>IF(A80="","",IF((A80+15)&gt;Model!$B$4,0,MAX(0,Model!$B$6-IF((A80+15)&gt;=Model!$B$11,Model!$B$20,0)-IF(15&lt;Model!$B$15,Model!$B$22,0))/(1-Model!$B$9)/(1+Model!$B$18)^15))</f>
        <v/>
      </c>
      <c r="AD80" s="7">
        <f>IF(A80="","",IF((A80+16)&gt;Model!$B$4,0,MAX(0,Model!$B$6-IF((A80+16)&gt;=Model!$B$11,Model!$B$20,0)-IF(16&lt;Model!$B$15,Model!$B$22,0))/(1-Model!$B$9)/(1+Model!$B$18)^16))</f>
        <v/>
      </c>
      <c r="AE80" s="7">
        <f>IF(A80="","",IF((A80+17)&gt;Model!$B$4,0,MAX(0,Model!$B$6-IF((A80+17)&gt;=Model!$B$11,Model!$B$20,0)-IF(17&lt;Model!$B$15,Model!$B$22,0))/(1-Model!$B$9)/(1+Model!$B$18)^17))</f>
        <v/>
      </c>
      <c r="AF80" s="7">
        <f>IF(A80="","",IF((A80+18)&gt;Model!$B$4,0,MAX(0,Model!$B$6-IF((A80+18)&gt;=Model!$B$11,Model!$B$20,0)-IF(18&lt;Model!$B$15,Model!$B$22,0))/(1-Model!$B$9)/(1+Model!$B$18)^18))</f>
        <v/>
      </c>
      <c r="AG80" s="7">
        <f>IF(A80="","",IF((A80+19)&gt;Model!$B$4,0,MAX(0,Model!$B$6-IF((A80+19)&gt;=Model!$B$11,Model!$B$20,0)-IF(19&lt;Model!$B$15,Model!$B$22,0))/(1-Model!$B$9)/(1+Model!$B$18)^19))</f>
        <v/>
      </c>
      <c r="AH80" s="7">
        <f>IF(A80="","",IF((A80+20)&gt;Model!$B$4,0,MAX(0,Model!$B$6-IF((A80+20)&gt;=Model!$B$11,Model!$B$20,0)-IF(20&lt;Model!$B$15,Model!$B$22,0))/(1-Model!$B$9)/(1+Model!$B$18)^20))</f>
        <v/>
      </c>
      <c r="AI80" s="7">
        <f>IF(A80="","",IF((A80+21)&gt;Model!$B$4,0,MAX(0,Model!$B$6-IF((A80+21)&gt;=Model!$B$11,Model!$B$20,0)-IF(21&lt;Model!$B$15,Model!$B$22,0))/(1-Model!$B$9)/(1+Model!$B$18)^21))</f>
        <v/>
      </c>
      <c r="AJ80" s="7">
        <f>IF(A80="","",IF((A80+22)&gt;Model!$B$4,0,MAX(0,Model!$B$6-IF((A80+22)&gt;=Model!$B$11,Model!$B$20,0)-IF(22&lt;Model!$B$15,Model!$B$22,0))/(1-Model!$B$9)/(1+Model!$B$18)^22))</f>
        <v/>
      </c>
      <c r="AK80" s="7">
        <f>IF(A80="","",IF((A80+23)&gt;Model!$B$4,0,MAX(0,Model!$B$6-IF((A80+23)&gt;=Model!$B$11,Model!$B$20,0)-IF(23&lt;Model!$B$15,Model!$B$22,0))/(1-Model!$B$9)/(1+Model!$B$18)^23))</f>
        <v/>
      </c>
      <c r="AL80" s="7">
        <f>IF(A80="","",IF((A80+24)&gt;Model!$B$4,0,MAX(0,Model!$B$6-IF((A80+24)&gt;=Model!$B$11,Model!$B$20,0)-IF(24&lt;Model!$B$15,Model!$B$22,0))/(1-Model!$B$9)/(1+Model!$B$18)^24))</f>
        <v/>
      </c>
      <c r="AM80" s="7">
        <f>IF(A80="","",IF((A80+25)&gt;Model!$B$4,0,MAX(0,Model!$B$6-IF((A80+25)&gt;=Model!$B$11,Model!$B$20,0)-IF(25&lt;Model!$B$15,Model!$B$22,0))/(1-Model!$B$9)/(1+Model!$B$18)^25))</f>
        <v/>
      </c>
      <c r="AN80" s="7">
        <f>IF(A80="","",IF((A80+26)&gt;Model!$B$4,0,MAX(0,Model!$B$6-IF((A80+26)&gt;=Model!$B$11,Model!$B$20,0)-IF(26&lt;Model!$B$15,Model!$B$22,0))/(1-Model!$B$9)/(1+Model!$B$18)^26))</f>
        <v/>
      </c>
      <c r="AO80" s="7">
        <f>IF(A80="","",IF((A80+27)&gt;Model!$B$4,0,MAX(0,Model!$B$6-IF((A80+27)&gt;=Model!$B$11,Model!$B$20,0)-IF(27&lt;Model!$B$15,Model!$B$22,0))/(1-Model!$B$9)/(1+Model!$B$18)^27))</f>
        <v/>
      </c>
      <c r="AP80" s="7">
        <f>IF(A80="","",IF((A80+28)&gt;Model!$B$4,0,MAX(0,Model!$B$6-IF((A80+28)&gt;=Model!$B$11,Model!$B$20,0)-IF(28&lt;Model!$B$15,Model!$B$22,0))/(1-Model!$B$9)/(1+Model!$B$18)^28))</f>
        <v/>
      </c>
      <c r="AQ80" s="7">
        <f>IF(A80="","",IF((A80+29)&gt;Model!$B$4,0,MAX(0,Model!$B$6-IF((A80+29)&gt;=Model!$B$11,Model!$B$20,0)-IF(29&lt;Model!$B$15,Model!$B$22,0))/(1-Model!$B$9)/(1+Model!$B$18)^29))</f>
        <v/>
      </c>
      <c r="AR80" s="7">
        <f>IF(A80="","",IF((A80+30)&gt;Model!$B$4,0,MAX(0,Model!$B$6-IF((A80+30)&gt;=Model!$B$11,Model!$B$20,0)-IF(30&lt;Model!$B$15,Model!$B$22,0))/(1-Model!$B$9)/(1+Model!$B$18)^30))</f>
        <v/>
      </c>
      <c r="AS80" s="7">
        <f>IF(A80="","",IF((A80+31)&gt;Model!$B$4,0,MAX(0,Model!$B$6-IF((A80+31)&gt;=Model!$B$11,Model!$B$20,0)-IF(31&lt;Model!$B$15,Model!$B$22,0))/(1-Model!$B$9)/(1+Model!$B$18)^31))</f>
        <v/>
      </c>
      <c r="AT80" s="7">
        <f>IF(A80="","",IF((A80+32)&gt;Model!$B$4,0,MAX(0,Model!$B$6-IF((A80+32)&gt;=Model!$B$11,Model!$B$20,0)-IF(32&lt;Model!$B$15,Model!$B$22,0))/(1-Model!$B$9)/(1+Model!$B$18)^32))</f>
        <v/>
      </c>
      <c r="AU80" s="7">
        <f>IF(A80="","",IF((A80+33)&gt;Model!$B$4,0,MAX(0,Model!$B$6-IF((A80+33)&gt;=Model!$B$11,Model!$B$20,0)-IF(33&lt;Model!$B$15,Model!$B$22,0))/(1-Model!$B$9)/(1+Model!$B$18)^33))</f>
        <v/>
      </c>
      <c r="AV80" s="7">
        <f>IF(A80="","",IF((A80+34)&gt;Model!$B$4,0,MAX(0,Model!$B$6-IF((A80+34)&gt;=Model!$B$11,Model!$B$20,0)-IF(34&lt;Model!$B$15,Model!$B$22,0))/(1-Model!$B$9)/(1+Model!$B$18)^34))</f>
        <v/>
      </c>
      <c r="AW80" s="7">
        <f>IF(A80="","",IF((A80+35)&gt;Model!$B$4,0,MAX(0,Model!$B$6-IF((A80+35)&gt;=Model!$B$11,Model!$B$20,0)-IF(35&lt;Model!$B$15,Model!$B$22,0))/(1-Model!$B$9)/(1+Model!$B$18)^35))</f>
        <v/>
      </c>
      <c r="AX80" s="7">
        <f>IF(A80="","",IF((A80+36)&gt;Model!$B$4,0,MAX(0,Model!$B$6-IF((A80+36)&gt;=Model!$B$11,Model!$B$20,0)-IF(36&lt;Model!$B$15,Model!$B$22,0))/(1-Model!$B$9)/(1+Model!$B$18)^36))</f>
        <v/>
      </c>
      <c r="AY80" s="7">
        <f>IF(A80="","",IF((A80+37)&gt;Model!$B$4,0,MAX(0,Model!$B$6-IF((A80+37)&gt;=Model!$B$11,Model!$B$20,0)-IF(37&lt;Model!$B$15,Model!$B$22,0))/(1-Model!$B$9)/(1+Model!$B$18)^37))</f>
        <v/>
      </c>
      <c r="AZ80" s="7">
        <f>IF(A80="","",IF((A80+38)&gt;Model!$B$4,0,MAX(0,Model!$B$6-IF((A80+38)&gt;=Model!$B$11,Model!$B$20,0)-IF(38&lt;Model!$B$15,Model!$B$22,0))/(1-Model!$B$9)/(1+Model!$B$18)^38))</f>
        <v/>
      </c>
      <c r="BA80" s="7">
        <f>IF(A80="","",IF((A80+39)&gt;Model!$B$4,0,MAX(0,Model!$B$6-IF((A80+39)&gt;=Model!$B$11,Model!$B$20,0)-IF(39&lt;Model!$B$15,Model!$B$22,0))/(1-Model!$B$9)/(1+Model!$B$18)^39))</f>
        <v/>
      </c>
      <c r="BB80" s="7">
        <f>IF(A80="","",IF((A80+40)&gt;Model!$B$4,0,MAX(0,Model!$B$6-IF((A80+40)&gt;=Model!$B$11,Model!$B$20,0)-IF(40&lt;Model!$B$15,Model!$B$22,0))/(1-Model!$B$9)/(1+Model!$B$18)^40))</f>
        <v/>
      </c>
      <c r="BC80" s="7">
        <f>IF(A80="","",IF((A80+41)&gt;Model!$B$4,0,MAX(0,Model!$B$6-IF((A80+41)&gt;=Model!$B$11,Model!$B$20,0)-IF(41&lt;Model!$B$15,Model!$B$22,0))/(1-Model!$B$9)/(1+Model!$B$18)^41))</f>
        <v/>
      </c>
      <c r="BD80" s="7">
        <f>IF(A80="","",IF((A80+42)&gt;Model!$B$4,0,MAX(0,Model!$B$6-IF((A80+42)&gt;=Model!$B$11,Model!$B$20,0)-IF(42&lt;Model!$B$15,Model!$B$22,0))/(1-Model!$B$9)/(1+Model!$B$18)^42))</f>
        <v/>
      </c>
      <c r="BE80" s="7">
        <f>IF(A80="","",IF((A80+43)&gt;Model!$B$4,0,MAX(0,Model!$B$6-IF((A80+43)&gt;=Model!$B$11,Model!$B$20,0)-IF(43&lt;Model!$B$15,Model!$B$22,0))/(1-Model!$B$9)/(1+Model!$B$18)^43))</f>
        <v/>
      </c>
      <c r="BF80" s="7">
        <f>IF(A80="","",IF((A80+44)&gt;Model!$B$4,0,MAX(0,Model!$B$6-IF((A80+44)&gt;=Model!$B$11,Model!$B$20,0)-IF(44&lt;Model!$B$15,Model!$B$22,0))/(1-Model!$B$9)/(1+Model!$B$18)^44))</f>
        <v/>
      </c>
      <c r="BG80" s="7">
        <f>IF(A80="","",IF((A80+45)&gt;Model!$B$4,0,MAX(0,Model!$B$6-IF((A80+45)&gt;=Model!$B$11,Model!$B$20,0)-IF(45&lt;Model!$B$15,Model!$B$22,0))/(1-Model!$B$9)/(1+Model!$B$18)^45))</f>
        <v/>
      </c>
      <c r="BH80" s="7">
        <f>IF(A80="","",IF((A80+46)&gt;Model!$B$4,0,MAX(0,Model!$B$6-IF((A80+46)&gt;=Model!$B$11,Model!$B$20,0)-IF(46&lt;Model!$B$15,Model!$B$22,0))/(1-Model!$B$9)/(1+Model!$B$18)^46))</f>
        <v/>
      </c>
      <c r="BI80" s="7">
        <f>IF(A80="","",IF((A80+47)&gt;Model!$B$4,0,MAX(0,Model!$B$6-IF((A80+47)&gt;=Model!$B$11,Model!$B$20,0)-IF(47&lt;Model!$B$15,Model!$B$22,0))/(1-Model!$B$9)/(1+Model!$B$18)^47))</f>
        <v/>
      </c>
      <c r="BJ80" s="7">
        <f>IF(A80="","",IF((A80+48)&gt;Model!$B$4,0,MAX(0,Model!$B$6-IF((A80+48)&gt;=Model!$B$11,Model!$B$20,0)-IF(48&lt;Model!$B$15,Model!$B$22,0))/(1-Model!$B$9)/(1+Model!$B$18)^48))</f>
        <v/>
      </c>
      <c r="BK80" s="7">
        <f>IF(A80="","",IF((A80+49)&gt;Model!$B$4,0,MAX(0,Model!$B$6-IF((A80+49)&gt;=Model!$B$11,Model!$B$20,0)-IF(49&lt;Model!$B$15,Model!$B$22,0))/(1-Model!$B$9)/(1+Model!$B$18)^49))</f>
        <v/>
      </c>
      <c r="BL80" s="7">
        <f>IF(A80="","",IF((A80+50)&gt;Model!$B$4,0,MAX(0,Model!$B$6-IF((A80+50)&gt;=Model!$B$11,Model!$B$20,0)-IF(50&lt;Model!$B$15,Model!$B$22,0))/(1-Model!$B$9)/(1+Model!$B$18)^50))</f>
        <v/>
      </c>
      <c r="BM80" s="7">
        <f>IF(A80="","",IF((A80+51)&gt;Model!$B$4,0,MAX(0,Model!$B$6-IF((A80+51)&gt;=Model!$B$11,Model!$B$20,0)-IF(51&lt;Model!$B$15,Model!$B$22,0))/(1-Model!$B$9)/(1+Model!$B$18)^51))</f>
        <v/>
      </c>
      <c r="BN80" s="7">
        <f>IF(A80="","",IF((A80+52)&gt;Model!$B$4,0,MAX(0,Model!$B$6-IF((A80+52)&gt;=Model!$B$11,Model!$B$20,0)-IF(52&lt;Model!$B$15,Model!$B$22,0))/(1-Model!$B$9)/(1+Model!$B$18)^52))</f>
        <v/>
      </c>
      <c r="BO80" s="7">
        <f>IF(A80="","",IF((A80+53)&gt;Model!$B$4,0,MAX(0,Model!$B$6-IF((A80+53)&gt;=Model!$B$11,Model!$B$20,0)-IF(53&lt;Model!$B$15,Model!$B$22,0))/(1-Model!$B$9)/(1+Model!$B$18)^53))</f>
        <v/>
      </c>
      <c r="BP80" s="7">
        <f>IF(A80="","",IF((A80+54)&gt;Model!$B$4,0,MAX(0,Model!$B$6-IF((A80+54)&gt;=Model!$B$11,Model!$B$20,0)-IF(54&lt;Model!$B$15,Model!$B$22,0))/(1-Model!$B$9)/(1+Model!$B$18)^54))</f>
        <v/>
      </c>
      <c r="BQ80" s="7">
        <f>IF(A80="","",IF((A80+55)&gt;Model!$B$4,0,MAX(0,Model!$B$6-IF((A80+55)&gt;=Model!$B$11,Model!$B$20,0)-IF(55&lt;Model!$B$15,Model!$B$22,0))/(1-Model!$B$9)/(1+Model!$B$18)^55))</f>
        <v/>
      </c>
      <c r="BR80" s="7">
        <f>IF(A80="","",IF((A80+56)&gt;Model!$B$4,0,MAX(0,Model!$B$6-IF((A80+56)&gt;=Model!$B$11,Model!$B$20,0)-IF(56&lt;Model!$B$15,Model!$B$22,0))/(1-Model!$B$9)/(1+Model!$B$18)^56))</f>
        <v/>
      </c>
      <c r="BS80" s="7">
        <f>IF(A80="","",IF((A80+57)&gt;Model!$B$4,0,MAX(0,Model!$B$6-IF((A80+57)&gt;=Model!$B$11,Model!$B$20,0)-IF(57&lt;Model!$B$15,Model!$B$22,0))/(1-Model!$B$9)/(1+Model!$B$18)^57))</f>
        <v/>
      </c>
      <c r="BT80" s="7">
        <f>IF(A80="","",IF((A80+58)&gt;Model!$B$4,0,MAX(0,Model!$B$6-IF((A80+58)&gt;=Model!$B$11,Model!$B$20,0)-IF(58&lt;Model!$B$15,Model!$B$22,0))/(1-Model!$B$9)/(1+Model!$B$18)^58))</f>
        <v/>
      </c>
      <c r="BU80" s="7">
        <f>IF(A80="","",IF((A80+59)&gt;Model!$B$4,0,MAX(0,Model!$B$6-IF((A80+59)&gt;=Model!$B$11,Model!$B$20,0)-IF(59&lt;Model!$B$15,Model!$B$22,0))/(1-Model!$B$9)/(1+Model!$B$18)^59))</f>
        <v/>
      </c>
      <c r="BV80" s="7">
        <f>IF(A80="","",IF((A80+60)&gt;Model!$B$4,0,MAX(0,Model!$B$6-IF((A80+60)&gt;=Model!$B$11,Model!$B$20,0)-IF(60&lt;Model!$B$15,Model!$B$22,0))/(1-Model!$B$9)/(1+Model!$B$18)^60))</f>
        <v/>
      </c>
      <c r="BW80" s="7">
        <f>IF(A80="","",IF((A80+61)&gt;Model!$B$4,0,MAX(0,Model!$B$6-IF((A80+61)&gt;=Model!$B$11,Model!$B$20,0)-IF(61&lt;Model!$B$15,Model!$B$22,0))/(1-Model!$B$9)/(1+Model!$B$18)^61))</f>
        <v/>
      </c>
      <c r="BX80" s="7">
        <f>IF(A80="","",IF((A80+62)&gt;Model!$B$4,0,MAX(0,Model!$B$6-IF((A80+62)&gt;=Model!$B$11,Model!$B$20,0)-IF(62&lt;Model!$B$15,Model!$B$22,0))/(1-Model!$B$9)/(1+Model!$B$18)^62))</f>
        <v/>
      </c>
      <c r="BY80" s="7">
        <f>IF(A80="","",IF((A80+63)&gt;Model!$B$4,0,MAX(0,Model!$B$6-IF((A80+63)&gt;=Model!$B$11,Model!$B$20,0)-IF(63&lt;Model!$B$15,Model!$B$22,0))/(1-Model!$B$9)/(1+Model!$B$18)^63))</f>
        <v/>
      </c>
      <c r="BZ80" s="7">
        <f>IF(A80="","",IF((A80+64)&gt;Model!$B$4,0,MAX(0,Model!$B$6-IF((A80+64)&gt;=Model!$B$11,Model!$B$20,0)-IF(64&lt;Model!$B$15,Model!$B$22,0))/(1-Model!$B$9)/(1+Model!$B$18)^64))</f>
        <v/>
      </c>
      <c r="CA80" s="7">
        <f>IF(A80="","",IF((A80+65)&gt;Model!$B$4,0,MAX(0,Model!$B$6-IF((A80+65)&gt;=Model!$B$11,Model!$B$20,0)-IF(65&lt;Model!$B$15,Model!$B$22,0))/(1-Model!$B$9)/(1+Model!$B$18)^65))</f>
        <v/>
      </c>
      <c r="CB80" s="7">
        <f>IF(A80="","",IF((A80+66)&gt;Model!$B$4,0,MAX(0,Model!$B$6-IF((A80+66)&gt;=Model!$B$11,Model!$B$20,0)-IF(66&lt;Model!$B$15,Model!$B$22,0))/(1-Model!$B$9)/(1+Model!$B$18)^66))</f>
        <v/>
      </c>
      <c r="CC80" s="7">
        <f>IF(A80="","",IF((A80+67)&gt;Model!$B$4,0,MAX(0,Model!$B$6-IF((A80+67)&gt;=Model!$B$11,Model!$B$20,0)-IF(67&lt;Model!$B$15,Model!$B$22,0))/(1-Model!$B$9)/(1+Model!$B$18)^67))</f>
        <v/>
      </c>
      <c r="CD80" s="7">
        <f>IF(A80="","",IF((A80+68)&gt;Model!$B$4,0,MAX(0,Model!$B$6-IF((A80+68)&gt;=Model!$B$11,Model!$B$20,0)-IF(68&lt;Model!$B$15,Model!$B$22,0))/(1-Model!$B$9)/(1+Model!$B$18)^68))</f>
        <v/>
      </c>
      <c r="CE80" s="7">
        <f>IF(A80="","",IF((A80+69)&gt;Model!$B$4,0,MAX(0,Model!$B$6-IF((A80+69)&gt;=Model!$B$11,Model!$B$20,0)-IF(69&lt;Model!$B$15,Model!$B$22,0))/(1-Model!$B$9)/(1+Model!$B$18)^69))</f>
        <v/>
      </c>
      <c r="CF80" s="7">
        <f>IF(A80="","",IF((A80+70)&gt;Model!$B$4,0,MAX(0,Model!$B$6-IF((A80+70)&gt;=Model!$B$11,Model!$B$20,0)-IF(70&lt;Model!$B$15,Model!$B$22,0))/(1-Model!$B$9)/(1+Model!$B$18)^70))</f>
        <v/>
      </c>
      <c r="CG80" s="7">
        <f>IF(A80="","",IF((A80+71)&gt;Model!$B$4,0,MAX(0,Model!$B$6-IF((A80+71)&gt;=Model!$B$11,Model!$B$20,0)-IF(71&lt;Model!$B$15,Model!$B$22,0))/(1-Model!$B$9)/(1+Model!$B$18)^71))</f>
        <v/>
      </c>
      <c r="CH80" s="7">
        <f>IF(A80="","",IF((A80+72)&gt;Model!$B$4,0,MAX(0,Model!$B$6-IF((A80+72)&gt;=Model!$B$11,Model!$B$20,0)-IF(72&lt;Model!$B$15,Model!$B$22,0))/(1-Model!$B$9)/(1+Model!$B$18)^72))</f>
        <v/>
      </c>
      <c r="CI80" s="7">
        <f>IF(A80="","",IF((A80+73)&gt;Model!$B$4,0,MAX(0,Model!$B$6-IF((A80+73)&gt;=Model!$B$11,Model!$B$20,0)-IF(73&lt;Model!$B$15,Model!$B$22,0))/(1-Model!$B$9)/(1+Model!$B$18)^73))</f>
        <v/>
      </c>
      <c r="CJ80" s="7">
        <f>IF(A80="","",IF((A80+74)&gt;Model!$B$4,0,MAX(0,Model!$B$6-IF((A80+74)&gt;=Model!$B$11,Model!$B$20,0)-IF(74&lt;Model!$B$15,Model!$B$22,0))/(1-Model!$B$9)/(1+Model!$B$18)^74))</f>
        <v/>
      </c>
      <c r="CK80" s="7">
        <f>IF(A80="","",IF((A80+75)&gt;Model!$B$4,0,MAX(0,Model!$B$6-IF((A80+75)&gt;=Model!$B$11,Model!$B$20,0)-IF(75&lt;Model!$B$15,Model!$B$22,0))/(1-Model!$B$9)/(1+Model!$B$18)^75))</f>
        <v/>
      </c>
      <c r="CL80" s="7">
        <f>IF(A80="","",IF((A80+76)&gt;Model!$B$4,0,MAX(0,Model!$B$6-IF((A80+76)&gt;=Model!$B$11,Model!$B$20,0)-IF(76&lt;Model!$B$15,Model!$B$22,0))/(1-Model!$B$9)/(1+Model!$B$18)^76))</f>
        <v/>
      </c>
      <c r="CM80" s="7">
        <f>IF(A80="","",IF((A80+77)&gt;Model!$B$4,0,MAX(0,Model!$B$6-IF((A80+77)&gt;=Model!$B$11,Model!$B$20,0)-IF(77&lt;Model!$B$15,Model!$B$22,0))/(1-Model!$B$9)/(1+Model!$B$18)^77))</f>
        <v/>
      </c>
      <c r="CN80" s="7">
        <f>IF(A80="","",IF((A80+78)&gt;Model!$B$4,0,MAX(0,Model!$B$6-IF((A80+78)&gt;=Model!$B$11,Model!$B$20,0)-IF(78&lt;Model!$B$15,Model!$B$22,0))/(1-Model!$B$9)/(1+Model!$B$18)^78))</f>
        <v/>
      </c>
      <c r="CO80" s="7">
        <f>IF(A80="","",IF((A80+79)&gt;Model!$B$4,0,MAX(0,Model!$B$6-IF((A80+79)&gt;=Model!$B$11,Model!$B$20,0)-IF(79&lt;Model!$B$15,Model!$B$22,0))/(1-Model!$B$9)/(1+Model!$B$18)^79))</f>
        <v/>
      </c>
      <c r="CP80" s="7">
        <f>IF(A80="","",IF((A80+80)&gt;Model!$B$4,0,MAX(0,Model!$B$6-IF((A80+80)&gt;=Model!$B$11,Model!$B$20,0)-IF(80&lt;Model!$B$15,Model!$B$22,0))/(1-Model!$B$9)/(1+Model!$B$18)^80))</f>
        <v/>
      </c>
      <c r="CQ80" s="7">
        <f>IF(A80="","",IF((A80+81)&gt;Model!$B$4,0,MAX(0,Model!$B$6-IF((A80+81)&gt;=Model!$B$11,Model!$B$20,0)-IF(81&lt;Model!$B$15,Model!$B$22,0))/(1-Model!$B$9)/(1+Model!$B$18)^81))</f>
        <v/>
      </c>
      <c r="CR80" s="7">
        <f>IF(A80="","",IF((A80+82)&gt;Model!$B$4,0,MAX(0,Model!$B$6-IF((A80+82)&gt;=Model!$B$11,Model!$B$20,0)-IF(82&lt;Model!$B$15,Model!$B$22,0))/(1-Model!$B$9)/(1+Model!$B$18)^82))</f>
        <v/>
      </c>
      <c r="CS80" s="7">
        <f>IF(A80="","",IF((A80+83)&gt;Model!$B$4,0,MAX(0,Model!$B$6-IF((A80+83)&gt;=Model!$B$11,Model!$B$20,0)-IF(83&lt;Model!$B$15,Model!$B$22,0))/(1-Model!$B$9)/(1+Model!$B$18)^83))</f>
        <v/>
      </c>
      <c r="CT80" s="7">
        <f>IF(A80="","",IF((A80+84)&gt;Model!$B$4,0,MAX(0,Model!$B$6-IF((A80+84)&gt;=Model!$B$11,Model!$B$20,0)-IF(84&lt;Model!$B$15,Model!$B$22,0))/(1-Model!$B$9)/(1+Model!$B$18)^84))</f>
        <v/>
      </c>
      <c r="CU80" s="7">
        <f>IF(A80="","",IF((A80+85)&gt;Model!$B$4,0,MAX(0,Model!$B$6-IF((A80+85)&gt;=Model!$B$11,Model!$B$20,0)-IF(85&lt;Model!$B$15,Model!$B$22,0))/(1-Model!$B$9)/(1+Model!$B$18)^85))</f>
        <v/>
      </c>
      <c r="CV80" s="7">
        <f>IF(A80="","",IF((A80+86)&gt;Model!$B$4,0,MAX(0,Model!$B$6-IF((A80+86)&gt;=Model!$B$11,Model!$B$20,0)-IF(86&lt;Model!$B$15,Model!$B$22,0))/(1-Model!$B$9)/(1+Model!$B$18)^86))</f>
        <v/>
      </c>
      <c r="CW80" s="7">
        <f>IF(A80="","",IF((A80+87)&gt;Model!$B$4,0,MAX(0,Model!$B$6-IF((A80+87)&gt;=Model!$B$11,Model!$B$20,0)-IF(87&lt;Model!$B$15,Model!$B$22,0))/(1-Model!$B$9)/(1+Model!$B$18)^87))</f>
        <v/>
      </c>
      <c r="CX80" s="7">
        <f>IF(A80="","",IF((A80+88)&gt;Model!$B$4,0,MAX(0,Model!$B$6-IF((A80+88)&gt;=Model!$B$11,Model!$B$20,0)-IF(88&lt;Model!$B$15,Model!$B$22,0))/(1-Model!$B$9)/(1+Model!$B$18)^88))</f>
        <v/>
      </c>
      <c r="CY80" s="7">
        <f>IF(A80="","",IF((A80+89)&gt;Model!$B$4,0,MAX(0,Model!$B$6-IF((A80+89)&gt;=Model!$B$11,Model!$B$20,0)-IF(89&lt;Model!$B$15,Model!$B$22,0))/(1-Model!$B$9)/(1+Model!$B$18)^89))</f>
        <v/>
      </c>
      <c r="CZ80" s="7">
        <f>IF(A80="","",IF((A80+90)&gt;Model!$B$4,0,MAX(0,Model!$B$6-IF((A80+90)&gt;=Model!$B$11,Model!$B$20,0)-IF(90&lt;Model!$B$15,Model!$B$22,0))/(1-Model!$B$9)/(1+Model!$B$18)^90))</f>
        <v/>
      </c>
      <c r="DA80" s="7">
        <f>IF(A80="","",IF((A80+91)&gt;Model!$B$4,0,MAX(0,Model!$B$6-IF((A80+91)&gt;=Model!$B$11,Model!$B$20,0)-IF(91&lt;Model!$B$15,Model!$B$22,0))/(1-Model!$B$9)/(1+Model!$B$18)^91))</f>
        <v/>
      </c>
      <c r="DB80" s="7">
        <f>IF(A80="","",IF((A80+92)&gt;Model!$B$4,0,MAX(0,Model!$B$6-IF((A80+92)&gt;=Model!$B$11,Model!$B$20,0)-IF(92&lt;Model!$B$15,Model!$B$22,0))/(1-Model!$B$9)/(1+Model!$B$18)^92))</f>
        <v/>
      </c>
      <c r="DC80" s="7">
        <f>IF(A80="","",IF((A80+93)&gt;Model!$B$4,0,MAX(0,Model!$B$6-IF((A80+93)&gt;=Model!$B$11,Model!$B$20,0)-IF(93&lt;Model!$B$15,Model!$B$22,0))/(1-Model!$B$9)/(1+Model!$B$18)^93))</f>
        <v/>
      </c>
      <c r="DD80" s="7">
        <f>IF(A80="","",IF((A80+94)&gt;Model!$B$4,0,MAX(0,Model!$B$6-IF((A80+94)&gt;=Model!$B$11,Model!$B$20,0)-IF(94&lt;Model!$B$15,Model!$B$22,0))/(1-Model!$B$9)/(1+Model!$B$18)^94))</f>
        <v/>
      </c>
      <c r="DE80" s="7">
        <f>IF(A80="","",IF((A80+95)&gt;Model!$B$4,0,MAX(0,Model!$B$6-IF((A80+95)&gt;=Model!$B$11,Model!$B$20,0)-IF(95&lt;Model!$B$15,Model!$B$22,0))/(1-Model!$B$9)/(1+Model!$B$18)^95))</f>
        <v/>
      </c>
      <c r="DF80" s="7">
        <f>IF(A80="","",IF((A80+96)&gt;Model!$B$4,0,MAX(0,Model!$B$6-IF((A80+96)&gt;=Model!$B$11,Model!$B$20,0)-IF(96&lt;Model!$B$15,Model!$B$22,0))/(1-Model!$B$9)/(1+Model!$B$18)^96))</f>
        <v/>
      </c>
      <c r="DG80" s="7">
        <f>IF(A80="","",IF((A80+97)&gt;Model!$B$4,0,MAX(0,Model!$B$6-IF((A80+97)&gt;=Model!$B$11,Model!$B$20,0)-IF(97&lt;Model!$B$15,Model!$B$22,0))/(1-Model!$B$9)/(1+Model!$B$18)^97))</f>
        <v/>
      </c>
      <c r="DH80" s="7">
        <f>IF(A80="","",IF((A80+98)&gt;Model!$B$4,0,MAX(0,Model!$B$6-IF((A80+98)&gt;=Model!$B$11,Model!$B$20,0)-IF(98&lt;Model!$B$15,Model!$B$22,0))/(1-Model!$B$9)/(1+Model!$B$18)^98))</f>
        <v/>
      </c>
      <c r="DI80" s="7">
        <f>IF(A80="","",IF((A80+99)&gt;Model!$B$4,0,MAX(0,Model!$B$6-IF((A80+99)&gt;=Model!$B$11,Model!$B$20,0)-IF(99&lt;Model!$B$15,Model!$B$22,0))/(1-Model!$B$9)/(1+Model!$B$18)^99))</f>
        <v/>
      </c>
      <c r="DJ80" s="7">
        <f>IF(A80="","",IF((A80+100)&gt;Model!$B$4,0,MAX(0,Model!$B$6-IF((A80+100)&gt;=Model!$B$11,Model!$B$20,0)-IF(100&lt;Model!$B$15,Model!$B$22,0))/(1-Model!$B$9)/(1+Model!$B$18)^100))</f>
        <v/>
      </c>
      <c r="DK80" s="7">
        <f>IF(A80="","",IF((A80+101)&gt;Model!$B$4,0,MAX(0,Model!$B$6-IF((A80+101)&gt;=Model!$B$11,Model!$B$20,0)-IF(101&lt;Model!$B$15,Model!$B$22,0))/(1-Model!$B$9)/(1+Model!$B$18)^101))</f>
        <v/>
      </c>
      <c r="DL80" s="7">
        <f>IF(A80="","",IF((A80+102)&gt;Model!$B$4,0,MAX(0,Model!$B$6-IF((A80+102)&gt;=Model!$B$11,Model!$B$20,0)-IF(102&lt;Model!$B$15,Model!$B$22,0))/(1-Model!$B$9)/(1+Model!$B$18)^102))</f>
        <v/>
      </c>
      <c r="DM80" s="7">
        <f>IF(A80="","",IF((A80+103)&gt;Model!$B$4,0,MAX(0,Model!$B$6-IF((A80+103)&gt;=Model!$B$11,Model!$B$20,0)-IF(103&lt;Model!$B$15,Model!$B$22,0))/(1-Model!$B$9)/(1+Model!$B$18)^103))</f>
        <v/>
      </c>
      <c r="DN80" s="7">
        <f>IF(A80="","",IF((A80+104)&gt;Model!$B$4,0,MAX(0,Model!$B$6-IF((A80+104)&gt;=Model!$B$11,Model!$B$20,0)-IF(104&lt;Model!$B$15,Model!$B$22,0))/(1-Model!$B$9)/(1+Model!$B$18)^104))</f>
        <v/>
      </c>
      <c r="DO80" s="7">
        <f>IF(A80="","",IF((A80+105)&gt;Model!$B$4,0,MAX(0,Model!$B$6-IF((A80+105)&gt;=Model!$B$11,Model!$B$20,0)-IF(105&lt;Model!$B$15,Model!$B$22,0))/(1-Model!$B$9)/(1+Model!$B$18)^105))</f>
        <v/>
      </c>
      <c r="DP80" s="7">
        <f>IF(A80="","",IF((A80+106)&gt;Model!$B$4,0,MAX(0,Model!$B$6-IF((A80+106)&gt;=Model!$B$11,Model!$B$20,0)-IF(106&lt;Model!$B$15,Model!$B$22,0))/(1-Model!$B$9)/(1+Model!$B$18)^106))</f>
        <v/>
      </c>
      <c r="DQ80" s="7">
        <f>IF(A80="","",IF((A80+107)&gt;Model!$B$4,0,MAX(0,Model!$B$6-IF((A80+107)&gt;=Model!$B$11,Model!$B$20,0)-IF(107&lt;Model!$B$15,Model!$B$22,0))/(1-Model!$B$9)/(1+Model!$B$18)^107))</f>
        <v/>
      </c>
      <c r="DR80" s="7">
        <f>IF(A80="","",IF((A80+108)&gt;Model!$B$4,0,MAX(0,Model!$B$6-IF((A80+108)&gt;=Model!$B$11,Model!$B$20,0)-IF(108&lt;Model!$B$15,Model!$B$22,0))/(1-Model!$B$9)/(1+Model!$B$18)^108))</f>
        <v/>
      </c>
      <c r="DS80" s="7">
        <f>IF(A80="","",IF((A80+109)&gt;Model!$B$4,0,MAX(0,Model!$B$6-IF((A80+109)&gt;=Model!$B$11,Model!$B$20,0)-IF(109&lt;Model!$B$15,Model!$B$22,0))/(1-Model!$B$9)/(1+Model!$B$18)^109))</f>
        <v/>
      </c>
      <c r="DT80" s="7">
        <f>IF(A80="","",IF((A80+110)&gt;Model!$B$4,0,MAX(0,Model!$B$6-IF((A80+110)&gt;=Model!$B$11,Model!$B$20,0)-IF(110&lt;Model!$B$15,Model!$B$22,0))/(1-Model!$B$9)/(1+Model!$B$18)^110))</f>
        <v/>
      </c>
      <c r="DU80" s="7">
        <f>IF(A80="","",IF((A80+111)&gt;Model!$B$4,0,MAX(0,Model!$B$6-IF((A80+111)&gt;=Model!$B$11,Model!$B$20,0)-IF(111&lt;Model!$B$15,Model!$B$22,0))/(1-Model!$B$9)/(1+Model!$B$18)^111))</f>
        <v/>
      </c>
      <c r="DV80" s="7">
        <f>IF(A80="","",IF((A80+112)&gt;Model!$B$4,0,MAX(0,Model!$B$6-IF((A80+112)&gt;=Model!$B$11,Model!$B$20,0)-IF(112&lt;Model!$B$15,Model!$B$22,0))/(1-Model!$B$9)/(1+Model!$B$18)^112))</f>
        <v/>
      </c>
      <c r="DW80" s="7">
        <f>IF(A80="","",IF((A80+113)&gt;Model!$B$4,0,MAX(0,Model!$B$6-IF((A80+113)&gt;=Model!$B$11,Model!$B$20,0)-IF(113&lt;Model!$B$15,Model!$B$22,0))/(1-Model!$B$9)/(1+Model!$B$18)^113))</f>
        <v/>
      </c>
      <c r="DX80" s="7">
        <f>IF(A80="","",IF((A80+114)&gt;Model!$B$4,0,MAX(0,Model!$B$6-IF((A80+114)&gt;=Model!$B$11,Model!$B$20,0)-IF(114&lt;Model!$B$15,Model!$B$22,0))/(1-Model!$B$9)/(1+Model!$B$18)^114))</f>
        <v/>
      </c>
      <c r="DY80" s="7">
        <f>IF(A80="","",IF((A80+115)&gt;Model!$B$4,0,MAX(0,Model!$B$6-IF((A80+115)&gt;=Model!$B$11,Model!$B$20,0)-IF(115&lt;Model!$B$15,Model!$B$22,0))/(1-Model!$B$9)/(1+Model!$B$18)^115))</f>
        <v/>
      </c>
      <c r="DZ80" s="7">
        <f>IF(A80="","",IF((A80+116)&gt;Model!$B$4,0,MAX(0,Model!$B$6-IF((A80+116)&gt;=Model!$B$11,Model!$B$20,0)-IF(116&lt;Model!$B$15,Model!$B$22,0))/(1-Model!$B$9)/(1+Model!$B$18)^116))</f>
        <v/>
      </c>
      <c r="EA80" s="7">
        <f>IF(A80="","",IF((A80+117)&gt;Model!$B$4,0,MAX(0,Model!$B$6-IF((A80+117)&gt;=Model!$B$11,Model!$B$20,0)-IF(117&lt;Model!$B$15,Model!$B$22,0))/(1-Model!$B$9)/(1+Model!$B$18)^117))</f>
        <v/>
      </c>
      <c r="EB80" s="7">
        <f>IF(A80="","",IF((A80+118)&gt;Model!$B$4,0,MAX(0,Model!$B$6-IF((A80+118)&gt;=Model!$B$11,Model!$B$20,0)-IF(118&lt;Model!$B$15,Model!$B$22,0))/(1-Model!$B$9)/(1+Model!$B$18)^118))</f>
        <v/>
      </c>
      <c r="EC80" s="7">
        <f>IF(A80="","",IF((A80+119)&gt;Model!$B$4,0,MAX(0,Model!$B$6-IF((A80+119)&gt;=Model!$B$11,Model!$B$20,0)-IF(119&lt;Model!$B$15,Model!$B$22,0))/(1-Model!$B$9)/(1+Model!$B$18)^119))</f>
        <v/>
      </c>
      <c r="ED80" s="7">
        <f>IF(A80="","",IF((A80+120)&gt;Model!$B$4,0,MAX(0,Model!$B$6-IF((A80+120)&gt;=Model!$B$11,Model!$B$20,0)-IF(120&lt;Model!$B$15,Model!$B$22,0))/(1-Model!$B$9)/(1+Model!$B$18)^120))</f>
        <v/>
      </c>
    </row>
    <row r="81">
      <c r="A81">
        <f>IF(Model!$B$10+ROW()-2&lt;=Model!$B$4,Model!$B$10+ROW()-2,"")</f>
        <v/>
      </c>
      <c r="B81">
        <f>IF(A81="","",A81-Model!$B$10)</f>
        <v/>
      </c>
      <c r="C81" s="7">
        <f>IF(A81="","",Model!$B$5*(1+Model!$B$18)^B81)</f>
        <v/>
      </c>
      <c r="D81" s="7">
        <f>IF(A81="","",SUM(N81:ED81))</f>
        <v/>
      </c>
      <c r="E81" s="7">
        <f>IF(A81="","",IF(A81&gt;=Model!$B$11,Model!$B$20,0))</f>
        <v/>
      </c>
      <c r="F81" s="7">
        <f>IF(A81="","",IF(Model!$B$15&gt;0,Model!$B$22,0))</f>
        <v/>
      </c>
      <c r="G81" s="7">
        <f>IF(A81="","",E81+F81)</f>
        <v/>
      </c>
      <c r="H81" s="7">
        <f>IF(A81="","",MAX(0,Model!$B$6-G81))</f>
        <v/>
      </c>
      <c r="I81" s="7">
        <f>IF(A81="","",H81/(1-Model!$B$9))</f>
        <v/>
      </c>
      <c r="J81" s="7">
        <f>IF(A81="","",C81-D81)</f>
        <v/>
      </c>
      <c r="K81">
        <f>IF(A81="","",C81&gt;=D81)</f>
        <v/>
      </c>
      <c r="L81" s="7">
        <f>IF(A81="","",IF(A81&gt;=Model!$B$11,Model!$B$19*(1+Model!$B$13)^B81,0))</f>
        <v/>
      </c>
      <c r="M81" s="7">
        <f>IF(A81="","",IF(Model!$B$15&gt;0,Model!$B$21*(1+Model!$B$13)^B81,0))</f>
        <v/>
      </c>
      <c r="N81" s="7">
        <f>IF(A81="","",IF((A81+0)&gt;Model!$B$4,0,MAX(0,Model!$B$6-IF((A81+0)&gt;=Model!$B$11,Model!$B$20,0)-IF(0&lt;Model!$B$15,Model!$B$22,0))/(1-Model!$B$9)/(1+Model!$B$18)^0))</f>
        <v/>
      </c>
      <c r="O81" s="7">
        <f>IF(A81="","",IF((A81+1)&gt;Model!$B$4,0,MAX(0,Model!$B$6-IF((A81+1)&gt;=Model!$B$11,Model!$B$20,0)-IF(1&lt;Model!$B$15,Model!$B$22,0))/(1-Model!$B$9)/(1+Model!$B$18)^1))</f>
        <v/>
      </c>
      <c r="P81" s="7">
        <f>IF(A81="","",IF((A81+2)&gt;Model!$B$4,0,MAX(0,Model!$B$6-IF((A81+2)&gt;=Model!$B$11,Model!$B$20,0)-IF(2&lt;Model!$B$15,Model!$B$22,0))/(1-Model!$B$9)/(1+Model!$B$18)^2))</f>
        <v/>
      </c>
      <c r="Q81" s="7">
        <f>IF(A81="","",IF((A81+3)&gt;Model!$B$4,0,MAX(0,Model!$B$6-IF((A81+3)&gt;=Model!$B$11,Model!$B$20,0)-IF(3&lt;Model!$B$15,Model!$B$22,0))/(1-Model!$B$9)/(1+Model!$B$18)^3))</f>
        <v/>
      </c>
      <c r="R81" s="7">
        <f>IF(A81="","",IF((A81+4)&gt;Model!$B$4,0,MAX(0,Model!$B$6-IF((A81+4)&gt;=Model!$B$11,Model!$B$20,0)-IF(4&lt;Model!$B$15,Model!$B$22,0))/(1-Model!$B$9)/(1+Model!$B$18)^4))</f>
        <v/>
      </c>
      <c r="S81" s="7">
        <f>IF(A81="","",IF((A81+5)&gt;Model!$B$4,0,MAX(0,Model!$B$6-IF((A81+5)&gt;=Model!$B$11,Model!$B$20,0)-IF(5&lt;Model!$B$15,Model!$B$22,0))/(1-Model!$B$9)/(1+Model!$B$18)^5))</f>
        <v/>
      </c>
      <c r="T81" s="7">
        <f>IF(A81="","",IF((A81+6)&gt;Model!$B$4,0,MAX(0,Model!$B$6-IF((A81+6)&gt;=Model!$B$11,Model!$B$20,0)-IF(6&lt;Model!$B$15,Model!$B$22,0))/(1-Model!$B$9)/(1+Model!$B$18)^6))</f>
        <v/>
      </c>
      <c r="U81" s="7">
        <f>IF(A81="","",IF((A81+7)&gt;Model!$B$4,0,MAX(0,Model!$B$6-IF((A81+7)&gt;=Model!$B$11,Model!$B$20,0)-IF(7&lt;Model!$B$15,Model!$B$22,0))/(1-Model!$B$9)/(1+Model!$B$18)^7))</f>
        <v/>
      </c>
      <c r="V81" s="7">
        <f>IF(A81="","",IF((A81+8)&gt;Model!$B$4,0,MAX(0,Model!$B$6-IF((A81+8)&gt;=Model!$B$11,Model!$B$20,0)-IF(8&lt;Model!$B$15,Model!$B$22,0))/(1-Model!$B$9)/(1+Model!$B$18)^8))</f>
        <v/>
      </c>
      <c r="W81" s="7">
        <f>IF(A81="","",IF((A81+9)&gt;Model!$B$4,0,MAX(0,Model!$B$6-IF((A81+9)&gt;=Model!$B$11,Model!$B$20,0)-IF(9&lt;Model!$B$15,Model!$B$22,0))/(1-Model!$B$9)/(1+Model!$B$18)^9))</f>
        <v/>
      </c>
      <c r="X81" s="7">
        <f>IF(A81="","",IF((A81+10)&gt;Model!$B$4,0,MAX(0,Model!$B$6-IF((A81+10)&gt;=Model!$B$11,Model!$B$20,0)-IF(10&lt;Model!$B$15,Model!$B$22,0))/(1-Model!$B$9)/(1+Model!$B$18)^10))</f>
        <v/>
      </c>
      <c r="Y81" s="7">
        <f>IF(A81="","",IF((A81+11)&gt;Model!$B$4,0,MAX(0,Model!$B$6-IF((A81+11)&gt;=Model!$B$11,Model!$B$20,0)-IF(11&lt;Model!$B$15,Model!$B$22,0))/(1-Model!$B$9)/(1+Model!$B$18)^11))</f>
        <v/>
      </c>
      <c r="Z81" s="7">
        <f>IF(A81="","",IF((A81+12)&gt;Model!$B$4,0,MAX(0,Model!$B$6-IF((A81+12)&gt;=Model!$B$11,Model!$B$20,0)-IF(12&lt;Model!$B$15,Model!$B$22,0))/(1-Model!$B$9)/(1+Model!$B$18)^12))</f>
        <v/>
      </c>
      <c r="AA81" s="7">
        <f>IF(A81="","",IF((A81+13)&gt;Model!$B$4,0,MAX(0,Model!$B$6-IF((A81+13)&gt;=Model!$B$11,Model!$B$20,0)-IF(13&lt;Model!$B$15,Model!$B$22,0))/(1-Model!$B$9)/(1+Model!$B$18)^13))</f>
        <v/>
      </c>
      <c r="AB81" s="7">
        <f>IF(A81="","",IF((A81+14)&gt;Model!$B$4,0,MAX(0,Model!$B$6-IF((A81+14)&gt;=Model!$B$11,Model!$B$20,0)-IF(14&lt;Model!$B$15,Model!$B$22,0))/(1-Model!$B$9)/(1+Model!$B$18)^14))</f>
        <v/>
      </c>
      <c r="AC81" s="7">
        <f>IF(A81="","",IF((A81+15)&gt;Model!$B$4,0,MAX(0,Model!$B$6-IF((A81+15)&gt;=Model!$B$11,Model!$B$20,0)-IF(15&lt;Model!$B$15,Model!$B$22,0))/(1-Model!$B$9)/(1+Model!$B$18)^15))</f>
        <v/>
      </c>
      <c r="AD81" s="7">
        <f>IF(A81="","",IF((A81+16)&gt;Model!$B$4,0,MAX(0,Model!$B$6-IF((A81+16)&gt;=Model!$B$11,Model!$B$20,0)-IF(16&lt;Model!$B$15,Model!$B$22,0))/(1-Model!$B$9)/(1+Model!$B$18)^16))</f>
        <v/>
      </c>
      <c r="AE81" s="7">
        <f>IF(A81="","",IF((A81+17)&gt;Model!$B$4,0,MAX(0,Model!$B$6-IF((A81+17)&gt;=Model!$B$11,Model!$B$20,0)-IF(17&lt;Model!$B$15,Model!$B$22,0))/(1-Model!$B$9)/(1+Model!$B$18)^17))</f>
        <v/>
      </c>
      <c r="AF81" s="7">
        <f>IF(A81="","",IF((A81+18)&gt;Model!$B$4,0,MAX(0,Model!$B$6-IF((A81+18)&gt;=Model!$B$11,Model!$B$20,0)-IF(18&lt;Model!$B$15,Model!$B$22,0))/(1-Model!$B$9)/(1+Model!$B$18)^18))</f>
        <v/>
      </c>
      <c r="AG81" s="7">
        <f>IF(A81="","",IF((A81+19)&gt;Model!$B$4,0,MAX(0,Model!$B$6-IF((A81+19)&gt;=Model!$B$11,Model!$B$20,0)-IF(19&lt;Model!$B$15,Model!$B$22,0))/(1-Model!$B$9)/(1+Model!$B$18)^19))</f>
        <v/>
      </c>
      <c r="AH81" s="7">
        <f>IF(A81="","",IF((A81+20)&gt;Model!$B$4,0,MAX(0,Model!$B$6-IF((A81+20)&gt;=Model!$B$11,Model!$B$20,0)-IF(20&lt;Model!$B$15,Model!$B$22,0))/(1-Model!$B$9)/(1+Model!$B$18)^20))</f>
        <v/>
      </c>
      <c r="AI81" s="7">
        <f>IF(A81="","",IF((A81+21)&gt;Model!$B$4,0,MAX(0,Model!$B$6-IF((A81+21)&gt;=Model!$B$11,Model!$B$20,0)-IF(21&lt;Model!$B$15,Model!$B$22,0))/(1-Model!$B$9)/(1+Model!$B$18)^21))</f>
        <v/>
      </c>
      <c r="AJ81" s="7">
        <f>IF(A81="","",IF((A81+22)&gt;Model!$B$4,0,MAX(0,Model!$B$6-IF((A81+22)&gt;=Model!$B$11,Model!$B$20,0)-IF(22&lt;Model!$B$15,Model!$B$22,0))/(1-Model!$B$9)/(1+Model!$B$18)^22))</f>
        <v/>
      </c>
      <c r="AK81" s="7">
        <f>IF(A81="","",IF((A81+23)&gt;Model!$B$4,0,MAX(0,Model!$B$6-IF((A81+23)&gt;=Model!$B$11,Model!$B$20,0)-IF(23&lt;Model!$B$15,Model!$B$22,0))/(1-Model!$B$9)/(1+Model!$B$18)^23))</f>
        <v/>
      </c>
      <c r="AL81" s="7">
        <f>IF(A81="","",IF((A81+24)&gt;Model!$B$4,0,MAX(0,Model!$B$6-IF((A81+24)&gt;=Model!$B$11,Model!$B$20,0)-IF(24&lt;Model!$B$15,Model!$B$22,0))/(1-Model!$B$9)/(1+Model!$B$18)^24))</f>
        <v/>
      </c>
      <c r="AM81" s="7">
        <f>IF(A81="","",IF((A81+25)&gt;Model!$B$4,0,MAX(0,Model!$B$6-IF((A81+25)&gt;=Model!$B$11,Model!$B$20,0)-IF(25&lt;Model!$B$15,Model!$B$22,0))/(1-Model!$B$9)/(1+Model!$B$18)^25))</f>
        <v/>
      </c>
      <c r="AN81" s="7">
        <f>IF(A81="","",IF((A81+26)&gt;Model!$B$4,0,MAX(0,Model!$B$6-IF((A81+26)&gt;=Model!$B$11,Model!$B$20,0)-IF(26&lt;Model!$B$15,Model!$B$22,0))/(1-Model!$B$9)/(1+Model!$B$18)^26))</f>
        <v/>
      </c>
      <c r="AO81" s="7">
        <f>IF(A81="","",IF((A81+27)&gt;Model!$B$4,0,MAX(0,Model!$B$6-IF((A81+27)&gt;=Model!$B$11,Model!$B$20,0)-IF(27&lt;Model!$B$15,Model!$B$22,0))/(1-Model!$B$9)/(1+Model!$B$18)^27))</f>
        <v/>
      </c>
      <c r="AP81" s="7">
        <f>IF(A81="","",IF((A81+28)&gt;Model!$B$4,0,MAX(0,Model!$B$6-IF((A81+28)&gt;=Model!$B$11,Model!$B$20,0)-IF(28&lt;Model!$B$15,Model!$B$22,0))/(1-Model!$B$9)/(1+Model!$B$18)^28))</f>
        <v/>
      </c>
      <c r="AQ81" s="7">
        <f>IF(A81="","",IF((A81+29)&gt;Model!$B$4,0,MAX(0,Model!$B$6-IF((A81+29)&gt;=Model!$B$11,Model!$B$20,0)-IF(29&lt;Model!$B$15,Model!$B$22,0))/(1-Model!$B$9)/(1+Model!$B$18)^29))</f>
        <v/>
      </c>
      <c r="AR81" s="7">
        <f>IF(A81="","",IF((A81+30)&gt;Model!$B$4,0,MAX(0,Model!$B$6-IF((A81+30)&gt;=Model!$B$11,Model!$B$20,0)-IF(30&lt;Model!$B$15,Model!$B$22,0))/(1-Model!$B$9)/(1+Model!$B$18)^30))</f>
        <v/>
      </c>
      <c r="AS81" s="7">
        <f>IF(A81="","",IF((A81+31)&gt;Model!$B$4,0,MAX(0,Model!$B$6-IF((A81+31)&gt;=Model!$B$11,Model!$B$20,0)-IF(31&lt;Model!$B$15,Model!$B$22,0))/(1-Model!$B$9)/(1+Model!$B$18)^31))</f>
        <v/>
      </c>
      <c r="AT81" s="7">
        <f>IF(A81="","",IF((A81+32)&gt;Model!$B$4,0,MAX(0,Model!$B$6-IF((A81+32)&gt;=Model!$B$11,Model!$B$20,0)-IF(32&lt;Model!$B$15,Model!$B$22,0))/(1-Model!$B$9)/(1+Model!$B$18)^32))</f>
        <v/>
      </c>
      <c r="AU81" s="7">
        <f>IF(A81="","",IF((A81+33)&gt;Model!$B$4,0,MAX(0,Model!$B$6-IF((A81+33)&gt;=Model!$B$11,Model!$B$20,0)-IF(33&lt;Model!$B$15,Model!$B$22,0))/(1-Model!$B$9)/(1+Model!$B$18)^33))</f>
        <v/>
      </c>
      <c r="AV81" s="7">
        <f>IF(A81="","",IF((A81+34)&gt;Model!$B$4,0,MAX(0,Model!$B$6-IF((A81+34)&gt;=Model!$B$11,Model!$B$20,0)-IF(34&lt;Model!$B$15,Model!$B$22,0))/(1-Model!$B$9)/(1+Model!$B$18)^34))</f>
        <v/>
      </c>
      <c r="AW81" s="7">
        <f>IF(A81="","",IF((A81+35)&gt;Model!$B$4,0,MAX(0,Model!$B$6-IF((A81+35)&gt;=Model!$B$11,Model!$B$20,0)-IF(35&lt;Model!$B$15,Model!$B$22,0))/(1-Model!$B$9)/(1+Model!$B$18)^35))</f>
        <v/>
      </c>
      <c r="AX81" s="7">
        <f>IF(A81="","",IF((A81+36)&gt;Model!$B$4,0,MAX(0,Model!$B$6-IF((A81+36)&gt;=Model!$B$11,Model!$B$20,0)-IF(36&lt;Model!$B$15,Model!$B$22,0))/(1-Model!$B$9)/(1+Model!$B$18)^36))</f>
        <v/>
      </c>
      <c r="AY81" s="7">
        <f>IF(A81="","",IF((A81+37)&gt;Model!$B$4,0,MAX(0,Model!$B$6-IF((A81+37)&gt;=Model!$B$11,Model!$B$20,0)-IF(37&lt;Model!$B$15,Model!$B$22,0))/(1-Model!$B$9)/(1+Model!$B$18)^37))</f>
        <v/>
      </c>
      <c r="AZ81" s="7">
        <f>IF(A81="","",IF((A81+38)&gt;Model!$B$4,0,MAX(0,Model!$B$6-IF((A81+38)&gt;=Model!$B$11,Model!$B$20,0)-IF(38&lt;Model!$B$15,Model!$B$22,0))/(1-Model!$B$9)/(1+Model!$B$18)^38))</f>
        <v/>
      </c>
      <c r="BA81" s="7">
        <f>IF(A81="","",IF((A81+39)&gt;Model!$B$4,0,MAX(0,Model!$B$6-IF((A81+39)&gt;=Model!$B$11,Model!$B$20,0)-IF(39&lt;Model!$B$15,Model!$B$22,0))/(1-Model!$B$9)/(1+Model!$B$18)^39))</f>
        <v/>
      </c>
      <c r="BB81" s="7">
        <f>IF(A81="","",IF((A81+40)&gt;Model!$B$4,0,MAX(0,Model!$B$6-IF((A81+40)&gt;=Model!$B$11,Model!$B$20,0)-IF(40&lt;Model!$B$15,Model!$B$22,0))/(1-Model!$B$9)/(1+Model!$B$18)^40))</f>
        <v/>
      </c>
      <c r="BC81" s="7">
        <f>IF(A81="","",IF((A81+41)&gt;Model!$B$4,0,MAX(0,Model!$B$6-IF((A81+41)&gt;=Model!$B$11,Model!$B$20,0)-IF(41&lt;Model!$B$15,Model!$B$22,0))/(1-Model!$B$9)/(1+Model!$B$18)^41))</f>
        <v/>
      </c>
      <c r="BD81" s="7">
        <f>IF(A81="","",IF((A81+42)&gt;Model!$B$4,0,MAX(0,Model!$B$6-IF((A81+42)&gt;=Model!$B$11,Model!$B$20,0)-IF(42&lt;Model!$B$15,Model!$B$22,0))/(1-Model!$B$9)/(1+Model!$B$18)^42))</f>
        <v/>
      </c>
      <c r="BE81" s="7">
        <f>IF(A81="","",IF((A81+43)&gt;Model!$B$4,0,MAX(0,Model!$B$6-IF((A81+43)&gt;=Model!$B$11,Model!$B$20,0)-IF(43&lt;Model!$B$15,Model!$B$22,0))/(1-Model!$B$9)/(1+Model!$B$18)^43))</f>
        <v/>
      </c>
      <c r="BF81" s="7">
        <f>IF(A81="","",IF((A81+44)&gt;Model!$B$4,0,MAX(0,Model!$B$6-IF((A81+44)&gt;=Model!$B$11,Model!$B$20,0)-IF(44&lt;Model!$B$15,Model!$B$22,0))/(1-Model!$B$9)/(1+Model!$B$18)^44))</f>
        <v/>
      </c>
      <c r="BG81" s="7">
        <f>IF(A81="","",IF((A81+45)&gt;Model!$B$4,0,MAX(0,Model!$B$6-IF((A81+45)&gt;=Model!$B$11,Model!$B$20,0)-IF(45&lt;Model!$B$15,Model!$B$22,0))/(1-Model!$B$9)/(1+Model!$B$18)^45))</f>
        <v/>
      </c>
      <c r="BH81" s="7">
        <f>IF(A81="","",IF((A81+46)&gt;Model!$B$4,0,MAX(0,Model!$B$6-IF((A81+46)&gt;=Model!$B$11,Model!$B$20,0)-IF(46&lt;Model!$B$15,Model!$B$22,0))/(1-Model!$B$9)/(1+Model!$B$18)^46))</f>
        <v/>
      </c>
      <c r="BI81" s="7">
        <f>IF(A81="","",IF((A81+47)&gt;Model!$B$4,0,MAX(0,Model!$B$6-IF((A81+47)&gt;=Model!$B$11,Model!$B$20,0)-IF(47&lt;Model!$B$15,Model!$B$22,0))/(1-Model!$B$9)/(1+Model!$B$18)^47))</f>
        <v/>
      </c>
      <c r="BJ81" s="7">
        <f>IF(A81="","",IF((A81+48)&gt;Model!$B$4,0,MAX(0,Model!$B$6-IF((A81+48)&gt;=Model!$B$11,Model!$B$20,0)-IF(48&lt;Model!$B$15,Model!$B$22,0))/(1-Model!$B$9)/(1+Model!$B$18)^48))</f>
        <v/>
      </c>
      <c r="BK81" s="7">
        <f>IF(A81="","",IF((A81+49)&gt;Model!$B$4,0,MAX(0,Model!$B$6-IF((A81+49)&gt;=Model!$B$11,Model!$B$20,0)-IF(49&lt;Model!$B$15,Model!$B$22,0))/(1-Model!$B$9)/(1+Model!$B$18)^49))</f>
        <v/>
      </c>
      <c r="BL81" s="7">
        <f>IF(A81="","",IF((A81+50)&gt;Model!$B$4,0,MAX(0,Model!$B$6-IF((A81+50)&gt;=Model!$B$11,Model!$B$20,0)-IF(50&lt;Model!$B$15,Model!$B$22,0))/(1-Model!$B$9)/(1+Model!$B$18)^50))</f>
        <v/>
      </c>
      <c r="BM81" s="7">
        <f>IF(A81="","",IF((A81+51)&gt;Model!$B$4,0,MAX(0,Model!$B$6-IF((A81+51)&gt;=Model!$B$11,Model!$B$20,0)-IF(51&lt;Model!$B$15,Model!$B$22,0))/(1-Model!$B$9)/(1+Model!$B$18)^51))</f>
        <v/>
      </c>
      <c r="BN81" s="7">
        <f>IF(A81="","",IF((A81+52)&gt;Model!$B$4,0,MAX(0,Model!$B$6-IF((A81+52)&gt;=Model!$B$11,Model!$B$20,0)-IF(52&lt;Model!$B$15,Model!$B$22,0))/(1-Model!$B$9)/(1+Model!$B$18)^52))</f>
        <v/>
      </c>
      <c r="BO81" s="7">
        <f>IF(A81="","",IF((A81+53)&gt;Model!$B$4,0,MAX(0,Model!$B$6-IF((A81+53)&gt;=Model!$B$11,Model!$B$20,0)-IF(53&lt;Model!$B$15,Model!$B$22,0))/(1-Model!$B$9)/(1+Model!$B$18)^53))</f>
        <v/>
      </c>
      <c r="BP81" s="7">
        <f>IF(A81="","",IF((A81+54)&gt;Model!$B$4,0,MAX(0,Model!$B$6-IF((A81+54)&gt;=Model!$B$11,Model!$B$20,0)-IF(54&lt;Model!$B$15,Model!$B$22,0))/(1-Model!$B$9)/(1+Model!$B$18)^54))</f>
        <v/>
      </c>
      <c r="BQ81" s="7">
        <f>IF(A81="","",IF((A81+55)&gt;Model!$B$4,0,MAX(0,Model!$B$6-IF((A81+55)&gt;=Model!$B$11,Model!$B$20,0)-IF(55&lt;Model!$B$15,Model!$B$22,0))/(1-Model!$B$9)/(1+Model!$B$18)^55))</f>
        <v/>
      </c>
      <c r="BR81" s="7">
        <f>IF(A81="","",IF((A81+56)&gt;Model!$B$4,0,MAX(0,Model!$B$6-IF((A81+56)&gt;=Model!$B$11,Model!$B$20,0)-IF(56&lt;Model!$B$15,Model!$B$22,0))/(1-Model!$B$9)/(1+Model!$B$18)^56))</f>
        <v/>
      </c>
      <c r="BS81" s="7">
        <f>IF(A81="","",IF((A81+57)&gt;Model!$B$4,0,MAX(0,Model!$B$6-IF((A81+57)&gt;=Model!$B$11,Model!$B$20,0)-IF(57&lt;Model!$B$15,Model!$B$22,0))/(1-Model!$B$9)/(1+Model!$B$18)^57))</f>
        <v/>
      </c>
      <c r="BT81" s="7">
        <f>IF(A81="","",IF((A81+58)&gt;Model!$B$4,0,MAX(0,Model!$B$6-IF((A81+58)&gt;=Model!$B$11,Model!$B$20,0)-IF(58&lt;Model!$B$15,Model!$B$22,0))/(1-Model!$B$9)/(1+Model!$B$18)^58))</f>
        <v/>
      </c>
      <c r="BU81" s="7">
        <f>IF(A81="","",IF((A81+59)&gt;Model!$B$4,0,MAX(0,Model!$B$6-IF((A81+59)&gt;=Model!$B$11,Model!$B$20,0)-IF(59&lt;Model!$B$15,Model!$B$22,0))/(1-Model!$B$9)/(1+Model!$B$18)^59))</f>
        <v/>
      </c>
      <c r="BV81" s="7">
        <f>IF(A81="","",IF((A81+60)&gt;Model!$B$4,0,MAX(0,Model!$B$6-IF((A81+60)&gt;=Model!$B$11,Model!$B$20,0)-IF(60&lt;Model!$B$15,Model!$B$22,0))/(1-Model!$B$9)/(1+Model!$B$18)^60))</f>
        <v/>
      </c>
      <c r="BW81" s="7">
        <f>IF(A81="","",IF((A81+61)&gt;Model!$B$4,0,MAX(0,Model!$B$6-IF((A81+61)&gt;=Model!$B$11,Model!$B$20,0)-IF(61&lt;Model!$B$15,Model!$B$22,0))/(1-Model!$B$9)/(1+Model!$B$18)^61))</f>
        <v/>
      </c>
      <c r="BX81" s="7">
        <f>IF(A81="","",IF((A81+62)&gt;Model!$B$4,0,MAX(0,Model!$B$6-IF((A81+62)&gt;=Model!$B$11,Model!$B$20,0)-IF(62&lt;Model!$B$15,Model!$B$22,0))/(1-Model!$B$9)/(1+Model!$B$18)^62))</f>
        <v/>
      </c>
      <c r="BY81" s="7">
        <f>IF(A81="","",IF((A81+63)&gt;Model!$B$4,0,MAX(0,Model!$B$6-IF((A81+63)&gt;=Model!$B$11,Model!$B$20,0)-IF(63&lt;Model!$B$15,Model!$B$22,0))/(1-Model!$B$9)/(1+Model!$B$18)^63))</f>
        <v/>
      </c>
      <c r="BZ81" s="7">
        <f>IF(A81="","",IF((A81+64)&gt;Model!$B$4,0,MAX(0,Model!$B$6-IF((A81+64)&gt;=Model!$B$11,Model!$B$20,0)-IF(64&lt;Model!$B$15,Model!$B$22,0))/(1-Model!$B$9)/(1+Model!$B$18)^64))</f>
        <v/>
      </c>
      <c r="CA81" s="7">
        <f>IF(A81="","",IF((A81+65)&gt;Model!$B$4,0,MAX(0,Model!$B$6-IF((A81+65)&gt;=Model!$B$11,Model!$B$20,0)-IF(65&lt;Model!$B$15,Model!$B$22,0))/(1-Model!$B$9)/(1+Model!$B$18)^65))</f>
        <v/>
      </c>
      <c r="CB81" s="7">
        <f>IF(A81="","",IF((A81+66)&gt;Model!$B$4,0,MAX(0,Model!$B$6-IF((A81+66)&gt;=Model!$B$11,Model!$B$20,0)-IF(66&lt;Model!$B$15,Model!$B$22,0))/(1-Model!$B$9)/(1+Model!$B$18)^66))</f>
        <v/>
      </c>
      <c r="CC81" s="7">
        <f>IF(A81="","",IF((A81+67)&gt;Model!$B$4,0,MAX(0,Model!$B$6-IF((A81+67)&gt;=Model!$B$11,Model!$B$20,0)-IF(67&lt;Model!$B$15,Model!$B$22,0))/(1-Model!$B$9)/(1+Model!$B$18)^67))</f>
        <v/>
      </c>
      <c r="CD81" s="7">
        <f>IF(A81="","",IF((A81+68)&gt;Model!$B$4,0,MAX(0,Model!$B$6-IF((A81+68)&gt;=Model!$B$11,Model!$B$20,0)-IF(68&lt;Model!$B$15,Model!$B$22,0))/(1-Model!$B$9)/(1+Model!$B$18)^68))</f>
        <v/>
      </c>
      <c r="CE81" s="7">
        <f>IF(A81="","",IF((A81+69)&gt;Model!$B$4,0,MAX(0,Model!$B$6-IF((A81+69)&gt;=Model!$B$11,Model!$B$20,0)-IF(69&lt;Model!$B$15,Model!$B$22,0))/(1-Model!$B$9)/(1+Model!$B$18)^69))</f>
        <v/>
      </c>
      <c r="CF81" s="7">
        <f>IF(A81="","",IF((A81+70)&gt;Model!$B$4,0,MAX(0,Model!$B$6-IF((A81+70)&gt;=Model!$B$11,Model!$B$20,0)-IF(70&lt;Model!$B$15,Model!$B$22,0))/(1-Model!$B$9)/(1+Model!$B$18)^70))</f>
        <v/>
      </c>
      <c r="CG81" s="7">
        <f>IF(A81="","",IF((A81+71)&gt;Model!$B$4,0,MAX(0,Model!$B$6-IF((A81+71)&gt;=Model!$B$11,Model!$B$20,0)-IF(71&lt;Model!$B$15,Model!$B$22,0))/(1-Model!$B$9)/(1+Model!$B$18)^71))</f>
        <v/>
      </c>
      <c r="CH81" s="7">
        <f>IF(A81="","",IF((A81+72)&gt;Model!$B$4,0,MAX(0,Model!$B$6-IF((A81+72)&gt;=Model!$B$11,Model!$B$20,0)-IF(72&lt;Model!$B$15,Model!$B$22,0))/(1-Model!$B$9)/(1+Model!$B$18)^72))</f>
        <v/>
      </c>
      <c r="CI81" s="7">
        <f>IF(A81="","",IF((A81+73)&gt;Model!$B$4,0,MAX(0,Model!$B$6-IF((A81+73)&gt;=Model!$B$11,Model!$B$20,0)-IF(73&lt;Model!$B$15,Model!$B$22,0))/(1-Model!$B$9)/(1+Model!$B$18)^73))</f>
        <v/>
      </c>
      <c r="CJ81" s="7">
        <f>IF(A81="","",IF((A81+74)&gt;Model!$B$4,0,MAX(0,Model!$B$6-IF((A81+74)&gt;=Model!$B$11,Model!$B$20,0)-IF(74&lt;Model!$B$15,Model!$B$22,0))/(1-Model!$B$9)/(1+Model!$B$18)^74))</f>
        <v/>
      </c>
      <c r="CK81" s="7">
        <f>IF(A81="","",IF((A81+75)&gt;Model!$B$4,0,MAX(0,Model!$B$6-IF((A81+75)&gt;=Model!$B$11,Model!$B$20,0)-IF(75&lt;Model!$B$15,Model!$B$22,0))/(1-Model!$B$9)/(1+Model!$B$18)^75))</f>
        <v/>
      </c>
      <c r="CL81" s="7">
        <f>IF(A81="","",IF((A81+76)&gt;Model!$B$4,0,MAX(0,Model!$B$6-IF((A81+76)&gt;=Model!$B$11,Model!$B$20,0)-IF(76&lt;Model!$B$15,Model!$B$22,0))/(1-Model!$B$9)/(1+Model!$B$18)^76))</f>
        <v/>
      </c>
      <c r="CM81" s="7">
        <f>IF(A81="","",IF((A81+77)&gt;Model!$B$4,0,MAX(0,Model!$B$6-IF((A81+77)&gt;=Model!$B$11,Model!$B$20,0)-IF(77&lt;Model!$B$15,Model!$B$22,0))/(1-Model!$B$9)/(1+Model!$B$18)^77))</f>
        <v/>
      </c>
      <c r="CN81" s="7">
        <f>IF(A81="","",IF((A81+78)&gt;Model!$B$4,0,MAX(0,Model!$B$6-IF((A81+78)&gt;=Model!$B$11,Model!$B$20,0)-IF(78&lt;Model!$B$15,Model!$B$22,0))/(1-Model!$B$9)/(1+Model!$B$18)^78))</f>
        <v/>
      </c>
      <c r="CO81" s="7">
        <f>IF(A81="","",IF((A81+79)&gt;Model!$B$4,0,MAX(0,Model!$B$6-IF((A81+79)&gt;=Model!$B$11,Model!$B$20,0)-IF(79&lt;Model!$B$15,Model!$B$22,0))/(1-Model!$B$9)/(1+Model!$B$18)^79))</f>
        <v/>
      </c>
      <c r="CP81" s="7">
        <f>IF(A81="","",IF((A81+80)&gt;Model!$B$4,0,MAX(0,Model!$B$6-IF((A81+80)&gt;=Model!$B$11,Model!$B$20,0)-IF(80&lt;Model!$B$15,Model!$B$22,0))/(1-Model!$B$9)/(1+Model!$B$18)^80))</f>
        <v/>
      </c>
      <c r="CQ81" s="7">
        <f>IF(A81="","",IF((A81+81)&gt;Model!$B$4,0,MAX(0,Model!$B$6-IF((A81+81)&gt;=Model!$B$11,Model!$B$20,0)-IF(81&lt;Model!$B$15,Model!$B$22,0))/(1-Model!$B$9)/(1+Model!$B$18)^81))</f>
        <v/>
      </c>
      <c r="CR81" s="7">
        <f>IF(A81="","",IF((A81+82)&gt;Model!$B$4,0,MAX(0,Model!$B$6-IF((A81+82)&gt;=Model!$B$11,Model!$B$20,0)-IF(82&lt;Model!$B$15,Model!$B$22,0))/(1-Model!$B$9)/(1+Model!$B$18)^82))</f>
        <v/>
      </c>
      <c r="CS81" s="7">
        <f>IF(A81="","",IF((A81+83)&gt;Model!$B$4,0,MAX(0,Model!$B$6-IF((A81+83)&gt;=Model!$B$11,Model!$B$20,0)-IF(83&lt;Model!$B$15,Model!$B$22,0))/(1-Model!$B$9)/(1+Model!$B$18)^83))</f>
        <v/>
      </c>
      <c r="CT81" s="7">
        <f>IF(A81="","",IF((A81+84)&gt;Model!$B$4,0,MAX(0,Model!$B$6-IF((A81+84)&gt;=Model!$B$11,Model!$B$20,0)-IF(84&lt;Model!$B$15,Model!$B$22,0))/(1-Model!$B$9)/(1+Model!$B$18)^84))</f>
        <v/>
      </c>
      <c r="CU81" s="7">
        <f>IF(A81="","",IF((A81+85)&gt;Model!$B$4,0,MAX(0,Model!$B$6-IF((A81+85)&gt;=Model!$B$11,Model!$B$20,0)-IF(85&lt;Model!$B$15,Model!$B$22,0))/(1-Model!$B$9)/(1+Model!$B$18)^85))</f>
        <v/>
      </c>
      <c r="CV81" s="7">
        <f>IF(A81="","",IF((A81+86)&gt;Model!$B$4,0,MAX(0,Model!$B$6-IF((A81+86)&gt;=Model!$B$11,Model!$B$20,0)-IF(86&lt;Model!$B$15,Model!$B$22,0))/(1-Model!$B$9)/(1+Model!$B$18)^86))</f>
        <v/>
      </c>
      <c r="CW81" s="7">
        <f>IF(A81="","",IF((A81+87)&gt;Model!$B$4,0,MAX(0,Model!$B$6-IF((A81+87)&gt;=Model!$B$11,Model!$B$20,0)-IF(87&lt;Model!$B$15,Model!$B$22,0))/(1-Model!$B$9)/(1+Model!$B$18)^87))</f>
        <v/>
      </c>
      <c r="CX81" s="7">
        <f>IF(A81="","",IF((A81+88)&gt;Model!$B$4,0,MAX(0,Model!$B$6-IF((A81+88)&gt;=Model!$B$11,Model!$B$20,0)-IF(88&lt;Model!$B$15,Model!$B$22,0))/(1-Model!$B$9)/(1+Model!$B$18)^88))</f>
        <v/>
      </c>
      <c r="CY81" s="7">
        <f>IF(A81="","",IF((A81+89)&gt;Model!$B$4,0,MAX(0,Model!$B$6-IF((A81+89)&gt;=Model!$B$11,Model!$B$20,0)-IF(89&lt;Model!$B$15,Model!$B$22,0))/(1-Model!$B$9)/(1+Model!$B$18)^89))</f>
        <v/>
      </c>
      <c r="CZ81" s="7">
        <f>IF(A81="","",IF((A81+90)&gt;Model!$B$4,0,MAX(0,Model!$B$6-IF((A81+90)&gt;=Model!$B$11,Model!$B$20,0)-IF(90&lt;Model!$B$15,Model!$B$22,0))/(1-Model!$B$9)/(1+Model!$B$18)^90))</f>
        <v/>
      </c>
      <c r="DA81" s="7">
        <f>IF(A81="","",IF((A81+91)&gt;Model!$B$4,0,MAX(0,Model!$B$6-IF((A81+91)&gt;=Model!$B$11,Model!$B$20,0)-IF(91&lt;Model!$B$15,Model!$B$22,0))/(1-Model!$B$9)/(1+Model!$B$18)^91))</f>
        <v/>
      </c>
      <c r="DB81" s="7">
        <f>IF(A81="","",IF((A81+92)&gt;Model!$B$4,0,MAX(0,Model!$B$6-IF((A81+92)&gt;=Model!$B$11,Model!$B$20,0)-IF(92&lt;Model!$B$15,Model!$B$22,0))/(1-Model!$B$9)/(1+Model!$B$18)^92))</f>
        <v/>
      </c>
      <c r="DC81" s="7">
        <f>IF(A81="","",IF((A81+93)&gt;Model!$B$4,0,MAX(0,Model!$B$6-IF((A81+93)&gt;=Model!$B$11,Model!$B$20,0)-IF(93&lt;Model!$B$15,Model!$B$22,0))/(1-Model!$B$9)/(1+Model!$B$18)^93))</f>
        <v/>
      </c>
      <c r="DD81" s="7">
        <f>IF(A81="","",IF((A81+94)&gt;Model!$B$4,0,MAX(0,Model!$B$6-IF((A81+94)&gt;=Model!$B$11,Model!$B$20,0)-IF(94&lt;Model!$B$15,Model!$B$22,0))/(1-Model!$B$9)/(1+Model!$B$18)^94))</f>
        <v/>
      </c>
      <c r="DE81" s="7">
        <f>IF(A81="","",IF((A81+95)&gt;Model!$B$4,0,MAX(0,Model!$B$6-IF((A81+95)&gt;=Model!$B$11,Model!$B$20,0)-IF(95&lt;Model!$B$15,Model!$B$22,0))/(1-Model!$B$9)/(1+Model!$B$18)^95))</f>
        <v/>
      </c>
      <c r="DF81" s="7">
        <f>IF(A81="","",IF((A81+96)&gt;Model!$B$4,0,MAX(0,Model!$B$6-IF((A81+96)&gt;=Model!$B$11,Model!$B$20,0)-IF(96&lt;Model!$B$15,Model!$B$22,0))/(1-Model!$B$9)/(1+Model!$B$18)^96))</f>
        <v/>
      </c>
      <c r="DG81" s="7">
        <f>IF(A81="","",IF((A81+97)&gt;Model!$B$4,0,MAX(0,Model!$B$6-IF((A81+97)&gt;=Model!$B$11,Model!$B$20,0)-IF(97&lt;Model!$B$15,Model!$B$22,0))/(1-Model!$B$9)/(1+Model!$B$18)^97))</f>
        <v/>
      </c>
      <c r="DH81" s="7">
        <f>IF(A81="","",IF((A81+98)&gt;Model!$B$4,0,MAX(0,Model!$B$6-IF((A81+98)&gt;=Model!$B$11,Model!$B$20,0)-IF(98&lt;Model!$B$15,Model!$B$22,0))/(1-Model!$B$9)/(1+Model!$B$18)^98))</f>
        <v/>
      </c>
      <c r="DI81" s="7">
        <f>IF(A81="","",IF((A81+99)&gt;Model!$B$4,0,MAX(0,Model!$B$6-IF((A81+99)&gt;=Model!$B$11,Model!$B$20,0)-IF(99&lt;Model!$B$15,Model!$B$22,0))/(1-Model!$B$9)/(1+Model!$B$18)^99))</f>
        <v/>
      </c>
      <c r="DJ81" s="7">
        <f>IF(A81="","",IF((A81+100)&gt;Model!$B$4,0,MAX(0,Model!$B$6-IF((A81+100)&gt;=Model!$B$11,Model!$B$20,0)-IF(100&lt;Model!$B$15,Model!$B$22,0))/(1-Model!$B$9)/(1+Model!$B$18)^100))</f>
        <v/>
      </c>
      <c r="DK81" s="7">
        <f>IF(A81="","",IF((A81+101)&gt;Model!$B$4,0,MAX(0,Model!$B$6-IF((A81+101)&gt;=Model!$B$11,Model!$B$20,0)-IF(101&lt;Model!$B$15,Model!$B$22,0))/(1-Model!$B$9)/(1+Model!$B$18)^101))</f>
        <v/>
      </c>
      <c r="DL81" s="7">
        <f>IF(A81="","",IF((A81+102)&gt;Model!$B$4,0,MAX(0,Model!$B$6-IF((A81+102)&gt;=Model!$B$11,Model!$B$20,0)-IF(102&lt;Model!$B$15,Model!$B$22,0))/(1-Model!$B$9)/(1+Model!$B$18)^102))</f>
        <v/>
      </c>
      <c r="DM81" s="7">
        <f>IF(A81="","",IF((A81+103)&gt;Model!$B$4,0,MAX(0,Model!$B$6-IF((A81+103)&gt;=Model!$B$11,Model!$B$20,0)-IF(103&lt;Model!$B$15,Model!$B$22,0))/(1-Model!$B$9)/(1+Model!$B$18)^103))</f>
        <v/>
      </c>
      <c r="DN81" s="7">
        <f>IF(A81="","",IF((A81+104)&gt;Model!$B$4,0,MAX(0,Model!$B$6-IF((A81+104)&gt;=Model!$B$11,Model!$B$20,0)-IF(104&lt;Model!$B$15,Model!$B$22,0))/(1-Model!$B$9)/(1+Model!$B$18)^104))</f>
        <v/>
      </c>
      <c r="DO81" s="7">
        <f>IF(A81="","",IF((A81+105)&gt;Model!$B$4,0,MAX(0,Model!$B$6-IF((A81+105)&gt;=Model!$B$11,Model!$B$20,0)-IF(105&lt;Model!$B$15,Model!$B$22,0))/(1-Model!$B$9)/(1+Model!$B$18)^105))</f>
        <v/>
      </c>
      <c r="DP81" s="7">
        <f>IF(A81="","",IF((A81+106)&gt;Model!$B$4,0,MAX(0,Model!$B$6-IF((A81+106)&gt;=Model!$B$11,Model!$B$20,0)-IF(106&lt;Model!$B$15,Model!$B$22,0))/(1-Model!$B$9)/(1+Model!$B$18)^106))</f>
        <v/>
      </c>
      <c r="DQ81" s="7">
        <f>IF(A81="","",IF((A81+107)&gt;Model!$B$4,0,MAX(0,Model!$B$6-IF((A81+107)&gt;=Model!$B$11,Model!$B$20,0)-IF(107&lt;Model!$B$15,Model!$B$22,0))/(1-Model!$B$9)/(1+Model!$B$18)^107))</f>
        <v/>
      </c>
      <c r="DR81" s="7">
        <f>IF(A81="","",IF((A81+108)&gt;Model!$B$4,0,MAX(0,Model!$B$6-IF((A81+108)&gt;=Model!$B$11,Model!$B$20,0)-IF(108&lt;Model!$B$15,Model!$B$22,0))/(1-Model!$B$9)/(1+Model!$B$18)^108))</f>
        <v/>
      </c>
      <c r="DS81" s="7">
        <f>IF(A81="","",IF((A81+109)&gt;Model!$B$4,0,MAX(0,Model!$B$6-IF((A81+109)&gt;=Model!$B$11,Model!$B$20,0)-IF(109&lt;Model!$B$15,Model!$B$22,0))/(1-Model!$B$9)/(1+Model!$B$18)^109))</f>
        <v/>
      </c>
      <c r="DT81" s="7">
        <f>IF(A81="","",IF((A81+110)&gt;Model!$B$4,0,MAX(0,Model!$B$6-IF((A81+110)&gt;=Model!$B$11,Model!$B$20,0)-IF(110&lt;Model!$B$15,Model!$B$22,0))/(1-Model!$B$9)/(1+Model!$B$18)^110))</f>
        <v/>
      </c>
      <c r="DU81" s="7">
        <f>IF(A81="","",IF((A81+111)&gt;Model!$B$4,0,MAX(0,Model!$B$6-IF((A81+111)&gt;=Model!$B$11,Model!$B$20,0)-IF(111&lt;Model!$B$15,Model!$B$22,0))/(1-Model!$B$9)/(1+Model!$B$18)^111))</f>
        <v/>
      </c>
      <c r="DV81" s="7">
        <f>IF(A81="","",IF((A81+112)&gt;Model!$B$4,0,MAX(0,Model!$B$6-IF((A81+112)&gt;=Model!$B$11,Model!$B$20,0)-IF(112&lt;Model!$B$15,Model!$B$22,0))/(1-Model!$B$9)/(1+Model!$B$18)^112))</f>
        <v/>
      </c>
      <c r="DW81" s="7">
        <f>IF(A81="","",IF((A81+113)&gt;Model!$B$4,0,MAX(0,Model!$B$6-IF((A81+113)&gt;=Model!$B$11,Model!$B$20,0)-IF(113&lt;Model!$B$15,Model!$B$22,0))/(1-Model!$B$9)/(1+Model!$B$18)^113))</f>
        <v/>
      </c>
      <c r="DX81" s="7">
        <f>IF(A81="","",IF((A81+114)&gt;Model!$B$4,0,MAX(0,Model!$B$6-IF((A81+114)&gt;=Model!$B$11,Model!$B$20,0)-IF(114&lt;Model!$B$15,Model!$B$22,0))/(1-Model!$B$9)/(1+Model!$B$18)^114))</f>
        <v/>
      </c>
      <c r="DY81" s="7">
        <f>IF(A81="","",IF((A81+115)&gt;Model!$B$4,0,MAX(0,Model!$B$6-IF((A81+115)&gt;=Model!$B$11,Model!$B$20,0)-IF(115&lt;Model!$B$15,Model!$B$22,0))/(1-Model!$B$9)/(1+Model!$B$18)^115))</f>
        <v/>
      </c>
      <c r="DZ81" s="7">
        <f>IF(A81="","",IF((A81+116)&gt;Model!$B$4,0,MAX(0,Model!$B$6-IF((A81+116)&gt;=Model!$B$11,Model!$B$20,0)-IF(116&lt;Model!$B$15,Model!$B$22,0))/(1-Model!$B$9)/(1+Model!$B$18)^116))</f>
        <v/>
      </c>
      <c r="EA81" s="7">
        <f>IF(A81="","",IF((A81+117)&gt;Model!$B$4,0,MAX(0,Model!$B$6-IF((A81+117)&gt;=Model!$B$11,Model!$B$20,0)-IF(117&lt;Model!$B$15,Model!$B$22,0))/(1-Model!$B$9)/(1+Model!$B$18)^117))</f>
        <v/>
      </c>
      <c r="EB81" s="7">
        <f>IF(A81="","",IF((A81+118)&gt;Model!$B$4,0,MAX(0,Model!$B$6-IF((A81+118)&gt;=Model!$B$11,Model!$B$20,0)-IF(118&lt;Model!$B$15,Model!$B$22,0))/(1-Model!$B$9)/(1+Model!$B$18)^118))</f>
        <v/>
      </c>
      <c r="EC81" s="7">
        <f>IF(A81="","",IF((A81+119)&gt;Model!$B$4,0,MAX(0,Model!$B$6-IF((A81+119)&gt;=Model!$B$11,Model!$B$20,0)-IF(119&lt;Model!$B$15,Model!$B$22,0))/(1-Model!$B$9)/(1+Model!$B$18)^119))</f>
        <v/>
      </c>
      <c r="ED81" s="7">
        <f>IF(A81="","",IF((A81+120)&gt;Model!$B$4,0,MAX(0,Model!$B$6-IF((A81+120)&gt;=Model!$B$11,Model!$B$20,0)-IF(120&lt;Model!$B$15,Model!$B$22,0))/(1-Model!$B$9)/(1+Model!$B$18)^120))</f>
        <v/>
      </c>
    </row>
    <row r="82">
      <c r="A82">
        <f>IF(Model!$B$10+ROW()-2&lt;=Model!$B$4,Model!$B$10+ROW()-2,"")</f>
        <v/>
      </c>
      <c r="B82">
        <f>IF(A82="","",A82-Model!$B$10)</f>
        <v/>
      </c>
      <c r="C82" s="7">
        <f>IF(A82="","",Model!$B$5*(1+Model!$B$18)^B82)</f>
        <v/>
      </c>
      <c r="D82" s="7">
        <f>IF(A82="","",SUM(N82:ED82))</f>
        <v/>
      </c>
      <c r="E82" s="7">
        <f>IF(A82="","",IF(A82&gt;=Model!$B$11,Model!$B$20,0))</f>
        <v/>
      </c>
      <c r="F82" s="7">
        <f>IF(A82="","",IF(Model!$B$15&gt;0,Model!$B$22,0))</f>
        <v/>
      </c>
      <c r="G82" s="7">
        <f>IF(A82="","",E82+F82)</f>
        <v/>
      </c>
      <c r="H82" s="7">
        <f>IF(A82="","",MAX(0,Model!$B$6-G82))</f>
        <v/>
      </c>
      <c r="I82" s="7">
        <f>IF(A82="","",H82/(1-Model!$B$9))</f>
        <v/>
      </c>
      <c r="J82" s="7">
        <f>IF(A82="","",C82-D82)</f>
        <v/>
      </c>
      <c r="K82">
        <f>IF(A82="","",C82&gt;=D82)</f>
        <v/>
      </c>
      <c r="L82" s="7">
        <f>IF(A82="","",IF(A82&gt;=Model!$B$11,Model!$B$19*(1+Model!$B$13)^B82,0))</f>
        <v/>
      </c>
      <c r="M82" s="7">
        <f>IF(A82="","",IF(Model!$B$15&gt;0,Model!$B$21*(1+Model!$B$13)^B82,0))</f>
        <v/>
      </c>
      <c r="N82" s="7">
        <f>IF(A82="","",IF((A82+0)&gt;Model!$B$4,0,MAX(0,Model!$B$6-IF((A82+0)&gt;=Model!$B$11,Model!$B$20,0)-IF(0&lt;Model!$B$15,Model!$B$22,0))/(1-Model!$B$9)/(1+Model!$B$18)^0))</f>
        <v/>
      </c>
      <c r="O82" s="7">
        <f>IF(A82="","",IF((A82+1)&gt;Model!$B$4,0,MAX(0,Model!$B$6-IF((A82+1)&gt;=Model!$B$11,Model!$B$20,0)-IF(1&lt;Model!$B$15,Model!$B$22,0))/(1-Model!$B$9)/(1+Model!$B$18)^1))</f>
        <v/>
      </c>
      <c r="P82" s="7">
        <f>IF(A82="","",IF((A82+2)&gt;Model!$B$4,0,MAX(0,Model!$B$6-IF((A82+2)&gt;=Model!$B$11,Model!$B$20,0)-IF(2&lt;Model!$B$15,Model!$B$22,0))/(1-Model!$B$9)/(1+Model!$B$18)^2))</f>
        <v/>
      </c>
      <c r="Q82" s="7">
        <f>IF(A82="","",IF((A82+3)&gt;Model!$B$4,0,MAX(0,Model!$B$6-IF((A82+3)&gt;=Model!$B$11,Model!$B$20,0)-IF(3&lt;Model!$B$15,Model!$B$22,0))/(1-Model!$B$9)/(1+Model!$B$18)^3))</f>
        <v/>
      </c>
      <c r="R82" s="7">
        <f>IF(A82="","",IF((A82+4)&gt;Model!$B$4,0,MAX(0,Model!$B$6-IF((A82+4)&gt;=Model!$B$11,Model!$B$20,0)-IF(4&lt;Model!$B$15,Model!$B$22,0))/(1-Model!$B$9)/(1+Model!$B$18)^4))</f>
        <v/>
      </c>
      <c r="S82" s="7">
        <f>IF(A82="","",IF((A82+5)&gt;Model!$B$4,0,MAX(0,Model!$B$6-IF((A82+5)&gt;=Model!$B$11,Model!$B$20,0)-IF(5&lt;Model!$B$15,Model!$B$22,0))/(1-Model!$B$9)/(1+Model!$B$18)^5))</f>
        <v/>
      </c>
      <c r="T82" s="7">
        <f>IF(A82="","",IF((A82+6)&gt;Model!$B$4,0,MAX(0,Model!$B$6-IF((A82+6)&gt;=Model!$B$11,Model!$B$20,0)-IF(6&lt;Model!$B$15,Model!$B$22,0))/(1-Model!$B$9)/(1+Model!$B$18)^6))</f>
        <v/>
      </c>
      <c r="U82" s="7">
        <f>IF(A82="","",IF((A82+7)&gt;Model!$B$4,0,MAX(0,Model!$B$6-IF((A82+7)&gt;=Model!$B$11,Model!$B$20,0)-IF(7&lt;Model!$B$15,Model!$B$22,0))/(1-Model!$B$9)/(1+Model!$B$18)^7))</f>
        <v/>
      </c>
      <c r="V82" s="7">
        <f>IF(A82="","",IF((A82+8)&gt;Model!$B$4,0,MAX(0,Model!$B$6-IF((A82+8)&gt;=Model!$B$11,Model!$B$20,0)-IF(8&lt;Model!$B$15,Model!$B$22,0))/(1-Model!$B$9)/(1+Model!$B$18)^8))</f>
        <v/>
      </c>
      <c r="W82" s="7">
        <f>IF(A82="","",IF((A82+9)&gt;Model!$B$4,0,MAX(0,Model!$B$6-IF((A82+9)&gt;=Model!$B$11,Model!$B$20,0)-IF(9&lt;Model!$B$15,Model!$B$22,0))/(1-Model!$B$9)/(1+Model!$B$18)^9))</f>
        <v/>
      </c>
      <c r="X82" s="7">
        <f>IF(A82="","",IF((A82+10)&gt;Model!$B$4,0,MAX(0,Model!$B$6-IF((A82+10)&gt;=Model!$B$11,Model!$B$20,0)-IF(10&lt;Model!$B$15,Model!$B$22,0))/(1-Model!$B$9)/(1+Model!$B$18)^10))</f>
        <v/>
      </c>
      <c r="Y82" s="7">
        <f>IF(A82="","",IF((A82+11)&gt;Model!$B$4,0,MAX(0,Model!$B$6-IF((A82+11)&gt;=Model!$B$11,Model!$B$20,0)-IF(11&lt;Model!$B$15,Model!$B$22,0))/(1-Model!$B$9)/(1+Model!$B$18)^11))</f>
        <v/>
      </c>
      <c r="Z82" s="7">
        <f>IF(A82="","",IF((A82+12)&gt;Model!$B$4,0,MAX(0,Model!$B$6-IF((A82+12)&gt;=Model!$B$11,Model!$B$20,0)-IF(12&lt;Model!$B$15,Model!$B$22,0))/(1-Model!$B$9)/(1+Model!$B$18)^12))</f>
        <v/>
      </c>
      <c r="AA82" s="7">
        <f>IF(A82="","",IF((A82+13)&gt;Model!$B$4,0,MAX(0,Model!$B$6-IF((A82+13)&gt;=Model!$B$11,Model!$B$20,0)-IF(13&lt;Model!$B$15,Model!$B$22,0))/(1-Model!$B$9)/(1+Model!$B$18)^13))</f>
        <v/>
      </c>
      <c r="AB82" s="7">
        <f>IF(A82="","",IF((A82+14)&gt;Model!$B$4,0,MAX(0,Model!$B$6-IF((A82+14)&gt;=Model!$B$11,Model!$B$20,0)-IF(14&lt;Model!$B$15,Model!$B$22,0))/(1-Model!$B$9)/(1+Model!$B$18)^14))</f>
        <v/>
      </c>
      <c r="AC82" s="7">
        <f>IF(A82="","",IF((A82+15)&gt;Model!$B$4,0,MAX(0,Model!$B$6-IF((A82+15)&gt;=Model!$B$11,Model!$B$20,0)-IF(15&lt;Model!$B$15,Model!$B$22,0))/(1-Model!$B$9)/(1+Model!$B$18)^15))</f>
        <v/>
      </c>
      <c r="AD82" s="7">
        <f>IF(A82="","",IF((A82+16)&gt;Model!$B$4,0,MAX(0,Model!$B$6-IF((A82+16)&gt;=Model!$B$11,Model!$B$20,0)-IF(16&lt;Model!$B$15,Model!$B$22,0))/(1-Model!$B$9)/(1+Model!$B$18)^16))</f>
        <v/>
      </c>
      <c r="AE82" s="7">
        <f>IF(A82="","",IF((A82+17)&gt;Model!$B$4,0,MAX(0,Model!$B$6-IF((A82+17)&gt;=Model!$B$11,Model!$B$20,0)-IF(17&lt;Model!$B$15,Model!$B$22,0))/(1-Model!$B$9)/(1+Model!$B$18)^17))</f>
        <v/>
      </c>
      <c r="AF82" s="7">
        <f>IF(A82="","",IF((A82+18)&gt;Model!$B$4,0,MAX(0,Model!$B$6-IF((A82+18)&gt;=Model!$B$11,Model!$B$20,0)-IF(18&lt;Model!$B$15,Model!$B$22,0))/(1-Model!$B$9)/(1+Model!$B$18)^18))</f>
        <v/>
      </c>
      <c r="AG82" s="7">
        <f>IF(A82="","",IF((A82+19)&gt;Model!$B$4,0,MAX(0,Model!$B$6-IF((A82+19)&gt;=Model!$B$11,Model!$B$20,0)-IF(19&lt;Model!$B$15,Model!$B$22,0))/(1-Model!$B$9)/(1+Model!$B$18)^19))</f>
        <v/>
      </c>
      <c r="AH82" s="7">
        <f>IF(A82="","",IF((A82+20)&gt;Model!$B$4,0,MAX(0,Model!$B$6-IF((A82+20)&gt;=Model!$B$11,Model!$B$20,0)-IF(20&lt;Model!$B$15,Model!$B$22,0))/(1-Model!$B$9)/(1+Model!$B$18)^20))</f>
        <v/>
      </c>
      <c r="AI82" s="7">
        <f>IF(A82="","",IF((A82+21)&gt;Model!$B$4,0,MAX(0,Model!$B$6-IF((A82+21)&gt;=Model!$B$11,Model!$B$20,0)-IF(21&lt;Model!$B$15,Model!$B$22,0))/(1-Model!$B$9)/(1+Model!$B$18)^21))</f>
        <v/>
      </c>
      <c r="AJ82" s="7">
        <f>IF(A82="","",IF((A82+22)&gt;Model!$B$4,0,MAX(0,Model!$B$6-IF((A82+22)&gt;=Model!$B$11,Model!$B$20,0)-IF(22&lt;Model!$B$15,Model!$B$22,0))/(1-Model!$B$9)/(1+Model!$B$18)^22))</f>
        <v/>
      </c>
      <c r="AK82" s="7">
        <f>IF(A82="","",IF((A82+23)&gt;Model!$B$4,0,MAX(0,Model!$B$6-IF((A82+23)&gt;=Model!$B$11,Model!$B$20,0)-IF(23&lt;Model!$B$15,Model!$B$22,0))/(1-Model!$B$9)/(1+Model!$B$18)^23))</f>
        <v/>
      </c>
      <c r="AL82" s="7">
        <f>IF(A82="","",IF((A82+24)&gt;Model!$B$4,0,MAX(0,Model!$B$6-IF((A82+24)&gt;=Model!$B$11,Model!$B$20,0)-IF(24&lt;Model!$B$15,Model!$B$22,0))/(1-Model!$B$9)/(1+Model!$B$18)^24))</f>
        <v/>
      </c>
      <c r="AM82" s="7">
        <f>IF(A82="","",IF((A82+25)&gt;Model!$B$4,0,MAX(0,Model!$B$6-IF((A82+25)&gt;=Model!$B$11,Model!$B$20,0)-IF(25&lt;Model!$B$15,Model!$B$22,0))/(1-Model!$B$9)/(1+Model!$B$18)^25))</f>
        <v/>
      </c>
      <c r="AN82" s="7">
        <f>IF(A82="","",IF((A82+26)&gt;Model!$B$4,0,MAX(0,Model!$B$6-IF((A82+26)&gt;=Model!$B$11,Model!$B$20,0)-IF(26&lt;Model!$B$15,Model!$B$22,0))/(1-Model!$B$9)/(1+Model!$B$18)^26))</f>
        <v/>
      </c>
      <c r="AO82" s="7">
        <f>IF(A82="","",IF((A82+27)&gt;Model!$B$4,0,MAX(0,Model!$B$6-IF((A82+27)&gt;=Model!$B$11,Model!$B$20,0)-IF(27&lt;Model!$B$15,Model!$B$22,0))/(1-Model!$B$9)/(1+Model!$B$18)^27))</f>
        <v/>
      </c>
      <c r="AP82" s="7">
        <f>IF(A82="","",IF((A82+28)&gt;Model!$B$4,0,MAX(0,Model!$B$6-IF((A82+28)&gt;=Model!$B$11,Model!$B$20,0)-IF(28&lt;Model!$B$15,Model!$B$22,0))/(1-Model!$B$9)/(1+Model!$B$18)^28))</f>
        <v/>
      </c>
      <c r="AQ82" s="7">
        <f>IF(A82="","",IF((A82+29)&gt;Model!$B$4,0,MAX(0,Model!$B$6-IF((A82+29)&gt;=Model!$B$11,Model!$B$20,0)-IF(29&lt;Model!$B$15,Model!$B$22,0))/(1-Model!$B$9)/(1+Model!$B$18)^29))</f>
        <v/>
      </c>
      <c r="AR82" s="7">
        <f>IF(A82="","",IF((A82+30)&gt;Model!$B$4,0,MAX(0,Model!$B$6-IF((A82+30)&gt;=Model!$B$11,Model!$B$20,0)-IF(30&lt;Model!$B$15,Model!$B$22,0))/(1-Model!$B$9)/(1+Model!$B$18)^30))</f>
        <v/>
      </c>
      <c r="AS82" s="7">
        <f>IF(A82="","",IF((A82+31)&gt;Model!$B$4,0,MAX(0,Model!$B$6-IF((A82+31)&gt;=Model!$B$11,Model!$B$20,0)-IF(31&lt;Model!$B$15,Model!$B$22,0))/(1-Model!$B$9)/(1+Model!$B$18)^31))</f>
        <v/>
      </c>
      <c r="AT82" s="7">
        <f>IF(A82="","",IF((A82+32)&gt;Model!$B$4,0,MAX(0,Model!$B$6-IF((A82+32)&gt;=Model!$B$11,Model!$B$20,0)-IF(32&lt;Model!$B$15,Model!$B$22,0))/(1-Model!$B$9)/(1+Model!$B$18)^32))</f>
        <v/>
      </c>
      <c r="AU82" s="7">
        <f>IF(A82="","",IF((A82+33)&gt;Model!$B$4,0,MAX(0,Model!$B$6-IF((A82+33)&gt;=Model!$B$11,Model!$B$20,0)-IF(33&lt;Model!$B$15,Model!$B$22,0))/(1-Model!$B$9)/(1+Model!$B$18)^33))</f>
        <v/>
      </c>
      <c r="AV82" s="7">
        <f>IF(A82="","",IF((A82+34)&gt;Model!$B$4,0,MAX(0,Model!$B$6-IF((A82+34)&gt;=Model!$B$11,Model!$B$20,0)-IF(34&lt;Model!$B$15,Model!$B$22,0))/(1-Model!$B$9)/(1+Model!$B$18)^34))</f>
        <v/>
      </c>
      <c r="AW82" s="7">
        <f>IF(A82="","",IF((A82+35)&gt;Model!$B$4,0,MAX(0,Model!$B$6-IF((A82+35)&gt;=Model!$B$11,Model!$B$20,0)-IF(35&lt;Model!$B$15,Model!$B$22,0))/(1-Model!$B$9)/(1+Model!$B$18)^35))</f>
        <v/>
      </c>
      <c r="AX82" s="7">
        <f>IF(A82="","",IF((A82+36)&gt;Model!$B$4,0,MAX(0,Model!$B$6-IF((A82+36)&gt;=Model!$B$11,Model!$B$20,0)-IF(36&lt;Model!$B$15,Model!$B$22,0))/(1-Model!$B$9)/(1+Model!$B$18)^36))</f>
        <v/>
      </c>
      <c r="AY82" s="7">
        <f>IF(A82="","",IF((A82+37)&gt;Model!$B$4,0,MAX(0,Model!$B$6-IF((A82+37)&gt;=Model!$B$11,Model!$B$20,0)-IF(37&lt;Model!$B$15,Model!$B$22,0))/(1-Model!$B$9)/(1+Model!$B$18)^37))</f>
        <v/>
      </c>
      <c r="AZ82" s="7">
        <f>IF(A82="","",IF((A82+38)&gt;Model!$B$4,0,MAX(0,Model!$B$6-IF((A82+38)&gt;=Model!$B$11,Model!$B$20,0)-IF(38&lt;Model!$B$15,Model!$B$22,0))/(1-Model!$B$9)/(1+Model!$B$18)^38))</f>
        <v/>
      </c>
      <c r="BA82" s="7">
        <f>IF(A82="","",IF((A82+39)&gt;Model!$B$4,0,MAX(0,Model!$B$6-IF((A82+39)&gt;=Model!$B$11,Model!$B$20,0)-IF(39&lt;Model!$B$15,Model!$B$22,0))/(1-Model!$B$9)/(1+Model!$B$18)^39))</f>
        <v/>
      </c>
      <c r="BB82" s="7">
        <f>IF(A82="","",IF((A82+40)&gt;Model!$B$4,0,MAX(0,Model!$B$6-IF((A82+40)&gt;=Model!$B$11,Model!$B$20,0)-IF(40&lt;Model!$B$15,Model!$B$22,0))/(1-Model!$B$9)/(1+Model!$B$18)^40))</f>
        <v/>
      </c>
      <c r="BC82" s="7">
        <f>IF(A82="","",IF((A82+41)&gt;Model!$B$4,0,MAX(0,Model!$B$6-IF((A82+41)&gt;=Model!$B$11,Model!$B$20,0)-IF(41&lt;Model!$B$15,Model!$B$22,0))/(1-Model!$B$9)/(1+Model!$B$18)^41))</f>
        <v/>
      </c>
      <c r="BD82" s="7">
        <f>IF(A82="","",IF((A82+42)&gt;Model!$B$4,0,MAX(0,Model!$B$6-IF((A82+42)&gt;=Model!$B$11,Model!$B$20,0)-IF(42&lt;Model!$B$15,Model!$B$22,0))/(1-Model!$B$9)/(1+Model!$B$18)^42))</f>
        <v/>
      </c>
      <c r="BE82" s="7">
        <f>IF(A82="","",IF((A82+43)&gt;Model!$B$4,0,MAX(0,Model!$B$6-IF((A82+43)&gt;=Model!$B$11,Model!$B$20,0)-IF(43&lt;Model!$B$15,Model!$B$22,0))/(1-Model!$B$9)/(1+Model!$B$18)^43))</f>
        <v/>
      </c>
      <c r="BF82" s="7">
        <f>IF(A82="","",IF((A82+44)&gt;Model!$B$4,0,MAX(0,Model!$B$6-IF((A82+44)&gt;=Model!$B$11,Model!$B$20,0)-IF(44&lt;Model!$B$15,Model!$B$22,0))/(1-Model!$B$9)/(1+Model!$B$18)^44))</f>
        <v/>
      </c>
      <c r="BG82" s="7">
        <f>IF(A82="","",IF((A82+45)&gt;Model!$B$4,0,MAX(0,Model!$B$6-IF((A82+45)&gt;=Model!$B$11,Model!$B$20,0)-IF(45&lt;Model!$B$15,Model!$B$22,0))/(1-Model!$B$9)/(1+Model!$B$18)^45))</f>
        <v/>
      </c>
      <c r="BH82" s="7">
        <f>IF(A82="","",IF((A82+46)&gt;Model!$B$4,0,MAX(0,Model!$B$6-IF((A82+46)&gt;=Model!$B$11,Model!$B$20,0)-IF(46&lt;Model!$B$15,Model!$B$22,0))/(1-Model!$B$9)/(1+Model!$B$18)^46))</f>
        <v/>
      </c>
      <c r="BI82" s="7">
        <f>IF(A82="","",IF((A82+47)&gt;Model!$B$4,0,MAX(0,Model!$B$6-IF((A82+47)&gt;=Model!$B$11,Model!$B$20,0)-IF(47&lt;Model!$B$15,Model!$B$22,0))/(1-Model!$B$9)/(1+Model!$B$18)^47))</f>
        <v/>
      </c>
      <c r="BJ82" s="7">
        <f>IF(A82="","",IF((A82+48)&gt;Model!$B$4,0,MAX(0,Model!$B$6-IF((A82+48)&gt;=Model!$B$11,Model!$B$20,0)-IF(48&lt;Model!$B$15,Model!$B$22,0))/(1-Model!$B$9)/(1+Model!$B$18)^48))</f>
        <v/>
      </c>
      <c r="BK82" s="7">
        <f>IF(A82="","",IF((A82+49)&gt;Model!$B$4,0,MAX(0,Model!$B$6-IF((A82+49)&gt;=Model!$B$11,Model!$B$20,0)-IF(49&lt;Model!$B$15,Model!$B$22,0))/(1-Model!$B$9)/(1+Model!$B$18)^49))</f>
        <v/>
      </c>
      <c r="BL82" s="7">
        <f>IF(A82="","",IF((A82+50)&gt;Model!$B$4,0,MAX(0,Model!$B$6-IF((A82+50)&gt;=Model!$B$11,Model!$B$20,0)-IF(50&lt;Model!$B$15,Model!$B$22,0))/(1-Model!$B$9)/(1+Model!$B$18)^50))</f>
        <v/>
      </c>
      <c r="BM82" s="7">
        <f>IF(A82="","",IF((A82+51)&gt;Model!$B$4,0,MAX(0,Model!$B$6-IF((A82+51)&gt;=Model!$B$11,Model!$B$20,0)-IF(51&lt;Model!$B$15,Model!$B$22,0))/(1-Model!$B$9)/(1+Model!$B$18)^51))</f>
        <v/>
      </c>
      <c r="BN82" s="7">
        <f>IF(A82="","",IF((A82+52)&gt;Model!$B$4,0,MAX(0,Model!$B$6-IF((A82+52)&gt;=Model!$B$11,Model!$B$20,0)-IF(52&lt;Model!$B$15,Model!$B$22,0))/(1-Model!$B$9)/(1+Model!$B$18)^52))</f>
        <v/>
      </c>
      <c r="BO82" s="7">
        <f>IF(A82="","",IF((A82+53)&gt;Model!$B$4,0,MAX(0,Model!$B$6-IF((A82+53)&gt;=Model!$B$11,Model!$B$20,0)-IF(53&lt;Model!$B$15,Model!$B$22,0))/(1-Model!$B$9)/(1+Model!$B$18)^53))</f>
        <v/>
      </c>
      <c r="BP82" s="7">
        <f>IF(A82="","",IF((A82+54)&gt;Model!$B$4,0,MAX(0,Model!$B$6-IF((A82+54)&gt;=Model!$B$11,Model!$B$20,0)-IF(54&lt;Model!$B$15,Model!$B$22,0))/(1-Model!$B$9)/(1+Model!$B$18)^54))</f>
        <v/>
      </c>
      <c r="BQ82" s="7">
        <f>IF(A82="","",IF((A82+55)&gt;Model!$B$4,0,MAX(0,Model!$B$6-IF((A82+55)&gt;=Model!$B$11,Model!$B$20,0)-IF(55&lt;Model!$B$15,Model!$B$22,0))/(1-Model!$B$9)/(1+Model!$B$18)^55))</f>
        <v/>
      </c>
      <c r="BR82" s="7">
        <f>IF(A82="","",IF((A82+56)&gt;Model!$B$4,0,MAX(0,Model!$B$6-IF((A82+56)&gt;=Model!$B$11,Model!$B$20,0)-IF(56&lt;Model!$B$15,Model!$B$22,0))/(1-Model!$B$9)/(1+Model!$B$18)^56))</f>
        <v/>
      </c>
      <c r="BS82" s="7">
        <f>IF(A82="","",IF((A82+57)&gt;Model!$B$4,0,MAX(0,Model!$B$6-IF((A82+57)&gt;=Model!$B$11,Model!$B$20,0)-IF(57&lt;Model!$B$15,Model!$B$22,0))/(1-Model!$B$9)/(1+Model!$B$18)^57))</f>
        <v/>
      </c>
      <c r="BT82" s="7">
        <f>IF(A82="","",IF((A82+58)&gt;Model!$B$4,0,MAX(0,Model!$B$6-IF((A82+58)&gt;=Model!$B$11,Model!$B$20,0)-IF(58&lt;Model!$B$15,Model!$B$22,0))/(1-Model!$B$9)/(1+Model!$B$18)^58))</f>
        <v/>
      </c>
      <c r="BU82" s="7">
        <f>IF(A82="","",IF((A82+59)&gt;Model!$B$4,0,MAX(0,Model!$B$6-IF((A82+59)&gt;=Model!$B$11,Model!$B$20,0)-IF(59&lt;Model!$B$15,Model!$B$22,0))/(1-Model!$B$9)/(1+Model!$B$18)^59))</f>
        <v/>
      </c>
      <c r="BV82" s="7">
        <f>IF(A82="","",IF((A82+60)&gt;Model!$B$4,0,MAX(0,Model!$B$6-IF((A82+60)&gt;=Model!$B$11,Model!$B$20,0)-IF(60&lt;Model!$B$15,Model!$B$22,0))/(1-Model!$B$9)/(1+Model!$B$18)^60))</f>
        <v/>
      </c>
      <c r="BW82" s="7">
        <f>IF(A82="","",IF((A82+61)&gt;Model!$B$4,0,MAX(0,Model!$B$6-IF((A82+61)&gt;=Model!$B$11,Model!$B$20,0)-IF(61&lt;Model!$B$15,Model!$B$22,0))/(1-Model!$B$9)/(1+Model!$B$18)^61))</f>
        <v/>
      </c>
      <c r="BX82" s="7">
        <f>IF(A82="","",IF((A82+62)&gt;Model!$B$4,0,MAX(0,Model!$B$6-IF((A82+62)&gt;=Model!$B$11,Model!$B$20,0)-IF(62&lt;Model!$B$15,Model!$B$22,0))/(1-Model!$B$9)/(1+Model!$B$18)^62))</f>
        <v/>
      </c>
      <c r="BY82" s="7">
        <f>IF(A82="","",IF((A82+63)&gt;Model!$B$4,0,MAX(0,Model!$B$6-IF((A82+63)&gt;=Model!$B$11,Model!$B$20,0)-IF(63&lt;Model!$B$15,Model!$B$22,0))/(1-Model!$B$9)/(1+Model!$B$18)^63))</f>
        <v/>
      </c>
      <c r="BZ82" s="7">
        <f>IF(A82="","",IF((A82+64)&gt;Model!$B$4,0,MAX(0,Model!$B$6-IF((A82+64)&gt;=Model!$B$11,Model!$B$20,0)-IF(64&lt;Model!$B$15,Model!$B$22,0))/(1-Model!$B$9)/(1+Model!$B$18)^64))</f>
        <v/>
      </c>
      <c r="CA82" s="7">
        <f>IF(A82="","",IF((A82+65)&gt;Model!$B$4,0,MAX(0,Model!$B$6-IF((A82+65)&gt;=Model!$B$11,Model!$B$20,0)-IF(65&lt;Model!$B$15,Model!$B$22,0))/(1-Model!$B$9)/(1+Model!$B$18)^65))</f>
        <v/>
      </c>
      <c r="CB82" s="7">
        <f>IF(A82="","",IF((A82+66)&gt;Model!$B$4,0,MAX(0,Model!$B$6-IF((A82+66)&gt;=Model!$B$11,Model!$B$20,0)-IF(66&lt;Model!$B$15,Model!$B$22,0))/(1-Model!$B$9)/(1+Model!$B$18)^66))</f>
        <v/>
      </c>
      <c r="CC82" s="7">
        <f>IF(A82="","",IF((A82+67)&gt;Model!$B$4,0,MAX(0,Model!$B$6-IF((A82+67)&gt;=Model!$B$11,Model!$B$20,0)-IF(67&lt;Model!$B$15,Model!$B$22,0))/(1-Model!$B$9)/(1+Model!$B$18)^67))</f>
        <v/>
      </c>
      <c r="CD82" s="7">
        <f>IF(A82="","",IF((A82+68)&gt;Model!$B$4,0,MAX(0,Model!$B$6-IF((A82+68)&gt;=Model!$B$11,Model!$B$20,0)-IF(68&lt;Model!$B$15,Model!$B$22,0))/(1-Model!$B$9)/(1+Model!$B$18)^68))</f>
        <v/>
      </c>
      <c r="CE82" s="7">
        <f>IF(A82="","",IF((A82+69)&gt;Model!$B$4,0,MAX(0,Model!$B$6-IF((A82+69)&gt;=Model!$B$11,Model!$B$20,0)-IF(69&lt;Model!$B$15,Model!$B$22,0))/(1-Model!$B$9)/(1+Model!$B$18)^69))</f>
        <v/>
      </c>
      <c r="CF82" s="7">
        <f>IF(A82="","",IF((A82+70)&gt;Model!$B$4,0,MAX(0,Model!$B$6-IF((A82+70)&gt;=Model!$B$11,Model!$B$20,0)-IF(70&lt;Model!$B$15,Model!$B$22,0))/(1-Model!$B$9)/(1+Model!$B$18)^70))</f>
        <v/>
      </c>
      <c r="CG82" s="7">
        <f>IF(A82="","",IF((A82+71)&gt;Model!$B$4,0,MAX(0,Model!$B$6-IF((A82+71)&gt;=Model!$B$11,Model!$B$20,0)-IF(71&lt;Model!$B$15,Model!$B$22,0))/(1-Model!$B$9)/(1+Model!$B$18)^71))</f>
        <v/>
      </c>
      <c r="CH82" s="7">
        <f>IF(A82="","",IF((A82+72)&gt;Model!$B$4,0,MAX(0,Model!$B$6-IF((A82+72)&gt;=Model!$B$11,Model!$B$20,0)-IF(72&lt;Model!$B$15,Model!$B$22,0))/(1-Model!$B$9)/(1+Model!$B$18)^72))</f>
        <v/>
      </c>
      <c r="CI82" s="7">
        <f>IF(A82="","",IF((A82+73)&gt;Model!$B$4,0,MAX(0,Model!$B$6-IF((A82+73)&gt;=Model!$B$11,Model!$B$20,0)-IF(73&lt;Model!$B$15,Model!$B$22,0))/(1-Model!$B$9)/(1+Model!$B$18)^73))</f>
        <v/>
      </c>
      <c r="CJ82" s="7">
        <f>IF(A82="","",IF((A82+74)&gt;Model!$B$4,0,MAX(0,Model!$B$6-IF((A82+74)&gt;=Model!$B$11,Model!$B$20,0)-IF(74&lt;Model!$B$15,Model!$B$22,0))/(1-Model!$B$9)/(1+Model!$B$18)^74))</f>
        <v/>
      </c>
      <c r="CK82" s="7">
        <f>IF(A82="","",IF((A82+75)&gt;Model!$B$4,0,MAX(0,Model!$B$6-IF((A82+75)&gt;=Model!$B$11,Model!$B$20,0)-IF(75&lt;Model!$B$15,Model!$B$22,0))/(1-Model!$B$9)/(1+Model!$B$18)^75))</f>
        <v/>
      </c>
      <c r="CL82" s="7">
        <f>IF(A82="","",IF((A82+76)&gt;Model!$B$4,0,MAX(0,Model!$B$6-IF((A82+76)&gt;=Model!$B$11,Model!$B$20,0)-IF(76&lt;Model!$B$15,Model!$B$22,0))/(1-Model!$B$9)/(1+Model!$B$18)^76))</f>
        <v/>
      </c>
      <c r="CM82" s="7">
        <f>IF(A82="","",IF((A82+77)&gt;Model!$B$4,0,MAX(0,Model!$B$6-IF((A82+77)&gt;=Model!$B$11,Model!$B$20,0)-IF(77&lt;Model!$B$15,Model!$B$22,0))/(1-Model!$B$9)/(1+Model!$B$18)^77))</f>
        <v/>
      </c>
      <c r="CN82" s="7">
        <f>IF(A82="","",IF((A82+78)&gt;Model!$B$4,0,MAX(0,Model!$B$6-IF((A82+78)&gt;=Model!$B$11,Model!$B$20,0)-IF(78&lt;Model!$B$15,Model!$B$22,0))/(1-Model!$B$9)/(1+Model!$B$18)^78))</f>
        <v/>
      </c>
      <c r="CO82" s="7">
        <f>IF(A82="","",IF((A82+79)&gt;Model!$B$4,0,MAX(0,Model!$B$6-IF((A82+79)&gt;=Model!$B$11,Model!$B$20,0)-IF(79&lt;Model!$B$15,Model!$B$22,0))/(1-Model!$B$9)/(1+Model!$B$18)^79))</f>
        <v/>
      </c>
      <c r="CP82" s="7">
        <f>IF(A82="","",IF((A82+80)&gt;Model!$B$4,0,MAX(0,Model!$B$6-IF((A82+80)&gt;=Model!$B$11,Model!$B$20,0)-IF(80&lt;Model!$B$15,Model!$B$22,0))/(1-Model!$B$9)/(1+Model!$B$18)^80))</f>
        <v/>
      </c>
      <c r="CQ82" s="7">
        <f>IF(A82="","",IF((A82+81)&gt;Model!$B$4,0,MAX(0,Model!$B$6-IF((A82+81)&gt;=Model!$B$11,Model!$B$20,0)-IF(81&lt;Model!$B$15,Model!$B$22,0))/(1-Model!$B$9)/(1+Model!$B$18)^81))</f>
        <v/>
      </c>
      <c r="CR82" s="7">
        <f>IF(A82="","",IF((A82+82)&gt;Model!$B$4,0,MAX(0,Model!$B$6-IF((A82+82)&gt;=Model!$B$11,Model!$B$20,0)-IF(82&lt;Model!$B$15,Model!$B$22,0))/(1-Model!$B$9)/(1+Model!$B$18)^82))</f>
        <v/>
      </c>
      <c r="CS82" s="7">
        <f>IF(A82="","",IF((A82+83)&gt;Model!$B$4,0,MAX(0,Model!$B$6-IF((A82+83)&gt;=Model!$B$11,Model!$B$20,0)-IF(83&lt;Model!$B$15,Model!$B$22,0))/(1-Model!$B$9)/(1+Model!$B$18)^83))</f>
        <v/>
      </c>
      <c r="CT82" s="7">
        <f>IF(A82="","",IF((A82+84)&gt;Model!$B$4,0,MAX(0,Model!$B$6-IF((A82+84)&gt;=Model!$B$11,Model!$B$20,0)-IF(84&lt;Model!$B$15,Model!$B$22,0))/(1-Model!$B$9)/(1+Model!$B$18)^84))</f>
        <v/>
      </c>
      <c r="CU82" s="7">
        <f>IF(A82="","",IF((A82+85)&gt;Model!$B$4,0,MAX(0,Model!$B$6-IF((A82+85)&gt;=Model!$B$11,Model!$B$20,0)-IF(85&lt;Model!$B$15,Model!$B$22,0))/(1-Model!$B$9)/(1+Model!$B$18)^85))</f>
        <v/>
      </c>
      <c r="CV82" s="7">
        <f>IF(A82="","",IF((A82+86)&gt;Model!$B$4,0,MAX(0,Model!$B$6-IF((A82+86)&gt;=Model!$B$11,Model!$B$20,0)-IF(86&lt;Model!$B$15,Model!$B$22,0))/(1-Model!$B$9)/(1+Model!$B$18)^86))</f>
        <v/>
      </c>
      <c r="CW82" s="7">
        <f>IF(A82="","",IF((A82+87)&gt;Model!$B$4,0,MAX(0,Model!$B$6-IF((A82+87)&gt;=Model!$B$11,Model!$B$20,0)-IF(87&lt;Model!$B$15,Model!$B$22,0))/(1-Model!$B$9)/(1+Model!$B$18)^87))</f>
        <v/>
      </c>
      <c r="CX82" s="7">
        <f>IF(A82="","",IF((A82+88)&gt;Model!$B$4,0,MAX(0,Model!$B$6-IF((A82+88)&gt;=Model!$B$11,Model!$B$20,0)-IF(88&lt;Model!$B$15,Model!$B$22,0))/(1-Model!$B$9)/(1+Model!$B$18)^88))</f>
        <v/>
      </c>
      <c r="CY82" s="7">
        <f>IF(A82="","",IF((A82+89)&gt;Model!$B$4,0,MAX(0,Model!$B$6-IF((A82+89)&gt;=Model!$B$11,Model!$B$20,0)-IF(89&lt;Model!$B$15,Model!$B$22,0))/(1-Model!$B$9)/(1+Model!$B$18)^89))</f>
        <v/>
      </c>
      <c r="CZ82" s="7">
        <f>IF(A82="","",IF((A82+90)&gt;Model!$B$4,0,MAX(0,Model!$B$6-IF((A82+90)&gt;=Model!$B$11,Model!$B$20,0)-IF(90&lt;Model!$B$15,Model!$B$22,0))/(1-Model!$B$9)/(1+Model!$B$18)^90))</f>
        <v/>
      </c>
      <c r="DA82" s="7">
        <f>IF(A82="","",IF((A82+91)&gt;Model!$B$4,0,MAX(0,Model!$B$6-IF((A82+91)&gt;=Model!$B$11,Model!$B$20,0)-IF(91&lt;Model!$B$15,Model!$B$22,0))/(1-Model!$B$9)/(1+Model!$B$18)^91))</f>
        <v/>
      </c>
      <c r="DB82" s="7">
        <f>IF(A82="","",IF((A82+92)&gt;Model!$B$4,0,MAX(0,Model!$B$6-IF((A82+92)&gt;=Model!$B$11,Model!$B$20,0)-IF(92&lt;Model!$B$15,Model!$B$22,0))/(1-Model!$B$9)/(1+Model!$B$18)^92))</f>
        <v/>
      </c>
      <c r="DC82" s="7">
        <f>IF(A82="","",IF((A82+93)&gt;Model!$B$4,0,MAX(0,Model!$B$6-IF((A82+93)&gt;=Model!$B$11,Model!$B$20,0)-IF(93&lt;Model!$B$15,Model!$B$22,0))/(1-Model!$B$9)/(1+Model!$B$18)^93))</f>
        <v/>
      </c>
      <c r="DD82" s="7">
        <f>IF(A82="","",IF((A82+94)&gt;Model!$B$4,0,MAX(0,Model!$B$6-IF((A82+94)&gt;=Model!$B$11,Model!$B$20,0)-IF(94&lt;Model!$B$15,Model!$B$22,0))/(1-Model!$B$9)/(1+Model!$B$18)^94))</f>
        <v/>
      </c>
      <c r="DE82" s="7">
        <f>IF(A82="","",IF((A82+95)&gt;Model!$B$4,0,MAX(0,Model!$B$6-IF((A82+95)&gt;=Model!$B$11,Model!$B$20,0)-IF(95&lt;Model!$B$15,Model!$B$22,0))/(1-Model!$B$9)/(1+Model!$B$18)^95))</f>
        <v/>
      </c>
      <c r="DF82" s="7">
        <f>IF(A82="","",IF((A82+96)&gt;Model!$B$4,0,MAX(0,Model!$B$6-IF((A82+96)&gt;=Model!$B$11,Model!$B$20,0)-IF(96&lt;Model!$B$15,Model!$B$22,0))/(1-Model!$B$9)/(1+Model!$B$18)^96))</f>
        <v/>
      </c>
      <c r="DG82" s="7">
        <f>IF(A82="","",IF((A82+97)&gt;Model!$B$4,0,MAX(0,Model!$B$6-IF((A82+97)&gt;=Model!$B$11,Model!$B$20,0)-IF(97&lt;Model!$B$15,Model!$B$22,0))/(1-Model!$B$9)/(1+Model!$B$18)^97))</f>
        <v/>
      </c>
      <c r="DH82" s="7">
        <f>IF(A82="","",IF((A82+98)&gt;Model!$B$4,0,MAX(0,Model!$B$6-IF((A82+98)&gt;=Model!$B$11,Model!$B$20,0)-IF(98&lt;Model!$B$15,Model!$B$22,0))/(1-Model!$B$9)/(1+Model!$B$18)^98))</f>
        <v/>
      </c>
      <c r="DI82" s="7">
        <f>IF(A82="","",IF((A82+99)&gt;Model!$B$4,0,MAX(0,Model!$B$6-IF((A82+99)&gt;=Model!$B$11,Model!$B$20,0)-IF(99&lt;Model!$B$15,Model!$B$22,0))/(1-Model!$B$9)/(1+Model!$B$18)^99))</f>
        <v/>
      </c>
      <c r="DJ82" s="7">
        <f>IF(A82="","",IF((A82+100)&gt;Model!$B$4,0,MAX(0,Model!$B$6-IF((A82+100)&gt;=Model!$B$11,Model!$B$20,0)-IF(100&lt;Model!$B$15,Model!$B$22,0))/(1-Model!$B$9)/(1+Model!$B$18)^100))</f>
        <v/>
      </c>
      <c r="DK82" s="7">
        <f>IF(A82="","",IF((A82+101)&gt;Model!$B$4,0,MAX(0,Model!$B$6-IF((A82+101)&gt;=Model!$B$11,Model!$B$20,0)-IF(101&lt;Model!$B$15,Model!$B$22,0))/(1-Model!$B$9)/(1+Model!$B$18)^101))</f>
        <v/>
      </c>
      <c r="DL82" s="7">
        <f>IF(A82="","",IF((A82+102)&gt;Model!$B$4,0,MAX(0,Model!$B$6-IF((A82+102)&gt;=Model!$B$11,Model!$B$20,0)-IF(102&lt;Model!$B$15,Model!$B$22,0))/(1-Model!$B$9)/(1+Model!$B$18)^102))</f>
        <v/>
      </c>
      <c r="DM82" s="7">
        <f>IF(A82="","",IF((A82+103)&gt;Model!$B$4,0,MAX(0,Model!$B$6-IF((A82+103)&gt;=Model!$B$11,Model!$B$20,0)-IF(103&lt;Model!$B$15,Model!$B$22,0))/(1-Model!$B$9)/(1+Model!$B$18)^103))</f>
        <v/>
      </c>
      <c r="DN82" s="7">
        <f>IF(A82="","",IF((A82+104)&gt;Model!$B$4,0,MAX(0,Model!$B$6-IF((A82+104)&gt;=Model!$B$11,Model!$B$20,0)-IF(104&lt;Model!$B$15,Model!$B$22,0))/(1-Model!$B$9)/(1+Model!$B$18)^104))</f>
        <v/>
      </c>
      <c r="DO82" s="7">
        <f>IF(A82="","",IF((A82+105)&gt;Model!$B$4,0,MAX(0,Model!$B$6-IF((A82+105)&gt;=Model!$B$11,Model!$B$20,0)-IF(105&lt;Model!$B$15,Model!$B$22,0))/(1-Model!$B$9)/(1+Model!$B$18)^105))</f>
        <v/>
      </c>
      <c r="DP82" s="7">
        <f>IF(A82="","",IF((A82+106)&gt;Model!$B$4,0,MAX(0,Model!$B$6-IF((A82+106)&gt;=Model!$B$11,Model!$B$20,0)-IF(106&lt;Model!$B$15,Model!$B$22,0))/(1-Model!$B$9)/(1+Model!$B$18)^106))</f>
        <v/>
      </c>
      <c r="DQ82" s="7">
        <f>IF(A82="","",IF((A82+107)&gt;Model!$B$4,0,MAX(0,Model!$B$6-IF((A82+107)&gt;=Model!$B$11,Model!$B$20,0)-IF(107&lt;Model!$B$15,Model!$B$22,0))/(1-Model!$B$9)/(1+Model!$B$18)^107))</f>
        <v/>
      </c>
      <c r="DR82" s="7">
        <f>IF(A82="","",IF((A82+108)&gt;Model!$B$4,0,MAX(0,Model!$B$6-IF((A82+108)&gt;=Model!$B$11,Model!$B$20,0)-IF(108&lt;Model!$B$15,Model!$B$22,0))/(1-Model!$B$9)/(1+Model!$B$18)^108))</f>
        <v/>
      </c>
      <c r="DS82" s="7">
        <f>IF(A82="","",IF((A82+109)&gt;Model!$B$4,0,MAX(0,Model!$B$6-IF((A82+109)&gt;=Model!$B$11,Model!$B$20,0)-IF(109&lt;Model!$B$15,Model!$B$22,0))/(1-Model!$B$9)/(1+Model!$B$18)^109))</f>
        <v/>
      </c>
      <c r="DT82" s="7">
        <f>IF(A82="","",IF((A82+110)&gt;Model!$B$4,0,MAX(0,Model!$B$6-IF((A82+110)&gt;=Model!$B$11,Model!$B$20,0)-IF(110&lt;Model!$B$15,Model!$B$22,0))/(1-Model!$B$9)/(1+Model!$B$18)^110))</f>
        <v/>
      </c>
      <c r="DU82" s="7">
        <f>IF(A82="","",IF((A82+111)&gt;Model!$B$4,0,MAX(0,Model!$B$6-IF((A82+111)&gt;=Model!$B$11,Model!$B$20,0)-IF(111&lt;Model!$B$15,Model!$B$22,0))/(1-Model!$B$9)/(1+Model!$B$18)^111))</f>
        <v/>
      </c>
      <c r="DV82" s="7">
        <f>IF(A82="","",IF((A82+112)&gt;Model!$B$4,0,MAX(0,Model!$B$6-IF((A82+112)&gt;=Model!$B$11,Model!$B$20,0)-IF(112&lt;Model!$B$15,Model!$B$22,0))/(1-Model!$B$9)/(1+Model!$B$18)^112))</f>
        <v/>
      </c>
      <c r="DW82" s="7">
        <f>IF(A82="","",IF((A82+113)&gt;Model!$B$4,0,MAX(0,Model!$B$6-IF((A82+113)&gt;=Model!$B$11,Model!$B$20,0)-IF(113&lt;Model!$B$15,Model!$B$22,0))/(1-Model!$B$9)/(1+Model!$B$18)^113))</f>
        <v/>
      </c>
      <c r="DX82" s="7">
        <f>IF(A82="","",IF((A82+114)&gt;Model!$B$4,0,MAX(0,Model!$B$6-IF((A82+114)&gt;=Model!$B$11,Model!$B$20,0)-IF(114&lt;Model!$B$15,Model!$B$22,0))/(1-Model!$B$9)/(1+Model!$B$18)^114))</f>
        <v/>
      </c>
      <c r="DY82" s="7">
        <f>IF(A82="","",IF((A82+115)&gt;Model!$B$4,0,MAX(0,Model!$B$6-IF((A82+115)&gt;=Model!$B$11,Model!$B$20,0)-IF(115&lt;Model!$B$15,Model!$B$22,0))/(1-Model!$B$9)/(1+Model!$B$18)^115))</f>
        <v/>
      </c>
      <c r="DZ82" s="7">
        <f>IF(A82="","",IF((A82+116)&gt;Model!$B$4,0,MAX(0,Model!$B$6-IF((A82+116)&gt;=Model!$B$11,Model!$B$20,0)-IF(116&lt;Model!$B$15,Model!$B$22,0))/(1-Model!$B$9)/(1+Model!$B$18)^116))</f>
        <v/>
      </c>
      <c r="EA82" s="7">
        <f>IF(A82="","",IF((A82+117)&gt;Model!$B$4,0,MAX(0,Model!$B$6-IF((A82+117)&gt;=Model!$B$11,Model!$B$20,0)-IF(117&lt;Model!$B$15,Model!$B$22,0))/(1-Model!$B$9)/(1+Model!$B$18)^117))</f>
        <v/>
      </c>
      <c r="EB82" s="7">
        <f>IF(A82="","",IF((A82+118)&gt;Model!$B$4,0,MAX(0,Model!$B$6-IF((A82+118)&gt;=Model!$B$11,Model!$B$20,0)-IF(118&lt;Model!$B$15,Model!$B$22,0))/(1-Model!$B$9)/(1+Model!$B$18)^118))</f>
        <v/>
      </c>
      <c r="EC82" s="7">
        <f>IF(A82="","",IF((A82+119)&gt;Model!$B$4,0,MAX(0,Model!$B$6-IF((A82+119)&gt;=Model!$B$11,Model!$B$20,0)-IF(119&lt;Model!$B$15,Model!$B$22,0))/(1-Model!$B$9)/(1+Model!$B$18)^119))</f>
        <v/>
      </c>
      <c r="ED82" s="7">
        <f>IF(A82="","",IF((A82+120)&gt;Model!$B$4,0,MAX(0,Model!$B$6-IF((A82+120)&gt;=Model!$B$11,Model!$B$20,0)-IF(120&lt;Model!$B$15,Model!$B$22,0))/(1-Model!$B$9)/(1+Model!$B$18)^120))</f>
        <v/>
      </c>
    </row>
    <row r="83">
      <c r="A83">
        <f>IF(Model!$B$10+ROW()-2&lt;=Model!$B$4,Model!$B$10+ROW()-2,"")</f>
        <v/>
      </c>
      <c r="B83">
        <f>IF(A83="","",A83-Model!$B$10)</f>
        <v/>
      </c>
      <c r="C83" s="7">
        <f>IF(A83="","",Model!$B$5*(1+Model!$B$18)^B83)</f>
        <v/>
      </c>
      <c r="D83" s="7">
        <f>IF(A83="","",SUM(N83:ED83))</f>
        <v/>
      </c>
      <c r="E83" s="7">
        <f>IF(A83="","",IF(A83&gt;=Model!$B$11,Model!$B$20,0))</f>
        <v/>
      </c>
      <c r="F83" s="7">
        <f>IF(A83="","",IF(Model!$B$15&gt;0,Model!$B$22,0))</f>
        <v/>
      </c>
      <c r="G83" s="7">
        <f>IF(A83="","",E83+F83)</f>
        <v/>
      </c>
      <c r="H83" s="7">
        <f>IF(A83="","",MAX(0,Model!$B$6-G83))</f>
        <v/>
      </c>
      <c r="I83" s="7">
        <f>IF(A83="","",H83/(1-Model!$B$9))</f>
        <v/>
      </c>
      <c r="J83" s="7">
        <f>IF(A83="","",C83-D83)</f>
        <v/>
      </c>
      <c r="K83">
        <f>IF(A83="","",C83&gt;=D83)</f>
        <v/>
      </c>
      <c r="L83" s="7">
        <f>IF(A83="","",IF(A83&gt;=Model!$B$11,Model!$B$19*(1+Model!$B$13)^B83,0))</f>
        <v/>
      </c>
      <c r="M83" s="7">
        <f>IF(A83="","",IF(Model!$B$15&gt;0,Model!$B$21*(1+Model!$B$13)^B83,0))</f>
        <v/>
      </c>
      <c r="N83" s="7">
        <f>IF(A83="","",IF((A83+0)&gt;Model!$B$4,0,MAX(0,Model!$B$6-IF((A83+0)&gt;=Model!$B$11,Model!$B$20,0)-IF(0&lt;Model!$B$15,Model!$B$22,0))/(1-Model!$B$9)/(1+Model!$B$18)^0))</f>
        <v/>
      </c>
      <c r="O83" s="7">
        <f>IF(A83="","",IF((A83+1)&gt;Model!$B$4,0,MAX(0,Model!$B$6-IF((A83+1)&gt;=Model!$B$11,Model!$B$20,0)-IF(1&lt;Model!$B$15,Model!$B$22,0))/(1-Model!$B$9)/(1+Model!$B$18)^1))</f>
        <v/>
      </c>
      <c r="P83" s="7">
        <f>IF(A83="","",IF((A83+2)&gt;Model!$B$4,0,MAX(0,Model!$B$6-IF((A83+2)&gt;=Model!$B$11,Model!$B$20,0)-IF(2&lt;Model!$B$15,Model!$B$22,0))/(1-Model!$B$9)/(1+Model!$B$18)^2))</f>
        <v/>
      </c>
      <c r="Q83" s="7">
        <f>IF(A83="","",IF((A83+3)&gt;Model!$B$4,0,MAX(0,Model!$B$6-IF((A83+3)&gt;=Model!$B$11,Model!$B$20,0)-IF(3&lt;Model!$B$15,Model!$B$22,0))/(1-Model!$B$9)/(1+Model!$B$18)^3))</f>
        <v/>
      </c>
      <c r="R83" s="7">
        <f>IF(A83="","",IF((A83+4)&gt;Model!$B$4,0,MAX(0,Model!$B$6-IF((A83+4)&gt;=Model!$B$11,Model!$B$20,0)-IF(4&lt;Model!$B$15,Model!$B$22,0))/(1-Model!$B$9)/(1+Model!$B$18)^4))</f>
        <v/>
      </c>
      <c r="S83" s="7">
        <f>IF(A83="","",IF((A83+5)&gt;Model!$B$4,0,MAX(0,Model!$B$6-IF((A83+5)&gt;=Model!$B$11,Model!$B$20,0)-IF(5&lt;Model!$B$15,Model!$B$22,0))/(1-Model!$B$9)/(1+Model!$B$18)^5))</f>
        <v/>
      </c>
      <c r="T83" s="7">
        <f>IF(A83="","",IF((A83+6)&gt;Model!$B$4,0,MAX(0,Model!$B$6-IF((A83+6)&gt;=Model!$B$11,Model!$B$20,0)-IF(6&lt;Model!$B$15,Model!$B$22,0))/(1-Model!$B$9)/(1+Model!$B$18)^6))</f>
        <v/>
      </c>
      <c r="U83" s="7">
        <f>IF(A83="","",IF((A83+7)&gt;Model!$B$4,0,MAX(0,Model!$B$6-IF((A83+7)&gt;=Model!$B$11,Model!$B$20,0)-IF(7&lt;Model!$B$15,Model!$B$22,0))/(1-Model!$B$9)/(1+Model!$B$18)^7))</f>
        <v/>
      </c>
      <c r="V83" s="7">
        <f>IF(A83="","",IF((A83+8)&gt;Model!$B$4,0,MAX(0,Model!$B$6-IF((A83+8)&gt;=Model!$B$11,Model!$B$20,0)-IF(8&lt;Model!$B$15,Model!$B$22,0))/(1-Model!$B$9)/(1+Model!$B$18)^8))</f>
        <v/>
      </c>
      <c r="W83" s="7">
        <f>IF(A83="","",IF((A83+9)&gt;Model!$B$4,0,MAX(0,Model!$B$6-IF((A83+9)&gt;=Model!$B$11,Model!$B$20,0)-IF(9&lt;Model!$B$15,Model!$B$22,0))/(1-Model!$B$9)/(1+Model!$B$18)^9))</f>
        <v/>
      </c>
      <c r="X83" s="7">
        <f>IF(A83="","",IF((A83+10)&gt;Model!$B$4,0,MAX(0,Model!$B$6-IF((A83+10)&gt;=Model!$B$11,Model!$B$20,0)-IF(10&lt;Model!$B$15,Model!$B$22,0))/(1-Model!$B$9)/(1+Model!$B$18)^10))</f>
        <v/>
      </c>
      <c r="Y83" s="7">
        <f>IF(A83="","",IF((A83+11)&gt;Model!$B$4,0,MAX(0,Model!$B$6-IF((A83+11)&gt;=Model!$B$11,Model!$B$20,0)-IF(11&lt;Model!$B$15,Model!$B$22,0))/(1-Model!$B$9)/(1+Model!$B$18)^11))</f>
        <v/>
      </c>
      <c r="Z83" s="7">
        <f>IF(A83="","",IF((A83+12)&gt;Model!$B$4,0,MAX(0,Model!$B$6-IF((A83+12)&gt;=Model!$B$11,Model!$B$20,0)-IF(12&lt;Model!$B$15,Model!$B$22,0))/(1-Model!$B$9)/(1+Model!$B$18)^12))</f>
        <v/>
      </c>
      <c r="AA83" s="7">
        <f>IF(A83="","",IF((A83+13)&gt;Model!$B$4,0,MAX(0,Model!$B$6-IF((A83+13)&gt;=Model!$B$11,Model!$B$20,0)-IF(13&lt;Model!$B$15,Model!$B$22,0))/(1-Model!$B$9)/(1+Model!$B$18)^13))</f>
        <v/>
      </c>
      <c r="AB83" s="7">
        <f>IF(A83="","",IF((A83+14)&gt;Model!$B$4,0,MAX(0,Model!$B$6-IF((A83+14)&gt;=Model!$B$11,Model!$B$20,0)-IF(14&lt;Model!$B$15,Model!$B$22,0))/(1-Model!$B$9)/(1+Model!$B$18)^14))</f>
        <v/>
      </c>
      <c r="AC83" s="7">
        <f>IF(A83="","",IF((A83+15)&gt;Model!$B$4,0,MAX(0,Model!$B$6-IF((A83+15)&gt;=Model!$B$11,Model!$B$20,0)-IF(15&lt;Model!$B$15,Model!$B$22,0))/(1-Model!$B$9)/(1+Model!$B$18)^15))</f>
        <v/>
      </c>
      <c r="AD83" s="7">
        <f>IF(A83="","",IF((A83+16)&gt;Model!$B$4,0,MAX(0,Model!$B$6-IF((A83+16)&gt;=Model!$B$11,Model!$B$20,0)-IF(16&lt;Model!$B$15,Model!$B$22,0))/(1-Model!$B$9)/(1+Model!$B$18)^16))</f>
        <v/>
      </c>
      <c r="AE83" s="7">
        <f>IF(A83="","",IF((A83+17)&gt;Model!$B$4,0,MAX(0,Model!$B$6-IF((A83+17)&gt;=Model!$B$11,Model!$B$20,0)-IF(17&lt;Model!$B$15,Model!$B$22,0))/(1-Model!$B$9)/(1+Model!$B$18)^17))</f>
        <v/>
      </c>
      <c r="AF83" s="7">
        <f>IF(A83="","",IF((A83+18)&gt;Model!$B$4,0,MAX(0,Model!$B$6-IF((A83+18)&gt;=Model!$B$11,Model!$B$20,0)-IF(18&lt;Model!$B$15,Model!$B$22,0))/(1-Model!$B$9)/(1+Model!$B$18)^18))</f>
        <v/>
      </c>
      <c r="AG83" s="7">
        <f>IF(A83="","",IF((A83+19)&gt;Model!$B$4,0,MAX(0,Model!$B$6-IF((A83+19)&gt;=Model!$B$11,Model!$B$20,0)-IF(19&lt;Model!$B$15,Model!$B$22,0))/(1-Model!$B$9)/(1+Model!$B$18)^19))</f>
        <v/>
      </c>
      <c r="AH83" s="7">
        <f>IF(A83="","",IF((A83+20)&gt;Model!$B$4,0,MAX(0,Model!$B$6-IF((A83+20)&gt;=Model!$B$11,Model!$B$20,0)-IF(20&lt;Model!$B$15,Model!$B$22,0))/(1-Model!$B$9)/(1+Model!$B$18)^20))</f>
        <v/>
      </c>
      <c r="AI83" s="7">
        <f>IF(A83="","",IF((A83+21)&gt;Model!$B$4,0,MAX(0,Model!$B$6-IF((A83+21)&gt;=Model!$B$11,Model!$B$20,0)-IF(21&lt;Model!$B$15,Model!$B$22,0))/(1-Model!$B$9)/(1+Model!$B$18)^21))</f>
        <v/>
      </c>
      <c r="AJ83" s="7">
        <f>IF(A83="","",IF((A83+22)&gt;Model!$B$4,0,MAX(0,Model!$B$6-IF((A83+22)&gt;=Model!$B$11,Model!$B$20,0)-IF(22&lt;Model!$B$15,Model!$B$22,0))/(1-Model!$B$9)/(1+Model!$B$18)^22))</f>
        <v/>
      </c>
      <c r="AK83" s="7">
        <f>IF(A83="","",IF((A83+23)&gt;Model!$B$4,0,MAX(0,Model!$B$6-IF((A83+23)&gt;=Model!$B$11,Model!$B$20,0)-IF(23&lt;Model!$B$15,Model!$B$22,0))/(1-Model!$B$9)/(1+Model!$B$18)^23))</f>
        <v/>
      </c>
      <c r="AL83" s="7">
        <f>IF(A83="","",IF((A83+24)&gt;Model!$B$4,0,MAX(0,Model!$B$6-IF((A83+24)&gt;=Model!$B$11,Model!$B$20,0)-IF(24&lt;Model!$B$15,Model!$B$22,0))/(1-Model!$B$9)/(1+Model!$B$18)^24))</f>
        <v/>
      </c>
      <c r="AM83" s="7">
        <f>IF(A83="","",IF((A83+25)&gt;Model!$B$4,0,MAX(0,Model!$B$6-IF((A83+25)&gt;=Model!$B$11,Model!$B$20,0)-IF(25&lt;Model!$B$15,Model!$B$22,0))/(1-Model!$B$9)/(1+Model!$B$18)^25))</f>
        <v/>
      </c>
      <c r="AN83" s="7">
        <f>IF(A83="","",IF((A83+26)&gt;Model!$B$4,0,MAX(0,Model!$B$6-IF((A83+26)&gt;=Model!$B$11,Model!$B$20,0)-IF(26&lt;Model!$B$15,Model!$B$22,0))/(1-Model!$B$9)/(1+Model!$B$18)^26))</f>
        <v/>
      </c>
      <c r="AO83" s="7">
        <f>IF(A83="","",IF((A83+27)&gt;Model!$B$4,0,MAX(0,Model!$B$6-IF((A83+27)&gt;=Model!$B$11,Model!$B$20,0)-IF(27&lt;Model!$B$15,Model!$B$22,0))/(1-Model!$B$9)/(1+Model!$B$18)^27))</f>
        <v/>
      </c>
      <c r="AP83" s="7">
        <f>IF(A83="","",IF((A83+28)&gt;Model!$B$4,0,MAX(0,Model!$B$6-IF((A83+28)&gt;=Model!$B$11,Model!$B$20,0)-IF(28&lt;Model!$B$15,Model!$B$22,0))/(1-Model!$B$9)/(1+Model!$B$18)^28))</f>
        <v/>
      </c>
      <c r="AQ83" s="7">
        <f>IF(A83="","",IF((A83+29)&gt;Model!$B$4,0,MAX(0,Model!$B$6-IF((A83+29)&gt;=Model!$B$11,Model!$B$20,0)-IF(29&lt;Model!$B$15,Model!$B$22,0))/(1-Model!$B$9)/(1+Model!$B$18)^29))</f>
        <v/>
      </c>
      <c r="AR83" s="7">
        <f>IF(A83="","",IF((A83+30)&gt;Model!$B$4,0,MAX(0,Model!$B$6-IF((A83+30)&gt;=Model!$B$11,Model!$B$20,0)-IF(30&lt;Model!$B$15,Model!$B$22,0))/(1-Model!$B$9)/(1+Model!$B$18)^30))</f>
        <v/>
      </c>
      <c r="AS83" s="7">
        <f>IF(A83="","",IF((A83+31)&gt;Model!$B$4,0,MAX(0,Model!$B$6-IF((A83+31)&gt;=Model!$B$11,Model!$B$20,0)-IF(31&lt;Model!$B$15,Model!$B$22,0))/(1-Model!$B$9)/(1+Model!$B$18)^31))</f>
        <v/>
      </c>
      <c r="AT83" s="7">
        <f>IF(A83="","",IF((A83+32)&gt;Model!$B$4,0,MAX(0,Model!$B$6-IF((A83+32)&gt;=Model!$B$11,Model!$B$20,0)-IF(32&lt;Model!$B$15,Model!$B$22,0))/(1-Model!$B$9)/(1+Model!$B$18)^32))</f>
        <v/>
      </c>
      <c r="AU83" s="7">
        <f>IF(A83="","",IF((A83+33)&gt;Model!$B$4,0,MAX(0,Model!$B$6-IF((A83+33)&gt;=Model!$B$11,Model!$B$20,0)-IF(33&lt;Model!$B$15,Model!$B$22,0))/(1-Model!$B$9)/(1+Model!$B$18)^33))</f>
        <v/>
      </c>
      <c r="AV83" s="7">
        <f>IF(A83="","",IF((A83+34)&gt;Model!$B$4,0,MAX(0,Model!$B$6-IF((A83+34)&gt;=Model!$B$11,Model!$B$20,0)-IF(34&lt;Model!$B$15,Model!$B$22,0))/(1-Model!$B$9)/(1+Model!$B$18)^34))</f>
        <v/>
      </c>
      <c r="AW83" s="7">
        <f>IF(A83="","",IF((A83+35)&gt;Model!$B$4,0,MAX(0,Model!$B$6-IF((A83+35)&gt;=Model!$B$11,Model!$B$20,0)-IF(35&lt;Model!$B$15,Model!$B$22,0))/(1-Model!$B$9)/(1+Model!$B$18)^35))</f>
        <v/>
      </c>
      <c r="AX83" s="7">
        <f>IF(A83="","",IF((A83+36)&gt;Model!$B$4,0,MAX(0,Model!$B$6-IF((A83+36)&gt;=Model!$B$11,Model!$B$20,0)-IF(36&lt;Model!$B$15,Model!$B$22,0))/(1-Model!$B$9)/(1+Model!$B$18)^36))</f>
        <v/>
      </c>
      <c r="AY83" s="7">
        <f>IF(A83="","",IF((A83+37)&gt;Model!$B$4,0,MAX(0,Model!$B$6-IF((A83+37)&gt;=Model!$B$11,Model!$B$20,0)-IF(37&lt;Model!$B$15,Model!$B$22,0))/(1-Model!$B$9)/(1+Model!$B$18)^37))</f>
        <v/>
      </c>
      <c r="AZ83" s="7">
        <f>IF(A83="","",IF((A83+38)&gt;Model!$B$4,0,MAX(0,Model!$B$6-IF((A83+38)&gt;=Model!$B$11,Model!$B$20,0)-IF(38&lt;Model!$B$15,Model!$B$22,0))/(1-Model!$B$9)/(1+Model!$B$18)^38))</f>
        <v/>
      </c>
      <c r="BA83" s="7">
        <f>IF(A83="","",IF((A83+39)&gt;Model!$B$4,0,MAX(0,Model!$B$6-IF((A83+39)&gt;=Model!$B$11,Model!$B$20,0)-IF(39&lt;Model!$B$15,Model!$B$22,0))/(1-Model!$B$9)/(1+Model!$B$18)^39))</f>
        <v/>
      </c>
      <c r="BB83" s="7">
        <f>IF(A83="","",IF((A83+40)&gt;Model!$B$4,0,MAX(0,Model!$B$6-IF((A83+40)&gt;=Model!$B$11,Model!$B$20,0)-IF(40&lt;Model!$B$15,Model!$B$22,0))/(1-Model!$B$9)/(1+Model!$B$18)^40))</f>
        <v/>
      </c>
      <c r="BC83" s="7">
        <f>IF(A83="","",IF((A83+41)&gt;Model!$B$4,0,MAX(0,Model!$B$6-IF((A83+41)&gt;=Model!$B$11,Model!$B$20,0)-IF(41&lt;Model!$B$15,Model!$B$22,0))/(1-Model!$B$9)/(1+Model!$B$18)^41))</f>
        <v/>
      </c>
      <c r="BD83" s="7">
        <f>IF(A83="","",IF((A83+42)&gt;Model!$B$4,0,MAX(0,Model!$B$6-IF((A83+42)&gt;=Model!$B$11,Model!$B$20,0)-IF(42&lt;Model!$B$15,Model!$B$22,0))/(1-Model!$B$9)/(1+Model!$B$18)^42))</f>
        <v/>
      </c>
      <c r="BE83" s="7">
        <f>IF(A83="","",IF((A83+43)&gt;Model!$B$4,0,MAX(0,Model!$B$6-IF((A83+43)&gt;=Model!$B$11,Model!$B$20,0)-IF(43&lt;Model!$B$15,Model!$B$22,0))/(1-Model!$B$9)/(1+Model!$B$18)^43))</f>
        <v/>
      </c>
      <c r="BF83" s="7">
        <f>IF(A83="","",IF((A83+44)&gt;Model!$B$4,0,MAX(0,Model!$B$6-IF((A83+44)&gt;=Model!$B$11,Model!$B$20,0)-IF(44&lt;Model!$B$15,Model!$B$22,0))/(1-Model!$B$9)/(1+Model!$B$18)^44))</f>
        <v/>
      </c>
      <c r="BG83" s="7">
        <f>IF(A83="","",IF((A83+45)&gt;Model!$B$4,0,MAX(0,Model!$B$6-IF((A83+45)&gt;=Model!$B$11,Model!$B$20,0)-IF(45&lt;Model!$B$15,Model!$B$22,0))/(1-Model!$B$9)/(1+Model!$B$18)^45))</f>
        <v/>
      </c>
      <c r="BH83" s="7">
        <f>IF(A83="","",IF((A83+46)&gt;Model!$B$4,0,MAX(0,Model!$B$6-IF((A83+46)&gt;=Model!$B$11,Model!$B$20,0)-IF(46&lt;Model!$B$15,Model!$B$22,0))/(1-Model!$B$9)/(1+Model!$B$18)^46))</f>
        <v/>
      </c>
      <c r="BI83" s="7">
        <f>IF(A83="","",IF((A83+47)&gt;Model!$B$4,0,MAX(0,Model!$B$6-IF((A83+47)&gt;=Model!$B$11,Model!$B$20,0)-IF(47&lt;Model!$B$15,Model!$B$22,0))/(1-Model!$B$9)/(1+Model!$B$18)^47))</f>
        <v/>
      </c>
      <c r="BJ83" s="7">
        <f>IF(A83="","",IF((A83+48)&gt;Model!$B$4,0,MAX(0,Model!$B$6-IF((A83+48)&gt;=Model!$B$11,Model!$B$20,0)-IF(48&lt;Model!$B$15,Model!$B$22,0))/(1-Model!$B$9)/(1+Model!$B$18)^48))</f>
        <v/>
      </c>
      <c r="BK83" s="7">
        <f>IF(A83="","",IF((A83+49)&gt;Model!$B$4,0,MAX(0,Model!$B$6-IF((A83+49)&gt;=Model!$B$11,Model!$B$20,0)-IF(49&lt;Model!$B$15,Model!$B$22,0))/(1-Model!$B$9)/(1+Model!$B$18)^49))</f>
        <v/>
      </c>
      <c r="BL83" s="7">
        <f>IF(A83="","",IF((A83+50)&gt;Model!$B$4,0,MAX(0,Model!$B$6-IF((A83+50)&gt;=Model!$B$11,Model!$B$20,0)-IF(50&lt;Model!$B$15,Model!$B$22,0))/(1-Model!$B$9)/(1+Model!$B$18)^50))</f>
        <v/>
      </c>
      <c r="BM83" s="7">
        <f>IF(A83="","",IF((A83+51)&gt;Model!$B$4,0,MAX(0,Model!$B$6-IF((A83+51)&gt;=Model!$B$11,Model!$B$20,0)-IF(51&lt;Model!$B$15,Model!$B$22,0))/(1-Model!$B$9)/(1+Model!$B$18)^51))</f>
        <v/>
      </c>
      <c r="BN83" s="7">
        <f>IF(A83="","",IF((A83+52)&gt;Model!$B$4,0,MAX(0,Model!$B$6-IF((A83+52)&gt;=Model!$B$11,Model!$B$20,0)-IF(52&lt;Model!$B$15,Model!$B$22,0))/(1-Model!$B$9)/(1+Model!$B$18)^52))</f>
        <v/>
      </c>
      <c r="BO83" s="7">
        <f>IF(A83="","",IF((A83+53)&gt;Model!$B$4,0,MAX(0,Model!$B$6-IF((A83+53)&gt;=Model!$B$11,Model!$B$20,0)-IF(53&lt;Model!$B$15,Model!$B$22,0))/(1-Model!$B$9)/(1+Model!$B$18)^53))</f>
        <v/>
      </c>
      <c r="BP83" s="7">
        <f>IF(A83="","",IF((A83+54)&gt;Model!$B$4,0,MAX(0,Model!$B$6-IF((A83+54)&gt;=Model!$B$11,Model!$B$20,0)-IF(54&lt;Model!$B$15,Model!$B$22,0))/(1-Model!$B$9)/(1+Model!$B$18)^54))</f>
        <v/>
      </c>
      <c r="BQ83" s="7">
        <f>IF(A83="","",IF((A83+55)&gt;Model!$B$4,0,MAX(0,Model!$B$6-IF((A83+55)&gt;=Model!$B$11,Model!$B$20,0)-IF(55&lt;Model!$B$15,Model!$B$22,0))/(1-Model!$B$9)/(1+Model!$B$18)^55))</f>
        <v/>
      </c>
      <c r="BR83" s="7">
        <f>IF(A83="","",IF((A83+56)&gt;Model!$B$4,0,MAX(0,Model!$B$6-IF((A83+56)&gt;=Model!$B$11,Model!$B$20,0)-IF(56&lt;Model!$B$15,Model!$B$22,0))/(1-Model!$B$9)/(1+Model!$B$18)^56))</f>
        <v/>
      </c>
      <c r="BS83" s="7">
        <f>IF(A83="","",IF((A83+57)&gt;Model!$B$4,0,MAX(0,Model!$B$6-IF((A83+57)&gt;=Model!$B$11,Model!$B$20,0)-IF(57&lt;Model!$B$15,Model!$B$22,0))/(1-Model!$B$9)/(1+Model!$B$18)^57))</f>
        <v/>
      </c>
      <c r="BT83" s="7">
        <f>IF(A83="","",IF((A83+58)&gt;Model!$B$4,0,MAX(0,Model!$B$6-IF((A83+58)&gt;=Model!$B$11,Model!$B$20,0)-IF(58&lt;Model!$B$15,Model!$B$22,0))/(1-Model!$B$9)/(1+Model!$B$18)^58))</f>
        <v/>
      </c>
      <c r="BU83" s="7">
        <f>IF(A83="","",IF((A83+59)&gt;Model!$B$4,0,MAX(0,Model!$B$6-IF((A83+59)&gt;=Model!$B$11,Model!$B$20,0)-IF(59&lt;Model!$B$15,Model!$B$22,0))/(1-Model!$B$9)/(1+Model!$B$18)^59))</f>
        <v/>
      </c>
      <c r="BV83" s="7">
        <f>IF(A83="","",IF((A83+60)&gt;Model!$B$4,0,MAX(0,Model!$B$6-IF((A83+60)&gt;=Model!$B$11,Model!$B$20,0)-IF(60&lt;Model!$B$15,Model!$B$22,0))/(1-Model!$B$9)/(1+Model!$B$18)^60))</f>
        <v/>
      </c>
      <c r="BW83" s="7">
        <f>IF(A83="","",IF((A83+61)&gt;Model!$B$4,0,MAX(0,Model!$B$6-IF((A83+61)&gt;=Model!$B$11,Model!$B$20,0)-IF(61&lt;Model!$B$15,Model!$B$22,0))/(1-Model!$B$9)/(1+Model!$B$18)^61))</f>
        <v/>
      </c>
      <c r="BX83" s="7">
        <f>IF(A83="","",IF((A83+62)&gt;Model!$B$4,0,MAX(0,Model!$B$6-IF((A83+62)&gt;=Model!$B$11,Model!$B$20,0)-IF(62&lt;Model!$B$15,Model!$B$22,0))/(1-Model!$B$9)/(1+Model!$B$18)^62))</f>
        <v/>
      </c>
      <c r="BY83" s="7">
        <f>IF(A83="","",IF((A83+63)&gt;Model!$B$4,0,MAX(0,Model!$B$6-IF((A83+63)&gt;=Model!$B$11,Model!$B$20,0)-IF(63&lt;Model!$B$15,Model!$B$22,0))/(1-Model!$B$9)/(1+Model!$B$18)^63))</f>
        <v/>
      </c>
      <c r="BZ83" s="7">
        <f>IF(A83="","",IF((A83+64)&gt;Model!$B$4,0,MAX(0,Model!$B$6-IF((A83+64)&gt;=Model!$B$11,Model!$B$20,0)-IF(64&lt;Model!$B$15,Model!$B$22,0))/(1-Model!$B$9)/(1+Model!$B$18)^64))</f>
        <v/>
      </c>
      <c r="CA83" s="7">
        <f>IF(A83="","",IF((A83+65)&gt;Model!$B$4,0,MAX(0,Model!$B$6-IF((A83+65)&gt;=Model!$B$11,Model!$B$20,0)-IF(65&lt;Model!$B$15,Model!$B$22,0))/(1-Model!$B$9)/(1+Model!$B$18)^65))</f>
        <v/>
      </c>
      <c r="CB83" s="7">
        <f>IF(A83="","",IF((A83+66)&gt;Model!$B$4,0,MAX(0,Model!$B$6-IF((A83+66)&gt;=Model!$B$11,Model!$B$20,0)-IF(66&lt;Model!$B$15,Model!$B$22,0))/(1-Model!$B$9)/(1+Model!$B$18)^66))</f>
        <v/>
      </c>
      <c r="CC83" s="7">
        <f>IF(A83="","",IF((A83+67)&gt;Model!$B$4,0,MAX(0,Model!$B$6-IF((A83+67)&gt;=Model!$B$11,Model!$B$20,0)-IF(67&lt;Model!$B$15,Model!$B$22,0))/(1-Model!$B$9)/(1+Model!$B$18)^67))</f>
        <v/>
      </c>
      <c r="CD83" s="7">
        <f>IF(A83="","",IF((A83+68)&gt;Model!$B$4,0,MAX(0,Model!$B$6-IF((A83+68)&gt;=Model!$B$11,Model!$B$20,0)-IF(68&lt;Model!$B$15,Model!$B$22,0))/(1-Model!$B$9)/(1+Model!$B$18)^68))</f>
        <v/>
      </c>
      <c r="CE83" s="7">
        <f>IF(A83="","",IF((A83+69)&gt;Model!$B$4,0,MAX(0,Model!$B$6-IF((A83+69)&gt;=Model!$B$11,Model!$B$20,0)-IF(69&lt;Model!$B$15,Model!$B$22,0))/(1-Model!$B$9)/(1+Model!$B$18)^69))</f>
        <v/>
      </c>
      <c r="CF83" s="7">
        <f>IF(A83="","",IF((A83+70)&gt;Model!$B$4,0,MAX(0,Model!$B$6-IF((A83+70)&gt;=Model!$B$11,Model!$B$20,0)-IF(70&lt;Model!$B$15,Model!$B$22,0))/(1-Model!$B$9)/(1+Model!$B$18)^70))</f>
        <v/>
      </c>
      <c r="CG83" s="7">
        <f>IF(A83="","",IF((A83+71)&gt;Model!$B$4,0,MAX(0,Model!$B$6-IF((A83+71)&gt;=Model!$B$11,Model!$B$20,0)-IF(71&lt;Model!$B$15,Model!$B$22,0))/(1-Model!$B$9)/(1+Model!$B$18)^71))</f>
        <v/>
      </c>
      <c r="CH83" s="7">
        <f>IF(A83="","",IF((A83+72)&gt;Model!$B$4,0,MAX(0,Model!$B$6-IF((A83+72)&gt;=Model!$B$11,Model!$B$20,0)-IF(72&lt;Model!$B$15,Model!$B$22,0))/(1-Model!$B$9)/(1+Model!$B$18)^72))</f>
        <v/>
      </c>
      <c r="CI83" s="7">
        <f>IF(A83="","",IF((A83+73)&gt;Model!$B$4,0,MAX(0,Model!$B$6-IF((A83+73)&gt;=Model!$B$11,Model!$B$20,0)-IF(73&lt;Model!$B$15,Model!$B$22,0))/(1-Model!$B$9)/(1+Model!$B$18)^73))</f>
        <v/>
      </c>
      <c r="CJ83" s="7">
        <f>IF(A83="","",IF((A83+74)&gt;Model!$B$4,0,MAX(0,Model!$B$6-IF((A83+74)&gt;=Model!$B$11,Model!$B$20,0)-IF(74&lt;Model!$B$15,Model!$B$22,0))/(1-Model!$B$9)/(1+Model!$B$18)^74))</f>
        <v/>
      </c>
      <c r="CK83" s="7">
        <f>IF(A83="","",IF((A83+75)&gt;Model!$B$4,0,MAX(0,Model!$B$6-IF((A83+75)&gt;=Model!$B$11,Model!$B$20,0)-IF(75&lt;Model!$B$15,Model!$B$22,0))/(1-Model!$B$9)/(1+Model!$B$18)^75))</f>
        <v/>
      </c>
      <c r="CL83" s="7">
        <f>IF(A83="","",IF((A83+76)&gt;Model!$B$4,0,MAX(0,Model!$B$6-IF((A83+76)&gt;=Model!$B$11,Model!$B$20,0)-IF(76&lt;Model!$B$15,Model!$B$22,0))/(1-Model!$B$9)/(1+Model!$B$18)^76))</f>
        <v/>
      </c>
      <c r="CM83" s="7">
        <f>IF(A83="","",IF((A83+77)&gt;Model!$B$4,0,MAX(0,Model!$B$6-IF((A83+77)&gt;=Model!$B$11,Model!$B$20,0)-IF(77&lt;Model!$B$15,Model!$B$22,0))/(1-Model!$B$9)/(1+Model!$B$18)^77))</f>
        <v/>
      </c>
      <c r="CN83" s="7">
        <f>IF(A83="","",IF((A83+78)&gt;Model!$B$4,0,MAX(0,Model!$B$6-IF((A83+78)&gt;=Model!$B$11,Model!$B$20,0)-IF(78&lt;Model!$B$15,Model!$B$22,0))/(1-Model!$B$9)/(1+Model!$B$18)^78))</f>
        <v/>
      </c>
      <c r="CO83" s="7">
        <f>IF(A83="","",IF((A83+79)&gt;Model!$B$4,0,MAX(0,Model!$B$6-IF((A83+79)&gt;=Model!$B$11,Model!$B$20,0)-IF(79&lt;Model!$B$15,Model!$B$22,0))/(1-Model!$B$9)/(1+Model!$B$18)^79))</f>
        <v/>
      </c>
      <c r="CP83" s="7">
        <f>IF(A83="","",IF((A83+80)&gt;Model!$B$4,0,MAX(0,Model!$B$6-IF((A83+80)&gt;=Model!$B$11,Model!$B$20,0)-IF(80&lt;Model!$B$15,Model!$B$22,0))/(1-Model!$B$9)/(1+Model!$B$18)^80))</f>
        <v/>
      </c>
      <c r="CQ83" s="7">
        <f>IF(A83="","",IF((A83+81)&gt;Model!$B$4,0,MAX(0,Model!$B$6-IF((A83+81)&gt;=Model!$B$11,Model!$B$20,0)-IF(81&lt;Model!$B$15,Model!$B$22,0))/(1-Model!$B$9)/(1+Model!$B$18)^81))</f>
        <v/>
      </c>
      <c r="CR83" s="7">
        <f>IF(A83="","",IF((A83+82)&gt;Model!$B$4,0,MAX(0,Model!$B$6-IF((A83+82)&gt;=Model!$B$11,Model!$B$20,0)-IF(82&lt;Model!$B$15,Model!$B$22,0))/(1-Model!$B$9)/(1+Model!$B$18)^82))</f>
        <v/>
      </c>
      <c r="CS83" s="7">
        <f>IF(A83="","",IF((A83+83)&gt;Model!$B$4,0,MAX(0,Model!$B$6-IF((A83+83)&gt;=Model!$B$11,Model!$B$20,0)-IF(83&lt;Model!$B$15,Model!$B$22,0))/(1-Model!$B$9)/(1+Model!$B$18)^83))</f>
        <v/>
      </c>
      <c r="CT83" s="7">
        <f>IF(A83="","",IF((A83+84)&gt;Model!$B$4,0,MAX(0,Model!$B$6-IF((A83+84)&gt;=Model!$B$11,Model!$B$20,0)-IF(84&lt;Model!$B$15,Model!$B$22,0))/(1-Model!$B$9)/(1+Model!$B$18)^84))</f>
        <v/>
      </c>
      <c r="CU83" s="7">
        <f>IF(A83="","",IF((A83+85)&gt;Model!$B$4,0,MAX(0,Model!$B$6-IF((A83+85)&gt;=Model!$B$11,Model!$B$20,0)-IF(85&lt;Model!$B$15,Model!$B$22,0))/(1-Model!$B$9)/(1+Model!$B$18)^85))</f>
        <v/>
      </c>
      <c r="CV83" s="7">
        <f>IF(A83="","",IF((A83+86)&gt;Model!$B$4,0,MAX(0,Model!$B$6-IF((A83+86)&gt;=Model!$B$11,Model!$B$20,0)-IF(86&lt;Model!$B$15,Model!$B$22,0))/(1-Model!$B$9)/(1+Model!$B$18)^86))</f>
        <v/>
      </c>
      <c r="CW83" s="7">
        <f>IF(A83="","",IF((A83+87)&gt;Model!$B$4,0,MAX(0,Model!$B$6-IF((A83+87)&gt;=Model!$B$11,Model!$B$20,0)-IF(87&lt;Model!$B$15,Model!$B$22,0))/(1-Model!$B$9)/(1+Model!$B$18)^87))</f>
        <v/>
      </c>
      <c r="CX83" s="7">
        <f>IF(A83="","",IF((A83+88)&gt;Model!$B$4,0,MAX(0,Model!$B$6-IF((A83+88)&gt;=Model!$B$11,Model!$B$20,0)-IF(88&lt;Model!$B$15,Model!$B$22,0))/(1-Model!$B$9)/(1+Model!$B$18)^88))</f>
        <v/>
      </c>
      <c r="CY83" s="7">
        <f>IF(A83="","",IF((A83+89)&gt;Model!$B$4,0,MAX(0,Model!$B$6-IF((A83+89)&gt;=Model!$B$11,Model!$B$20,0)-IF(89&lt;Model!$B$15,Model!$B$22,0))/(1-Model!$B$9)/(1+Model!$B$18)^89))</f>
        <v/>
      </c>
      <c r="CZ83" s="7">
        <f>IF(A83="","",IF((A83+90)&gt;Model!$B$4,0,MAX(0,Model!$B$6-IF((A83+90)&gt;=Model!$B$11,Model!$B$20,0)-IF(90&lt;Model!$B$15,Model!$B$22,0))/(1-Model!$B$9)/(1+Model!$B$18)^90))</f>
        <v/>
      </c>
      <c r="DA83" s="7">
        <f>IF(A83="","",IF((A83+91)&gt;Model!$B$4,0,MAX(0,Model!$B$6-IF((A83+91)&gt;=Model!$B$11,Model!$B$20,0)-IF(91&lt;Model!$B$15,Model!$B$22,0))/(1-Model!$B$9)/(1+Model!$B$18)^91))</f>
        <v/>
      </c>
      <c r="DB83" s="7">
        <f>IF(A83="","",IF((A83+92)&gt;Model!$B$4,0,MAX(0,Model!$B$6-IF((A83+92)&gt;=Model!$B$11,Model!$B$20,0)-IF(92&lt;Model!$B$15,Model!$B$22,0))/(1-Model!$B$9)/(1+Model!$B$18)^92))</f>
        <v/>
      </c>
      <c r="DC83" s="7">
        <f>IF(A83="","",IF((A83+93)&gt;Model!$B$4,0,MAX(0,Model!$B$6-IF((A83+93)&gt;=Model!$B$11,Model!$B$20,0)-IF(93&lt;Model!$B$15,Model!$B$22,0))/(1-Model!$B$9)/(1+Model!$B$18)^93))</f>
        <v/>
      </c>
      <c r="DD83" s="7">
        <f>IF(A83="","",IF((A83+94)&gt;Model!$B$4,0,MAX(0,Model!$B$6-IF((A83+94)&gt;=Model!$B$11,Model!$B$20,0)-IF(94&lt;Model!$B$15,Model!$B$22,0))/(1-Model!$B$9)/(1+Model!$B$18)^94))</f>
        <v/>
      </c>
      <c r="DE83" s="7">
        <f>IF(A83="","",IF((A83+95)&gt;Model!$B$4,0,MAX(0,Model!$B$6-IF((A83+95)&gt;=Model!$B$11,Model!$B$20,0)-IF(95&lt;Model!$B$15,Model!$B$22,0))/(1-Model!$B$9)/(1+Model!$B$18)^95))</f>
        <v/>
      </c>
      <c r="DF83" s="7">
        <f>IF(A83="","",IF((A83+96)&gt;Model!$B$4,0,MAX(0,Model!$B$6-IF((A83+96)&gt;=Model!$B$11,Model!$B$20,0)-IF(96&lt;Model!$B$15,Model!$B$22,0))/(1-Model!$B$9)/(1+Model!$B$18)^96))</f>
        <v/>
      </c>
      <c r="DG83" s="7">
        <f>IF(A83="","",IF((A83+97)&gt;Model!$B$4,0,MAX(0,Model!$B$6-IF((A83+97)&gt;=Model!$B$11,Model!$B$20,0)-IF(97&lt;Model!$B$15,Model!$B$22,0))/(1-Model!$B$9)/(1+Model!$B$18)^97))</f>
        <v/>
      </c>
      <c r="DH83" s="7">
        <f>IF(A83="","",IF((A83+98)&gt;Model!$B$4,0,MAX(0,Model!$B$6-IF((A83+98)&gt;=Model!$B$11,Model!$B$20,0)-IF(98&lt;Model!$B$15,Model!$B$22,0))/(1-Model!$B$9)/(1+Model!$B$18)^98))</f>
        <v/>
      </c>
      <c r="DI83" s="7">
        <f>IF(A83="","",IF((A83+99)&gt;Model!$B$4,0,MAX(0,Model!$B$6-IF((A83+99)&gt;=Model!$B$11,Model!$B$20,0)-IF(99&lt;Model!$B$15,Model!$B$22,0))/(1-Model!$B$9)/(1+Model!$B$18)^99))</f>
        <v/>
      </c>
      <c r="DJ83" s="7">
        <f>IF(A83="","",IF((A83+100)&gt;Model!$B$4,0,MAX(0,Model!$B$6-IF((A83+100)&gt;=Model!$B$11,Model!$B$20,0)-IF(100&lt;Model!$B$15,Model!$B$22,0))/(1-Model!$B$9)/(1+Model!$B$18)^100))</f>
        <v/>
      </c>
      <c r="DK83" s="7">
        <f>IF(A83="","",IF((A83+101)&gt;Model!$B$4,0,MAX(0,Model!$B$6-IF((A83+101)&gt;=Model!$B$11,Model!$B$20,0)-IF(101&lt;Model!$B$15,Model!$B$22,0))/(1-Model!$B$9)/(1+Model!$B$18)^101))</f>
        <v/>
      </c>
      <c r="DL83" s="7">
        <f>IF(A83="","",IF((A83+102)&gt;Model!$B$4,0,MAX(0,Model!$B$6-IF((A83+102)&gt;=Model!$B$11,Model!$B$20,0)-IF(102&lt;Model!$B$15,Model!$B$22,0))/(1-Model!$B$9)/(1+Model!$B$18)^102))</f>
        <v/>
      </c>
      <c r="DM83" s="7">
        <f>IF(A83="","",IF((A83+103)&gt;Model!$B$4,0,MAX(0,Model!$B$6-IF((A83+103)&gt;=Model!$B$11,Model!$B$20,0)-IF(103&lt;Model!$B$15,Model!$B$22,0))/(1-Model!$B$9)/(1+Model!$B$18)^103))</f>
        <v/>
      </c>
      <c r="DN83" s="7">
        <f>IF(A83="","",IF((A83+104)&gt;Model!$B$4,0,MAX(0,Model!$B$6-IF((A83+104)&gt;=Model!$B$11,Model!$B$20,0)-IF(104&lt;Model!$B$15,Model!$B$22,0))/(1-Model!$B$9)/(1+Model!$B$18)^104))</f>
        <v/>
      </c>
      <c r="DO83" s="7">
        <f>IF(A83="","",IF((A83+105)&gt;Model!$B$4,0,MAX(0,Model!$B$6-IF((A83+105)&gt;=Model!$B$11,Model!$B$20,0)-IF(105&lt;Model!$B$15,Model!$B$22,0))/(1-Model!$B$9)/(1+Model!$B$18)^105))</f>
        <v/>
      </c>
      <c r="DP83" s="7">
        <f>IF(A83="","",IF((A83+106)&gt;Model!$B$4,0,MAX(0,Model!$B$6-IF((A83+106)&gt;=Model!$B$11,Model!$B$20,0)-IF(106&lt;Model!$B$15,Model!$B$22,0))/(1-Model!$B$9)/(1+Model!$B$18)^106))</f>
        <v/>
      </c>
      <c r="DQ83" s="7">
        <f>IF(A83="","",IF((A83+107)&gt;Model!$B$4,0,MAX(0,Model!$B$6-IF((A83+107)&gt;=Model!$B$11,Model!$B$20,0)-IF(107&lt;Model!$B$15,Model!$B$22,0))/(1-Model!$B$9)/(1+Model!$B$18)^107))</f>
        <v/>
      </c>
      <c r="DR83" s="7">
        <f>IF(A83="","",IF((A83+108)&gt;Model!$B$4,0,MAX(0,Model!$B$6-IF((A83+108)&gt;=Model!$B$11,Model!$B$20,0)-IF(108&lt;Model!$B$15,Model!$B$22,0))/(1-Model!$B$9)/(1+Model!$B$18)^108))</f>
        <v/>
      </c>
      <c r="DS83" s="7">
        <f>IF(A83="","",IF((A83+109)&gt;Model!$B$4,0,MAX(0,Model!$B$6-IF((A83+109)&gt;=Model!$B$11,Model!$B$20,0)-IF(109&lt;Model!$B$15,Model!$B$22,0))/(1-Model!$B$9)/(1+Model!$B$18)^109))</f>
        <v/>
      </c>
      <c r="DT83" s="7">
        <f>IF(A83="","",IF((A83+110)&gt;Model!$B$4,0,MAX(0,Model!$B$6-IF((A83+110)&gt;=Model!$B$11,Model!$B$20,0)-IF(110&lt;Model!$B$15,Model!$B$22,0))/(1-Model!$B$9)/(1+Model!$B$18)^110))</f>
        <v/>
      </c>
      <c r="DU83" s="7">
        <f>IF(A83="","",IF((A83+111)&gt;Model!$B$4,0,MAX(0,Model!$B$6-IF((A83+111)&gt;=Model!$B$11,Model!$B$20,0)-IF(111&lt;Model!$B$15,Model!$B$22,0))/(1-Model!$B$9)/(1+Model!$B$18)^111))</f>
        <v/>
      </c>
      <c r="DV83" s="7">
        <f>IF(A83="","",IF((A83+112)&gt;Model!$B$4,0,MAX(0,Model!$B$6-IF((A83+112)&gt;=Model!$B$11,Model!$B$20,0)-IF(112&lt;Model!$B$15,Model!$B$22,0))/(1-Model!$B$9)/(1+Model!$B$18)^112))</f>
        <v/>
      </c>
      <c r="DW83" s="7">
        <f>IF(A83="","",IF((A83+113)&gt;Model!$B$4,0,MAX(0,Model!$B$6-IF((A83+113)&gt;=Model!$B$11,Model!$B$20,0)-IF(113&lt;Model!$B$15,Model!$B$22,0))/(1-Model!$B$9)/(1+Model!$B$18)^113))</f>
        <v/>
      </c>
      <c r="DX83" s="7">
        <f>IF(A83="","",IF((A83+114)&gt;Model!$B$4,0,MAX(0,Model!$B$6-IF((A83+114)&gt;=Model!$B$11,Model!$B$20,0)-IF(114&lt;Model!$B$15,Model!$B$22,0))/(1-Model!$B$9)/(1+Model!$B$18)^114))</f>
        <v/>
      </c>
      <c r="DY83" s="7">
        <f>IF(A83="","",IF((A83+115)&gt;Model!$B$4,0,MAX(0,Model!$B$6-IF((A83+115)&gt;=Model!$B$11,Model!$B$20,0)-IF(115&lt;Model!$B$15,Model!$B$22,0))/(1-Model!$B$9)/(1+Model!$B$18)^115))</f>
        <v/>
      </c>
      <c r="DZ83" s="7">
        <f>IF(A83="","",IF((A83+116)&gt;Model!$B$4,0,MAX(0,Model!$B$6-IF((A83+116)&gt;=Model!$B$11,Model!$B$20,0)-IF(116&lt;Model!$B$15,Model!$B$22,0))/(1-Model!$B$9)/(1+Model!$B$18)^116))</f>
        <v/>
      </c>
      <c r="EA83" s="7">
        <f>IF(A83="","",IF((A83+117)&gt;Model!$B$4,0,MAX(0,Model!$B$6-IF((A83+117)&gt;=Model!$B$11,Model!$B$20,0)-IF(117&lt;Model!$B$15,Model!$B$22,0))/(1-Model!$B$9)/(1+Model!$B$18)^117))</f>
        <v/>
      </c>
      <c r="EB83" s="7">
        <f>IF(A83="","",IF((A83+118)&gt;Model!$B$4,0,MAX(0,Model!$B$6-IF((A83+118)&gt;=Model!$B$11,Model!$B$20,0)-IF(118&lt;Model!$B$15,Model!$B$22,0))/(1-Model!$B$9)/(1+Model!$B$18)^118))</f>
        <v/>
      </c>
      <c r="EC83" s="7">
        <f>IF(A83="","",IF((A83+119)&gt;Model!$B$4,0,MAX(0,Model!$B$6-IF((A83+119)&gt;=Model!$B$11,Model!$B$20,0)-IF(119&lt;Model!$B$15,Model!$B$22,0))/(1-Model!$B$9)/(1+Model!$B$18)^119))</f>
        <v/>
      </c>
      <c r="ED83" s="7">
        <f>IF(A83="","",IF((A83+120)&gt;Model!$B$4,0,MAX(0,Model!$B$6-IF((A83+120)&gt;=Model!$B$11,Model!$B$20,0)-IF(120&lt;Model!$B$15,Model!$B$22,0))/(1-Model!$B$9)/(1+Model!$B$18)^120))</f>
        <v/>
      </c>
    </row>
    <row r="84">
      <c r="A84">
        <f>IF(Model!$B$10+ROW()-2&lt;=Model!$B$4,Model!$B$10+ROW()-2,"")</f>
        <v/>
      </c>
      <c r="B84">
        <f>IF(A84="","",A84-Model!$B$10)</f>
        <v/>
      </c>
      <c r="C84" s="7">
        <f>IF(A84="","",Model!$B$5*(1+Model!$B$18)^B84)</f>
        <v/>
      </c>
      <c r="D84" s="7">
        <f>IF(A84="","",SUM(N84:ED84))</f>
        <v/>
      </c>
      <c r="E84" s="7">
        <f>IF(A84="","",IF(A84&gt;=Model!$B$11,Model!$B$20,0))</f>
        <v/>
      </c>
      <c r="F84" s="7">
        <f>IF(A84="","",IF(Model!$B$15&gt;0,Model!$B$22,0))</f>
        <v/>
      </c>
      <c r="G84" s="7">
        <f>IF(A84="","",E84+F84)</f>
        <v/>
      </c>
      <c r="H84" s="7">
        <f>IF(A84="","",MAX(0,Model!$B$6-G84))</f>
        <v/>
      </c>
      <c r="I84" s="7">
        <f>IF(A84="","",H84/(1-Model!$B$9))</f>
        <v/>
      </c>
      <c r="J84" s="7">
        <f>IF(A84="","",C84-D84)</f>
        <v/>
      </c>
      <c r="K84">
        <f>IF(A84="","",C84&gt;=D84)</f>
        <v/>
      </c>
      <c r="L84" s="7">
        <f>IF(A84="","",IF(A84&gt;=Model!$B$11,Model!$B$19*(1+Model!$B$13)^B84,0))</f>
        <v/>
      </c>
      <c r="M84" s="7">
        <f>IF(A84="","",IF(Model!$B$15&gt;0,Model!$B$21*(1+Model!$B$13)^B84,0))</f>
        <v/>
      </c>
      <c r="N84" s="7">
        <f>IF(A84="","",IF((A84+0)&gt;Model!$B$4,0,MAX(0,Model!$B$6-IF((A84+0)&gt;=Model!$B$11,Model!$B$20,0)-IF(0&lt;Model!$B$15,Model!$B$22,0))/(1-Model!$B$9)/(1+Model!$B$18)^0))</f>
        <v/>
      </c>
      <c r="O84" s="7">
        <f>IF(A84="","",IF((A84+1)&gt;Model!$B$4,0,MAX(0,Model!$B$6-IF((A84+1)&gt;=Model!$B$11,Model!$B$20,0)-IF(1&lt;Model!$B$15,Model!$B$22,0))/(1-Model!$B$9)/(1+Model!$B$18)^1))</f>
        <v/>
      </c>
      <c r="P84" s="7">
        <f>IF(A84="","",IF((A84+2)&gt;Model!$B$4,0,MAX(0,Model!$B$6-IF((A84+2)&gt;=Model!$B$11,Model!$B$20,0)-IF(2&lt;Model!$B$15,Model!$B$22,0))/(1-Model!$B$9)/(1+Model!$B$18)^2))</f>
        <v/>
      </c>
      <c r="Q84" s="7">
        <f>IF(A84="","",IF((A84+3)&gt;Model!$B$4,0,MAX(0,Model!$B$6-IF((A84+3)&gt;=Model!$B$11,Model!$B$20,0)-IF(3&lt;Model!$B$15,Model!$B$22,0))/(1-Model!$B$9)/(1+Model!$B$18)^3))</f>
        <v/>
      </c>
      <c r="R84" s="7">
        <f>IF(A84="","",IF((A84+4)&gt;Model!$B$4,0,MAX(0,Model!$B$6-IF((A84+4)&gt;=Model!$B$11,Model!$B$20,0)-IF(4&lt;Model!$B$15,Model!$B$22,0))/(1-Model!$B$9)/(1+Model!$B$18)^4))</f>
        <v/>
      </c>
      <c r="S84" s="7">
        <f>IF(A84="","",IF((A84+5)&gt;Model!$B$4,0,MAX(0,Model!$B$6-IF((A84+5)&gt;=Model!$B$11,Model!$B$20,0)-IF(5&lt;Model!$B$15,Model!$B$22,0))/(1-Model!$B$9)/(1+Model!$B$18)^5))</f>
        <v/>
      </c>
      <c r="T84" s="7">
        <f>IF(A84="","",IF((A84+6)&gt;Model!$B$4,0,MAX(0,Model!$B$6-IF((A84+6)&gt;=Model!$B$11,Model!$B$20,0)-IF(6&lt;Model!$B$15,Model!$B$22,0))/(1-Model!$B$9)/(1+Model!$B$18)^6))</f>
        <v/>
      </c>
      <c r="U84" s="7">
        <f>IF(A84="","",IF((A84+7)&gt;Model!$B$4,0,MAX(0,Model!$B$6-IF((A84+7)&gt;=Model!$B$11,Model!$B$20,0)-IF(7&lt;Model!$B$15,Model!$B$22,0))/(1-Model!$B$9)/(1+Model!$B$18)^7))</f>
        <v/>
      </c>
      <c r="V84" s="7">
        <f>IF(A84="","",IF((A84+8)&gt;Model!$B$4,0,MAX(0,Model!$B$6-IF((A84+8)&gt;=Model!$B$11,Model!$B$20,0)-IF(8&lt;Model!$B$15,Model!$B$22,0))/(1-Model!$B$9)/(1+Model!$B$18)^8))</f>
        <v/>
      </c>
      <c r="W84" s="7">
        <f>IF(A84="","",IF((A84+9)&gt;Model!$B$4,0,MAX(0,Model!$B$6-IF((A84+9)&gt;=Model!$B$11,Model!$B$20,0)-IF(9&lt;Model!$B$15,Model!$B$22,0))/(1-Model!$B$9)/(1+Model!$B$18)^9))</f>
        <v/>
      </c>
      <c r="X84" s="7">
        <f>IF(A84="","",IF((A84+10)&gt;Model!$B$4,0,MAX(0,Model!$B$6-IF((A84+10)&gt;=Model!$B$11,Model!$B$20,0)-IF(10&lt;Model!$B$15,Model!$B$22,0))/(1-Model!$B$9)/(1+Model!$B$18)^10))</f>
        <v/>
      </c>
      <c r="Y84" s="7">
        <f>IF(A84="","",IF((A84+11)&gt;Model!$B$4,0,MAX(0,Model!$B$6-IF((A84+11)&gt;=Model!$B$11,Model!$B$20,0)-IF(11&lt;Model!$B$15,Model!$B$22,0))/(1-Model!$B$9)/(1+Model!$B$18)^11))</f>
        <v/>
      </c>
      <c r="Z84" s="7">
        <f>IF(A84="","",IF((A84+12)&gt;Model!$B$4,0,MAX(0,Model!$B$6-IF((A84+12)&gt;=Model!$B$11,Model!$B$20,0)-IF(12&lt;Model!$B$15,Model!$B$22,0))/(1-Model!$B$9)/(1+Model!$B$18)^12))</f>
        <v/>
      </c>
      <c r="AA84" s="7">
        <f>IF(A84="","",IF((A84+13)&gt;Model!$B$4,0,MAX(0,Model!$B$6-IF((A84+13)&gt;=Model!$B$11,Model!$B$20,0)-IF(13&lt;Model!$B$15,Model!$B$22,0))/(1-Model!$B$9)/(1+Model!$B$18)^13))</f>
        <v/>
      </c>
      <c r="AB84" s="7">
        <f>IF(A84="","",IF((A84+14)&gt;Model!$B$4,0,MAX(0,Model!$B$6-IF((A84+14)&gt;=Model!$B$11,Model!$B$20,0)-IF(14&lt;Model!$B$15,Model!$B$22,0))/(1-Model!$B$9)/(1+Model!$B$18)^14))</f>
        <v/>
      </c>
      <c r="AC84" s="7">
        <f>IF(A84="","",IF((A84+15)&gt;Model!$B$4,0,MAX(0,Model!$B$6-IF((A84+15)&gt;=Model!$B$11,Model!$B$20,0)-IF(15&lt;Model!$B$15,Model!$B$22,0))/(1-Model!$B$9)/(1+Model!$B$18)^15))</f>
        <v/>
      </c>
      <c r="AD84" s="7">
        <f>IF(A84="","",IF((A84+16)&gt;Model!$B$4,0,MAX(0,Model!$B$6-IF((A84+16)&gt;=Model!$B$11,Model!$B$20,0)-IF(16&lt;Model!$B$15,Model!$B$22,0))/(1-Model!$B$9)/(1+Model!$B$18)^16))</f>
        <v/>
      </c>
      <c r="AE84" s="7">
        <f>IF(A84="","",IF((A84+17)&gt;Model!$B$4,0,MAX(0,Model!$B$6-IF((A84+17)&gt;=Model!$B$11,Model!$B$20,0)-IF(17&lt;Model!$B$15,Model!$B$22,0))/(1-Model!$B$9)/(1+Model!$B$18)^17))</f>
        <v/>
      </c>
      <c r="AF84" s="7">
        <f>IF(A84="","",IF((A84+18)&gt;Model!$B$4,0,MAX(0,Model!$B$6-IF((A84+18)&gt;=Model!$B$11,Model!$B$20,0)-IF(18&lt;Model!$B$15,Model!$B$22,0))/(1-Model!$B$9)/(1+Model!$B$18)^18))</f>
        <v/>
      </c>
      <c r="AG84" s="7">
        <f>IF(A84="","",IF((A84+19)&gt;Model!$B$4,0,MAX(0,Model!$B$6-IF((A84+19)&gt;=Model!$B$11,Model!$B$20,0)-IF(19&lt;Model!$B$15,Model!$B$22,0))/(1-Model!$B$9)/(1+Model!$B$18)^19))</f>
        <v/>
      </c>
      <c r="AH84" s="7">
        <f>IF(A84="","",IF((A84+20)&gt;Model!$B$4,0,MAX(0,Model!$B$6-IF((A84+20)&gt;=Model!$B$11,Model!$B$20,0)-IF(20&lt;Model!$B$15,Model!$B$22,0))/(1-Model!$B$9)/(1+Model!$B$18)^20))</f>
        <v/>
      </c>
      <c r="AI84" s="7">
        <f>IF(A84="","",IF((A84+21)&gt;Model!$B$4,0,MAX(0,Model!$B$6-IF((A84+21)&gt;=Model!$B$11,Model!$B$20,0)-IF(21&lt;Model!$B$15,Model!$B$22,0))/(1-Model!$B$9)/(1+Model!$B$18)^21))</f>
        <v/>
      </c>
      <c r="AJ84" s="7">
        <f>IF(A84="","",IF((A84+22)&gt;Model!$B$4,0,MAX(0,Model!$B$6-IF((A84+22)&gt;=Model!$B$11,Model!$B$20,0)-IF(22&lt;Model!$B$15,Model!$B$22,0))/(1-Model!$B$9)/(1+Model!$B$18)^22))</f>
        <v/>
      </c>
      <c r="AK84" s="7">
        <f>IF(A84="","",IF((A84+23)&gt;Model!$B$4,0,MAX(0,Model!$B$6-IF((A84+23)&gt;=Model!$B$11,Model!$B$20,0)-IF(23&lt;Model!$B$15,Model!$B$22,0))/(1-Model!$B$9)/(1+Model!$B$18)^23))</f>
        <v/>
      </c>
      <c r="AL84" s="7">
        <f>IF(A84="","",IF((A84+24)&gt;Model!$B$4,0,MAX(0,Model!$B$6-IF((A84+24)&gt;=Model!$B$11,Model!$B$20,0)-IF(24&lt;Model!$B$15,Model!$B$22,0))/(1-Model!$B$9)/(1+Model!$B$18)^24))</f>
        <v/>
      </c>
      <c r="AM84" s="7">
        <f>IF(A84="","",IF((A84+25)&gt;Model!$B$4,0,MAX(0,Model!$B$6-IF((A84+25)&gt;=Model!$B$11,Model!$B$20,0)-IF(25&lt;Model!$B$15,Model!$B$22,0))/(1-Model!$B$9)/(1+Model!$B$18)^25))</f>
        <v/>
      </c>
      <c r="AN84" s="7">
        <f>IF(A84="","",IF((A84+26)&gt;Model!$B$4,0,MAX(0,Model!$B$6-IF((A84+26)&gt;=Model!$B$11,Model!$B$20,0)-IF(26&lt;Model!$B$15,Model!$B$22,0))/(1-Model!$B$9)/(1+Model!$B$18)^26))</f>
        <v/>
      </c>
      <c r="AO84" s="7">
        <f>IF(A84="","",IF((A84+27)&gt;Model!$B$4,0,MAX(0,Model!$B$6-IF((A84+27)&gt;=Model!$B$11,Model!$B$20,0)-IF(27&lt;Model!$B$15,Model!$B$22,0))/(1-Model!$B$9)/(1+Model!$B$18)^27))</f>
        <v/>
      </c>
      <c r="AP84" s="7">
        <f>IF(A84="","",IF((A84+28)&gt;Model!$B$4,0,MAX(0,Model!$B$6-IF((A84+28)&gt;=Model!$B$11,Model!$B$20,0)-IF(28&lt;Model!$B$15,Model!$B$22,0))/(1-Model!$B$9)/(1+Model!$B$18)^28))</f>
        <v/>
      </c>
      <c r="AQ84" s="7">
        <f>IF(A84="","",IF((A84+29)&gt;Model!$B$4,0,MAX(0,Model!$B$6-IF((A84+29)&gt;=Model!$B$11,Model!$B$20,0)-IF(29&lt;Model!$B$15,Model!$B$22,0))/(1-Model!$B$9)/(1+Model!$B$18)^29))</f>
        <v/>
      </c>
      <c r="AR84" s="7">
        <f>IF(A84="","",IF((A84+30)&gt;Model!$B$4,0,MAX(0,Model!$B$6-IF((A84+30)&gt;=Model!$B$11,Model!$B$20,0)-IF(30&lt;Model!$B$15,Model!$B$22,0))/(1-Model!$B$9)/(1+Model!$B$18)^30))</f>
        <v/>
      </c>
      <c r="AS84" s="7">
        <f>IF(A84="","",IF((A84+31)&gt;Model!$B$4,0,MAX(0,Model!$B$6-IF((A84+31)&gt;=Model!$B$11,Model!$B$20,0)-IF(31&lt;Model!$B$15,Model!$B$22,0))/(1-Model!$B$9)/(1+Model!$B$18)^31))</f>
        <v/>
      </c>
      <c r="AT84" s="7">
        <f>IF(A84="","",IF((A84+32)&gt;Model!$B$4,0,MAX(0,Model!$B$6-IF((A84+32)&gt;=Model!$B$11,Model!$B$20,0)-IF(32&lt;Model!$B$15,Model!$B$22,0))/(1-Model!$B$9)/(1+Model!$B$18)^32))</f>
        <v/>
      </c>
      <c r="AU84" s="7">
        <f>IF(A84="","",IF((A84+33)&gt;Model!$B$4,0,MAX(0,Model!$B$6-IF((A84+33)&gt;=Model!$B$11,Model!$B$20,0)-IF(33&lt;Model!$B$15,Model!$B$22,0))/(1-Model!$B$9)/(1+Model!$B$18)^33))</f>
        <v/>
      </c>
      <c r="AV84" s="7">
        <f>IF(A84="","",IF((A84+34)&gt;Model!$B$4,0,MAX(0,Model!$B$6-IF((A84+34)&gt;=Model!$B$11,Model!$B$20,0)-IF(34&lt;Model!$B$15,Model!$B$22,0))/(1-Model!$B$9)/(1+Model!$B$18)^34))</f>
        <v/>
      </c>
      <c r="AW84" s="7">
        <f>IF(A84="","",IF((A84+35)&gt;Model!$B$4,0,MAX(0,Model!$B$6-IF((A84+35)&gt;=Model!$B$11,Model!$B$20,0)-IF(35&lt;Model!$B$15,Model!$B$22,0))/(1-Model!$B$9)/(1+Model!$B$18)^35))</f>
        <v/>
      </c>
      <c r="AX84" s="7">
        <f>IF(A84="","",IF((A84+36)&gt;Model!$B$4,0,MAX(0,Model!$B$6-IF((A84+36)&gt;=Model!$B$11,Model!$B$20,0)-IF(36&lt;Model!$B$15,Model!$B$22,0))/(1-Model!$B$9)/(1+Model!$B$18)^36))</f>
        <v/>
      </c>
      <c r="AY84" s="7">
        <f>IF(A84="","",IF((A84+37)&gt;Model!$B$4,0,MAX(0,Model!$B$6-IF((A84+37)&gt;=Model!$B$11,Model!$B$20,0)-IF(37&lt;Model!$B$15,Model!$B$22,0))/(1-Model!$B$9)/(1+Model!$B$18)^37))</f>
        <v/>
      </c>
      <c r="AZ84" s="7">
        <f>IF(A84="","",IF((A84+38)&gt;Model!$B$4,0,MAX(0,Model!$B$6-IF((A84+38)&gt;=Model!$B$11,Model!$B$20,0)-IF(38&lt;Model!$B$15,Model!$B$22,0))/(1-Model!$B$9)/(1+Model!$B$18)^38))</f>
        <v/>
      </c>
      <c r="BA84" s="7">
        <f>IF(A84="","",IF((A84+39)&gt;Model!$B$4,0,MAX(0,Model!$B$6-IF((A84+39)&gt;=Model!$B$11,Model!$B$20,0)-IF(39&lt;Model!$B$15,Model!$B$22,0))/(1-Model!$B$9)/(1+Model!$B$18)^39))</f>
        <v/>
      </c>
      <c r="BB84" s="7">
        <f>IF(A84="","",IF((A84+40)&gt;Model!$B$4,0,MAX(0,Model!$B$6-IF((A84+40)&gt;=Model!$B$11,Model!$B$20,0)-IF(40&lt;Model!$B$15,Model!$B$22,0))/(1-Model!$B$9)/(1+Model!$B$18)^40))</f>
        <v/>
      </c>
      <c r="BC84" s="7">
        <f>IF(A84="","",IF((A84+41)&gt;Model!$B$4,0,MAX(0,Model!$B$6-IF((A84+41)&gt;=Model!$B$11,Model!$B$20,0)-IF(41&lt;Model!$B$15,Model!$B$22,0))/(1-Model!$B$9)/(1+Model!$B$18)^41))</f>
        <v/>
      </c>
      <c r="BD84" s="7">
        <f>IF(A84="","",IF((A84+42)&gt;Model!$B$4,0,MAX(0,Model!$B$6-IF((A84+42)&gt;=Model!$B$11,Model!$B$20,0)-IF(42&lt;Model!$B$15,Model!$B$22,0))/(1-Model!$B$9)/(1+Model!$B$18)^42))</f>
        <v/>
      </c>
      <c r="BE84" s="7">
        <f>IF(A84="","",IF((A84+43)&gt;Model!$B$4,0,MAX(0,Model!$B$6-IF((A84+43)&gt;=Model!$B$11,Model!$B$20,0)-IF(43&lt;Model!$B$15,Model!$B$22,0))/(1-Model!$B$9)/(1+Model!$B$18)^43))</f>
        <v/>
      </c>
      <c r="BF84" s="7">
        <f>IF(A84="","",IF((A84+44)&gt;Model!$B$4,0,MAX(0,Model!$B$6-IF((A84+44)&gt;=Model!$B$11,Model!$B$20,0)-IF(44&lt;Model!$B$15,Model!$B$22,0))/(1-Model!$B$9)/(1+Model!$B$18)^44))</f>
        <v/>
      </c>
      <c r="BG84" s="7">
        <f>IF(A84="","",IF((A84+45)&gt;Model!$B$4,0,MAX(0,Model!$B$6-IF((A84+45)&gt;=Model!$B$11,Model!$B$20,0)-IF(45&lt;Model!$B$15,Model!$B$22,0))/(1-Model!$B$9)/(1+Model!$B$18)^45))</f>
        <v/>
      </c>
      <c r="BH84" s="7">
        <f>IF(A84="","",IF((A84+46)&gt;Model!$B$4,0,MAX(0,Model!$B$6-IF((A84+46)&gt;=Model!$B$11,Model!$B$20,0)-IF(46&lt;Model!$B$15,Model!$B$22,0))/(1-Model!$B$9)/(1+Model!$B$18)^46))</f>
        <v/>
      </c>
      <c r="BI84" s="7">
        <f>IF(A84="","",IF((A84+47)&gt;Model!$B$4,0,MAX(0,Model!$B$6-IF((A84+47)&gt;=Model!$B$11,Model!$B$20,0)-IF(47&lt;Model!$B$15,Model!$B$22,0))/(1-Model!$B$9)/(1+Model!$B$18)^47))</f>
        <v/>
      </c>
      <c r="BJ84" s="7">
        <f>IF(A84="","",IF((A84+48)&gt;Model!$B$4,0,MAX(0,Model!$B$6-IF((A84+48)&gt;=Model!$B$11,Model!$B$20,0)-IF(48&lt;Model!$B$15,Model!$B$22,0))/(1-Model!$B$9)/(1+Model!$B$18)^48))</f>
        <v/>
      </c>
      <c r="BK84" s="7">
        <f>IF(A84="","",IF((A84+49)&gt;Model!$B$4,0,MAX(0,Model!$B$6-IF((A84+49)&gt;=Model!$B$11,Model!$B$20,0)-IF(49&lt;Model!$B$15,Model!$B$22,0))/(1-Model!$B$9)/(1+Model!$B$18)^49))</f>
        <v/>
      </c>
      <c r="BL84" s="7">
        <f>IF(A84="","",IF((A84+50)&gt;Model!$B$4,0,MAX(0,Model!$B$6-IF((A84+50)&gt;=Model!$B$11,Model!$B$20,0)-IF(50&lt;Model!$B$15,Model!$B$22,0))/(1-Model!$B$9)/(1+Model!$B$18)^50))</f>
        <v/>
      </c>
      <c r="BM84" s="7">
        <f>IF(A84="","",IF((A84+51)&gt;Model!$B$4,0,MAX(0,Model!$B$6-IF((A84+51)&gt;=Model!$B$11,Model!$B$20,0)-IF(51&lt;Model!$B$15,Model!$B$22,0))/(1-Model!$B$9)/(1+Model!$B$18)^51))</f>
        <v/>
      </c>
      <c r="BN84" s="7">
        <f>IF(A84="","",IF((A84+52)&gt;Model!$B$4,0,MAX(0,Model!$B$6-IF((A84+52)&gt;=Model!$B$11,Model!$B$20,0)-IF(52&lt;Model!$B$15,Model!$B$22,0))/(1-Model!$B$9)/(1+Model!$B$18)^52))</f>
        <v/>
      </c>
      <c r="BO84" s="7">
        <f>IF(A84="","",IF((A84+53)&gt;Model!$B$4,0,MAX(0,Model!$B$6-IF((A84+53)&gt;=Model!$B$11,Model!$B$20,0)-IF(53&lt;Model!$B$15,Model!$B$22,0))/(1-Model!$B$9)/(1+Model!$B$18)^53))</f>
        <v/>
      </c>
      <c r="BP84" s="7">
        <f>IF(A84="","",IF((A84+54)&gt;Model!$B$4,0,MAX(0,Model!$B$6-IF((A84+54)&gt;=Model!$B$11,Model!$B$20,0)-IF(54&lt;Model!$B$15,Model!$B$22,0))/(1-Model!$B$9)/(1+Model!$B$18)^54))</f>
        <v/>
      </c>
      <c r="BQ84" s="7">
        <f>IF(A84="","",IF((A84+55)&gt;Model!$B$4,0,MAX(0,Model!$B$6-IF((A84+55)&gt;=Model!$B$11,Model!$B$20,0)-IF(55&lt;Model!$B$15,Model!$B$22,0))/(1-Model!$B$9)/(1+Model!$B$18)^55))</f>
        <v/>
      </c>
      <c r="BR84" s="7">
        <f>IF(A84="","",IF((A84+56)&gt;Model!$B$4,0,MAX(0,Model!$B$6-IF((A84+56)&gt;=Model!$B$11,Model!$B$20,0)-IF(56&lt;Model!$B$15,Model!$B$22,0))/(1-Model!$B$9)/(1+Model!$B$18)^56))</f>
        <v/>
      </c>
      <c r="BS84" s="7">
        <f>IF(A84="","",IF((A84+57)&gt;Model!$B$4,0,MAX(0,Model!$B$6-IF((A84+57)&gt;=Model!$B$11,Model!$B$20,0)-IF(57&lt;Model!$B$15,Model!$B$22,0))/(1-Model!$B$9)/(1+Model!$B$18)^57))</f>
        <v/>
      </c>
      <c r="BT84" s="7">
        <f>IF(A84="","",IF((A84+58)&gt;Model!$B$4,0,MAX(0,Model!$B$6-IF((A84+58)&gt;=Model!$B$11,Model!$B$20,0)-IF(58&lt;Model!$B$15,Model!$B$22,0))/(1-Model!$B$9)/(1+Model!$B$18)^58))</f>
        <v/>
      </c>
      <c r="BU84" s="7">
        <f>IF(A84="","",IF((A84+59)&gt;Model!$B$4,0,MAX(0,Model!$B$6-IF((A84+59)&gt;=Model!$B$11,Model!$B$20,0)-IF(59&lt;Model!$B$15,Model!$B$22,0))/(1-Model!$B$9)/(1+Model!$B$18)^59))</f>
        <v/>
      </c>
      <c r="BV84" s="7">
        <f>IF(A84="","",IF((A84+60)&gt;Model!$B$4,0,MAX(0,Model!$B$6-IF((A84+60)&gt;=Model!$B$11,Model!$B$20,0)-IF(60&lt;Model!$B$15,Model!$B$22,0))/(1-Model!$B$9)/(1+Model!$B$18)^60))</f>
        <v/>
      </c>
      <c r="BW84" s="7">
        <f>IF(A84="","",IF((A84+61)&gt;Model!$B$4,0,MAX(0,Model!$B$6-IF((A84+61)&gt;=Model!$B$11,Model!$B$20,0)-IF(61&lt;Model!$B$15,Model!$B$22,0))/(1-Model!$B$9)/(1+Model!$B$18)^61))</f>
        <v/>
      </c>
      <c r="BX84" s="7">
        <f>IF(A84="","",IF((A84+62)&gt;Model!$B$4,0,MAX(0,Model!$B$6-IF((A84+62)&gt;=Model!$B$11,Model!$B$20,0)-IF(62&lt;Model!$B$15,Model!$B$22,0))/(1-Model!$B$9)/(1+Model!$B$18)^62))</f>
        <v/>
      </c>
      <c r="BY84" s="7">
        <f>IF(A84="","",IF((A84+63)&gt;Model!$B$4,0,MAX(0,Model!$B$6-IF((A84+63)&gt;=Model!$B$11,Model!$B$20,0)-IF(63&lt;Model!$B$15,Model!$B$22,0))/(1-Model!$B$9)/(1+Model!$B$18)^63))</f>
        <v/>
      </c>
      <c r="BZ84" s="7">
        <f>IF(A84="","",IF((A84+64)&gt;Model!$B$4,0,MAX(0,Model!$B$6-IF((A84+64)&gt;=Model!$B$11,Model!$B$20,0)-IF(64&lt;Model!$B$15,Model!$B$22,0))/(1-Model!$B$9)/(1+Model!$B$18)^64))</f>
        <v/>
      </c>
      <c r="CA84" s="7">
        <f>IF(A84="","",IF((A84+65)&gt;Model!$B$4,0,MAX(0,Model!$B$6-IF((A84+65)&gt;=Model!$B$11,Model!$B$20,0)-IF(65&lt;Model!$B$15,Model!$B$22,0))/(1-Model!$B$9)/(1+Model!$B$18)^65))</f>
        <v/>
      </c>
      <c r="CB84" s="7">
        <f>IF(A84="","",IF((A84+66)&gt;Model!$B$4,0,MAX(0,Model!$B$6-IF((A84+66)&gt;=Model!$B$11,Model!$B$20,0)-IF(66&lt;Model!$B$15,Model!$B$22,0))/(1-Model!$B$9)/(1+Model!$B$18)^66))</f>
        <v/>
      </c>
      <c r="CC84" s="7">
        <f>IF(A84="","",IF((A84+67)&gt;Model!$B$4,0,MAX(0,Model!$B$6-IF((A84+67)&gt;=Model!$B$11,Model!$B$20,0)-IF(67&lt;Model!$B$15,Model!$B$22,0))/(1-Model!$B$9)/(1+Model!$B$18)^67))</f>
        <v/>
      </c>
      <c r="CD84" s="7">
        <f>IF(A84="","",IF((A84+68)&gt;Model!$B$4,0,MAX(0,Model!$B$6-IF((A84+68)&gt;=Model!$B$11,Model!$B$20,0)-IF(68&lt;Model!$B$15,Model!$B$22,0))/(1-Model!$B$9)/(1+Model!$B$18)^68))</f>
        <v/>
      </c>
      <c r="CE84" s="7">
        <f>IF(A84="","",IF((A84+69)&gt;Model!$B$4,0,MAX(0,Model!$B$6-IF((A84+69)&gt;=Model!$B$11,Model!$B$20,0)-IF(69&lt;Model!$B$15,Model!$B$22,0))/(1-Model!$B$9)/(1+Model!$B$18)^69))</f>
        <v/>
      </c>
      <c r="CF84" s="7">
        <f>IF(A84="","",IF((A84+70)&gt;Model!$B$4,0,MAX(0,Model!$B$6-IF((A84+70)&gt;=Model!$B$11,Model!$B$20,0)-IF(70&lt;Model!$B$15,Model!$B$22,0))/(1-Model!$B$9)/(1+Model!$B$18)^70))</f>
        <v/>
      </c>
      <c r="CG84" s="7">
        <f>IF(A84="","",IF((A84+71)&gt;Model!$B$4,0,MAX(0,Model!$B$6-IF((A84+71)&gt;=Model!$B$11,Model!$B$20,0)-IF(71&lt;Model!$B$15,Model!$B$22,0))/(1-Model!$B$9)/(1+Model!$B$18)^71))</f>
        <v/>
      </c>
      <c r="CH84" s="7">
        <f>IF(A84="","",IF((A84+72)&gt;Model!$B$4,0,MAX(0,Model!$B$6-IF((A84+72)&gt;=Model!$B$11,Model!$B$20,0)-IF(72&lt;Model!$B$15,Model!$B$22,0))/(1-Model!$B$9)/(1+Model!$B$18)^72))</f>
        <v/>
      </c>
      <c r="CI84" s="7">
        <f>IF(A84="","",IF((A84+73)&gt;Model!$B$4,0,MAX(0,Model!$B$6-IF((A84+73)&gt;=Model!$B$11,Model!$B$20,0)-IF(73&lt;Model!$B$15,Model!$B$22,0))/(1-Model!$B$9)/(1+Model!$B$18)^73))</f>
        <v/>
      </c>
      <c r="CJ84" s="7">
        <f>IF(A84="","",IF((A84+74)&gt;Model!$B$4,0,MAX(0,Model!$B$6-IF((A84+74)&gt;=Model!$B$11,Model!$B$20,0)-IF(74&lt;Model!$B$15,Model!$B$22,0))/(1-Model!$B$9)/(1+Model!$B$18)^74))</f>
        <v/>
      </c>
      <c r="CK84" s="7">
        <f>IF(A84="","",IF((A84+75)&gt;Model!$B$4,0,MAX(0,Model!$B$6-IF((A84+75)&gt;=Model!$B$11,Model!$B$20,0)-IF(75&lt;Model!$B$15,Model!$B$22,0))/(1-Model!$B$9)/(1+Model!$B$18)^75))</f>
        <v/>
      </c>
      <c r="CL84" s="7">
        <f>IF(A84="","",IF((A84+76)&gt;Model!$B$4,0,MAX(0,Model!$B$6-IF((A84+76)&gt;=Model!$B$11,Model!$B$20,0)-IF(76&lt;Model!$B$15,Model!$B$22,0))/(1-Model!$B$9)/(1+Model!$B$18)^76))</f>
        <v/>
      </c>
      <c r="CM84" s="7">
        <f>IF(A84="","",IF((A84+77)&gt;Model!$B$4,0,MAX(0,Model!$B$6-IF((A84+77)&gt;=Model!$B$11,Model!$B$20,0)-IF(77&lt;Model!$B$15,Model!$B$22,0))/(1-Model!$B$9)/(1+Model!$B$18)^77))</f>
        <v/>
      </c>
      <c r="CN84" s="7">
        <f>IF(A84="","",IF((A84+78)&gt;Model!$B$4,0,MAX(0,Model!$B$6-IF((A84+78)&gt;=Model!$B$11,Model!$B$20,0)-IF(78&lt;Model!$B$15,Model!$B$22,0))/(1-Model!$B$9)/(1+Model!$B$18)^78))</f>
        <v/>
      </c>
      <c r="CO84" s="7">
        <f>IF(A84="","",IF((A84+79)&gt;Model!$B$4,0,MAX(0,Model!$B$6-IF((A84+79)&gt;=Model!$B$11,Model!$B$20,0)-IF(79&lt;Model!$B$15,Model!$B$22,0))/(1-Model!$B$9)/(1+Model!$B$18)^79))</f>
        <v/>
      </c>
      <c r="CP84" s="7">
        <f>IF(A84="","",IF((A84+80)&gt;Model!$B$4,0,MAX(0,Model!$B$6-IF((A84+80)&gt;=Model!$B$11,Model!$B$20,0)-IF(80&lt;Model!$B$15,Model!$B$22,0))/(1-Model!$B$9)/(1+Model!$B$18)^80))</f>
        <v/>
      </c>
      <c r="CQ84" s="7">
        <f>IF(A84="","",IF((A84+81)&gt;Model!$B$4,0,MAX(0,Model!$B$6-IF((A84+81)&gt;=Model!$B$11,Model!$B$20,0)-IF(81&lt;Model!$B$15,Model!$B$22,0))/(1-Model!$B$9)/(1+Model!$B$18)^81))</f>
        <v/>
      </c>
      <c r="CR84" s="7">
        <f>IF(A84="","",IF((A84+82)&gt;Model!$B$4,0,MAX(0,Model!$B$6-IF((A84+82)&gt;=Model!$B$11,Model!$B$20,0)-IF(82&lt;Model!$B$15,Model!$B$22,0))/(1-Model!$B$9)/(1+Model!$B$18)^82))</f>
        <v/>
      </c>
      <c r="CS84" s="7">
        <f>IF(A84="","",IF((A84+83)&gt;Model!$B$4,0,MAX(0,Model!$B$6-IF((A84+83)&gt;=Model!$B$11,Model!$B$20,0)-IF(83&lt;Model!$B$15,Model!$B$22,0))/(1-Model!$B$9)/(1+Model!$B$18)^83))</f>
        <v/>
      </c>
      <c r="CT84" s="7">
        <f>IF(A84="","",IF((A84+84)&gt;Model!$B$4,0,MAX(0,Model!$B$6-IF((A84+84)&gt;=Model!$B$11,Model!$B$20,0)-IF(84&lt;Model!$B$15,Model!$B$22,0))/(1-Model!$B$9)/(1+Model!$B$18)^84))</f>
        <v/>
      </c>
      <c r="CU84" s="7">
        <f>IF(A84="","",IF((A84+85)&gt;Model!$B$4,0,MAX(0,Model!$B$6-IF((A84+85)&gt;=Model!$B$11,Model!$B$20,0)-IF(85&lt;Model!$B$15,Model!$B$22,0))/(1-Model!$B$9)/(1+Model!$B$18)^85))</f>
        <v/>
      </c>
      <c r="CV84" s="7">
        <f>IF(A84="","",IF((A84+86)&gt;Model!$B$4,0,MAX(0,Model!$B$6-IF((A84+86)&gt;=Model!$B$11,Model!$B$20,0)-IF(86&lt;Model!$B$15,Model!$B$22,0))/(1-Model!$B$9)/(1+Model!$B$18)^86))</f>
        <v/>
      </c>
      <c r="CW84" s="7">
        <f>IF(A84="","",IF((A84+87)&gt;Model!$B$4,0,MAX(0,Model!$B$6-IF((A84+87)&gt;=Model!$B$11,Model!$B$20,0)-IF(87&lt;Model!$B$15,Model!$B$22,0))/(1-Model!$B$9)/(1+Model!$B$18)^87))</f>
        <v/>
      </c>
      <c r="CX84" s="7">
        <f>IF(A84="","",IF((A84+88)&gt;Model!$B$4,0,MAX(0,Model!$B$6-IF((A84+88)&gt;=Model!$B$11,Model!$B$20,0)-IF(88&lt;Model!$B$15,Model!$B$22,0))/(1-Model!$B$9)/(1+Model!$B$18)^88))</f>
        <v/>
      </c>
      <c r="CY84" s="7">
        <f>IF(A84="","",IF((A84+89)&gt;Model!$B$4,0,MAX(0,Model!$B$6-IF((A84+89)&gt;=Model!$B$11,Model!$B$20,0)-IF(89&lt;Model!$B$15,Model!$B$22,0))/(1-Model!$B$9)/(1+Model!$B$18)^89))</f>
        <v/>
      </c>
      <c r="CZ84" s="7">
        <f>IF(A84="","",IF((A84+90)&gt;Model!$B$4,0,MAX(0,Model!$B$6-IF((A84+90)&gt;=Model!$B$11,Model!$B$20,0)-IF(90&lt;Model!$B$15,Model!$B$22,0))/(1-Model!$B$9)/(1+Model!$B$18)^90))</f>
        <v/>
      </c>
      <c r="DA84" s="7">
        <f>IF(A84="","",IF((A84+91)&gt;Model!$B$4,0,MAX(0,Model!$B$6-IF((A84+91)&gt;=Model!$B$11,Model!$B$20,0)-IF(91&lt;Model!$B$15,Model!$B$22,0))/(1-Model!$B$9)/(1+Model!$B$18)^91))</f>
        <v/>
      </c>
      <c r="DB84" s="7">
        <f>IF(A84="","",IF((A84+92)&gt;Model!$B$4,0,MAX(0,Model!$B$6-IF((A84+92)&gt;=Model!$B$11,Model!$B$20,0)-IF(92&lt;Model!$B$15,Model!$B$22,0))/(1-Model!$B$9)/(1+Model!$B$18)^92))</f>
        <v/>
      </c>
      <c r="DC84" s="7">
        <f>IF(A84="","",IF((A84+93)&gt;Model!$B$4,0,MAX(0,Model!$B$6-IF((A84+93)&gt;=Model!$B$11,Model!$B$20,0)-IF(93&lt;Model!$B$15,Model!$B$22,0))/(1-Model!$B$9)/(1+Model!$B$18)^93))</f>
        <v/>
      </c>
      <c r="DD84" s="7">
        <f>IF(A84="","",IF((A84+94)&gt;Model!$B$4,0,MAX(0,Model!$B$6-IF((A84+94)&gt;=Model!$B$11,Model!$B$20,0)-IF(94&lt;Model!$B$15,Model!$B$22,0))/(1-Model!$B$9)/(1+Model!$B$18)^94))</f>
        <v/>
      </c>
      <c r="DE84" s="7">
        <f>IF(A84="","",IF((A84+95)&gt;Model!$B$4,0,MAX(0,Model!$B$6-IF((A84+95)&gt;=Model!$B$11,Model!$B$20,0)-IF(95&lt;Model!$B$15,Model!$B$22,0))/(1-Model!$B$9)/(1+Model!$B$18)^95))</f>
        <v/>
      </c>
      <c r="DF84" s="7">
        <f>IF(A84="","",IF((A84+96)&gt;Model!$B$4,0,MAX(0,Model!$B$6-IF((A84+96)&gt;=Model!$B$11,Model!$B$20,0)-IF(96&lt;Model!$B$15,Model!$B$22,0))/(1-Model!$B$9)/(1+Model!$B$18)^96))</f>
        <v/>
      </c>
      <c r="DG84" s="7">
        <f>IF(A84="","",IF((A84+97)&gt;Model!$B$4,0,MAX(0,Model!$B$6-IF((A84+97)&gt;=Model!$B$11,Model!$B$20,0)-IF(97&lt;Model!$B$15,Model!$B$22,0))/(1-Model!$B$9)/(1+Model!$B$18)^97))</f>
        <v/>
      </c>
      <c r="DH84" s="7">
        <f>IF(A84="","",IF((A84+98)&gt;Model!$B$4,0,MAX(0,Model!$B$6-IF((A84+98)&gt;=Model!$B$11,Model!$B$20,0)-IF(98&lt;Model!$B$15,Model!$B$22,0))/(1-Model!$B$9)/(1+Model!$B$18)^98))</f>
        <v/>
      </c>
      <c r="DI84" s="7">
        <f>IF(A84="","",IF((A84+99)&gt;Model!$B$4,0,MAX(0,Model!$B$6-IF((A84+99)&gt;=Model!$B$11,Model!$B$20,0)-IF(99&lt;Model!$B$15,Model!$B$22,0))/(1-Model!$B$9)/(1+Model!$B$18)^99))</f>
        <v/>
      </c>
      <c r="DJ84" s="7">
        <f>IF(A84="","",IF((A84+100)&gt;Model!$B$4,0,MAX(0,Model!$B$6-IF((A84+100)&gt;=Model!$B$11,Model!$B$20,0)-IF(100&lt;Model!$B$15,Model!$B$22,0))/(1-Model!$B$9)/(1+Model!$B$18)^100))</f>
        <v/>
      </c>
      <c r="DK84" s="7">
        <f>IF(A84="","",IF((A84+101)&gt;Model!$B$4,0,MAX(0,Model!$B$6-IF((A84+101)&gt;=Model!$B$11,Model!$B$20,0)-IF(101&lt;Model!$B$15,Model!$B$22,0))/(1-Model!$B$9)/(1+Model!$B$18)^101))</f>
        <v/>
      </c>
      <c r="DL84" s="7">
        <f>IF(A84="","",IF((A84+102)&gt;Model!$B$4,0,MAX(0,Model!$B$6-IF((A84+102)&gt;=Model!$B$11,Model!$B$20,0)-IF(102&lt;Model!$B$15,Model!$B$22,0))/(1-Model!$B$9)/(1+Model!$B$18)^102))</f>
        <v/>
      </c>
      <c r="DM84" s="7">
        <f>IF(A84="","",IF((A84+103)&gt;Model!$B$4,0,MAX(0,Model!$B$6-IF((A84+103)&gt;=Model!$B$11,Model!$B$20,0)-IF(103&lt;Model!$B$15,Model!$B$22,0))/(1-Model!$B$9)/(1+Model!$B$18)^103))</f>
        <v/>
      </c>
      <c r="DN84" s="7">
        <f>IF(A84="","",IF((A84+104)&gt;Model!$B$4,0,MAX(0,Model!$B$6-IF((A84+104)&gt;=Model!$B$11,Model!$B$20,0)-IF(104&lt;Model!$B$15,Model!$B$22,0))/(1-Model!$B$9)/(1+Model!$B$18)^104))</f>
        <v/>
      </c>
      <c r="DO84" s="7">
        <f>IF(A84="","",IF((A84+105)&gt;Model!$B$4,0,MAX(0,Model!$B$6-IF((A84+105)&gt;=Model!$B$11,Model!$B$20,0)-IF(105&lt;Model!$B$15,Model!$B$22,0))/(1-Model!$B$9)/(1+Model!$B$18)^105))</f>
        <v/>
      </c>
      <c r="DP84" s="7">
        <f>IF(A84="","",IF((A84+106)&gt;Model!$B$4,0,MAX(0,Model!$B$6-IF((A84+106)&gt;=Model!$B$11,Model!$B$20,0)-IF(106&lt;Model!$B$15,Model!$B$22,0))/(1-Model!$B$9)/(1+Model!$B$18)^106))</f>
        <v/>
      </c>
      <c r="DQ84" s="7">
        <f>IF(A84="","",IF((A84+107)&gt;Model!$B$4,0,MAX(0,Model!$B$6-IF((A84+107)&gt;=Model!$B$11,Model!$B$20,0)-IF(107&lt;Model!$B$15,Model!$B$22,0))/(1-Model!$B$9)/(1+Model!$B$18)^107))</f>
        <v/>
      </c>
      <c r="DR84" s="7">
        <f>IF(A84="","",IF((A84+108)&gt;Model!$B$4,0,MAX(0,Model!$B$6-IF((A84+108)&gt;=Model!$B$11,Model!$B$20,0)-IF(108&lt;Model!$B$15,Model!$B$22,0))/(1-Model!$B$9)/(1+Model!$B$18)^108))</f>
        <v/>
      </c>
      <c r="DS84" s="7">
        <f>IF(A84="","",IF((A84+109)&gt;Model!$B$4,0,MAX(0,Model!$B$6-IF((A84+109)&gt;=Model!$B$11,Model!$B$20,0)-IF(109&lt;Model!$B$15,Model!$B$22,0))/(1-Model!$B$9)/(1+Model!$B$18)^109))</f>
        <v/>
      </c>
      <c r="DT84" s="7">
        <f>IF(A84="","",IF((A84+110)&gt;Model!$B$4,0,MAX(0,Model!$B$6-IF((A84+110)&gt;=Model!$B$11,Model!$B$20,0)-IF(110&lt;Model!$B$15,Model!$B$22,0))/(1-Model!$B$9)/(1+Model!$B$18)^110))</f>
        <v/>
      </c>
      <c r="DU84" s="7">
        <f>IF(A84="","",IF((A84+111)&gt;Model!$B$4,0,MAX(0,Model!$B$6-IF((A84+111)&gt;=Model!$B$11,Model!$B$20,0)-IF(111&lt;Model!$B$15,Model!$B$22,0))/(1-Model!$B$9)/(1+Model!$B$18)^111))</f>
        <v/>
      </c>
      <c r="DV84" s="7">
        <f>IF(A84="","",IF((A84+112)&gt;Model!$B$4,0,MAX(0,Model!$B$6-IF((A84+112)&gt;=Model!$B$11,Model!$B$20,0)-IF(112&lt;Model!$B$15,Model!$B$22,0))/(1-Model!$B$9)/(1+Model!$B$18)^112))</f>
        <v/>
      </c>
      <c r="DW84" s="7">
        <f>IF(A84="","",IF((A84+113)&gt;Model!$B$4,0,MAX(0,Model!$B$6-IF((A84+113)&gt;=Model!$B$11,Model!$B$20,0)-IF(113&lt;Model!$B$15,Model!$B$22,0))/(1-Model!$B$9)/(1+Model!$B$18)^113))</f>
        <v/>
      </c>
      <c r="DX84" s="7">
        <f>IF(A84="","",IF((A84+114)&gt;Model!$B$4,0,MAX(0,Model!$B$6-IF((A84+114)&gt;=Model!$B$11,Model!$B$20,0)-IF(114&lt;Model!$B$15,Model!$B$22,0))/(1-Model!$B$9)/(1+Model!$B$18)^114))</f>
        <v/>
      </c>
      <c r="DY84" s="7">
        <f>IF(A84="","",IF((A84+115)&gt;Model!$B$4,0,MAX(0,Model!$B$6-IF((A84+115)&gt;=Model!$B$11,Model!$B$20,0)-IF(115&lt;Model!$B$15,Model!$B$22,0))/(1-Model!$B$9)/(1+Model!$B$18)^115))</f>
        <v/>
      </c>
      <c r="DZ84" s="7">
        <f>IF(A84="","",IF((A84+116)&gt;Model!$B$4,0,MAX(0,Model!$B$6-IF((A84+116)&gt;=Model!$B$11,Model!$B$20,0)-IF(116&lt;Model!$B$15,Model!$B$22,0))/(1-Model!$B$9)/(1+Model!$B$18)^116))</f>
        <v/>
      </c>
      <c r="EA84" s="7">
        <f>IF(A84="","",IF((A84+117)&gt;Model!$B$4,0,MAX(0,Model!$B$6-IF((A84+117)&gt;=Model!$B$11,Model!$B$20,0)-IF(117&lt;Model!$B$15,Model!$B$22,0))/(1-Model!$B$9)/(1+Model!$B$18)^117))</f>
        <v/>
      </c>
      <c r="EB84" s="7">
        <f>IF(A84="","",IF((A84+118)&gt;Model!$B$4,0,MAX(0,Model!$B$6-IF((A84+118)&gt;=Model!$B$11,Model!$B$20,0)-IF(118&lt;Model!$B$15,Model!$B$22,0))/(1-Model!$B$9)/(1+Model!$B$18)^118))</f>
        <v/>
      </c>
      <c r="EC84" s="7">
        <f>IF(A84="","",IF((A84+119)&gt;Model!$B$4,0,MAX(0,Model!$B$6-IF((A84+119)&gt;=Model!$B$11,Model!$B$20,0)-IF(119&lt;Model!$B$15,Model!$B$22,0))/(1-Model!$B$9)/(1+Model!$B$18)^119))</f>
        <v/>
      </c>
      <c r="ED84" s="7">
        <f>IF(A84="","",IF((A84+120)&gt;Model!$B$4,0,MAX(0,Model!$B$6-IF((A84+120)&gt;=Model!$B$11,Model!$B$20,0)-IF(120&lt;Model!$B$15,Model!$B$22,0))/(1-Model!$B$9)/(1+Model!$B$18)^120))</f>
        <v/>
      </c>
    </row>
    <row r="85">
      <c r="A85">
        <f>IF(Model!$B$10+ROW()-2&lt;=Model!$B$4,Model!$B$10+ROW()-2,"")</f>
        <v/>
      </c>
      <c r="B85">
        <f>IF(A85="","",A85-Model!$B$10)</f>
        <v/>
      </c>
      <c r="C85" s="7">
        <f>IF(A85="","",Model!$B$5*(1+Model!$B$18)^B85)</f>
        <v/>
      </c>
      <c r="D85" s="7">
        <f>IF(A85="","",SUM(N85:ED85))</f>
        <v/>
      </c>
      <c r="E85" s="7">
        <f>IF(A85="","",IF(A85&gt;=Model!$B$11,Model!$B$20,0))</f>
        <v/>
      </c>
      <c r="F85" s="7">
        <f>IF(A85="","",IF(Model!$B$15&gt;0,Model!$B$22,0))</f>
        <v/>
      </c>
      <c r="G85" s="7">
        <f>IF(A85="","",E85+F85)</f>
        <v/>
      </c>
      <c r="H85" s="7">
        <f>IF(A85="","",MAX(0,Model!$B$6-G85))</f>
        <v/>
      </c>
      <c r="I85" s="7">
        <f>IF(A85="","",H85/(1-Model!$B$9))</f>
        <v/>
      </c>
      <c r="J85" s="7">
        <f>IF(A85="","",C85-D85)</f>
        <v/>
      </c>
      <c r="K85">
        <f>IF(A85="","",C85&gt;=D85)</f>
        <v/>
      </c>
      <c r="L85" s="7">
        <f>IF(A85="","",IF(A85&gt;=Model!$B$11,Model!$B$19*(1+Model!$B$13)^B85,0))</f>
        <v/>
      </c>
      <c r="M85" s="7">
        <f>IF(A85="","",IF(Model!$B$15&gt;0,Model!$B$21*(1+Model!$B$13)^B85,0))</f>
        <v/>
      </c>
      <c r="N85" s="7">
        <f>IF(A85="","",IF((A85+0)&gt;Model!$B$4,0,MAX(0,Model!$B$6-IF((A85+0)&gt;=Model!$B$11,Model!$B$20,0)-IF(0&lt;Model!$B$15,Model!$B$22,0))/(1-Model!$B$9)/(1+Model!$B$18)^0))</f>
        <v/>
      </c>
      <c r="O85" s="7">
        <f>IF(A85="","",IF((A85+1)&gt;Model!$B$4,0,MAX(0,Model!$B$6-IF((A85+1)&gt;=Model!$B$11,Model!$B$20,0)-IF(1&lt;Model!$B$15,Model!$B$22,0))/(1-Model!$B$9)/(1+Model!$B$18)^1))</f>
        <v/>
      </c>
      <c r="P85" s="7">
        <f>IF(A85="","",IF((A85+2)&gt;Model!$B$4,0,MAX(0,Model!$B$6-IF((A85+2)&gt;=Model!$B$11,Model!$B$20,0)-IF(2&lt;Model!$B$15,Model!$B$22,0))/(1-Model!$B$9)/(1+Model!$B$18)^2))</f>
        <v/>
      </c>
      <c r="Q85" s="7">
        <f>IF(A85="","",IF((A85+3)&gt;Model!$B$4,0,MAX(0,Model!$B$6-IF((A85+3)&gt;=Model!$B$11,Model!$B$20,0)-IF(3&lt;Model!$B$15,Model!$B$22,0))/(1-Model!$B$9)/(1+Model!$B$18)^3))</f>
        <v/>
      </c>
      <c r="R85" s="7">
        <f>IF(A85="","",IF((A85+4)&gt;Model!$B$4,0,MAX(0,Model!$B$6-IF((A85+4)&gt;=Model!$B$11,Model!$B$20,0)-IF(4&lt;Model!$B$15,Model!$B$22,0))/(1-Model!$B$9)/(1+Model!$B$18)^4))</f>
        <v/>
      </c>
      <c r="S85" s="7">
        <f>IF(A85="","",IF((A85+5)&gt;Model!$B$4,0,MAX(0,Model!$B$6-IF((A85+5)&gt;=Model!$B$11,Model!$B$20,0)-IF(5&lt;Model!$B$15,Model!$B$22,0))/(1-Model!$B$9)/(1+Model!$B$18)^5))</f>
        <v/>
      </c>
      <c r="T85" s="7">
        <f>IF(A85="","",IF((A85+6)&gt;Model!$B$4,0,MAX(0,Model!$B$6-IF((A85+6)&gt;=Model!$B$11,Model!$B$20,0)-IF(6&lt;Model!$B$15,Model!$B$22,0))/(1-Model!$B$9)/(1+Model!$B$18)^6))</f>
        <v/>
      </c>
      <c r="U85" s="7">
        <f>IF(A85="","",IF((A85+7)&gt;Model!$B$4,0,MAX(0,Model!$B$6-IF((A85+7)&gt;=Model!$B$11,Model!$B$20,0)-IF(7&lt;Model!$B$15,Model!$B$22,0))/(1-Model!$B$9)/(1+Model!$B$18)^7))</f>
        <v/>
      </c>
      <c r="V85" s="7">
        <f>IF(A85="","",IF((A85+8)&gt;Model!$B$4,0,MAX(0,Model!$B$6-IF((A85+8)&gt;=Model!$B$11,Model!$B$20,0)-IF(8&lt;Model!$B$15,Model!$B$22,0))/(1-Model!$B$9)/(1+Model!$B$18)^8))</f>
        <v/>
      </c>
      <c r="W85" s="7">
        <f>IF(A85="","",IF((A85+9)&gt;Model!$B$4,0,MAX(0,Model!$B$6-IF((A85+9)&gt;=Model!$B$11,Model!$B$20,0)-IF(9&lt;Model!$B$15,Model!$B$22,0))/(1-Model!$B$9)/(1+Model!$B$18)^9))</f>
        <v/>
      </c>
      <c r="X85" s="7">
        <f>IF(A85="","",IF((A85+10)&gt;Model!$B$4,0,MAX(0,Model!$B$6-IF((A85+10)&gt;=Model!$B$11,Model!$B$20,0)-IF(10&lt;Model!$B$15,Model!$B$22,0))/(1-Model!$B$9)/(1+Model!$B$18)^10))</f>
        <v/>
      </c>
      <c r="Y85" s="7">
        <f>IF(A85="","",IF((A85+11)&gt;Model!$B$4,0,MAX(0,Model!$B$6-IF((A85+11)&gt;=Model!$B$11,Model!$B$20,0)-IF(11&lt;Model!$B$15,Model!$B$22,0))/(1-Model!$B$9)/(1+Model!$B$18)^11))</f>
        <v/>
      </c>
      <c r="Z85" s="7">
        <f>IF(A85="","",IF((A85+12)&gt;Model!$B$4,0,MAX(0,Model!$B$6-IF((A85+12)&gt;=Model!$B$11,Model!$B$20,0)-IF(12&lt;Model!$B$15,Model!$B$22,0))/(1-Model!$B$9)/(1+Model!$B$18)^12))</f>
        <v/>
      </c>
      <c r="AA85" s="7">
        <f>IF(A85="","",IF((A85+13)&gt;Model!$B$4,0,MAX(0,Model!$B$6-IF((A85+13)&gt;=Model!$B$11,Model!$B$20,0)-IF(13&lt;Model!$B$15,Model!$B$22,0))/(1-Model!$B$9)/(1+Model!$B$18)^13))</f>
        <v/>
      </c>
      <c r="AB85" s="7">
        <f>IF(A85="","",IF((A85+14)&gt;Model!$B$4,0,MAX(0,Model!$B$6-IF((A85+14)&gt;=Model!$B$11,Model!$B$20,0)-IF(14&lt;Model!$B$15,Model!$B$22,0))/(1-Model!$B$9)/(1+Model!$B$18)^14))</f>
        <v/>
      </c>
      <c r="AC85" s="7">
        <f>IF(A85="","",IF((A85+15)&gt;Model!$B$4,0,MAX(0,Model!$B$6-IF((A85+15)&gt;=Model!$B$11,Model!$B$20,0)-IF(15&lt;Model!$B$15,Model!$B$22,0))/(1-Model!$B$9)/(1+Model!$B$18)^15))</f>
        <v/>
      </c>
      <c r="AD85" s="7">
        <f>IF(A85="","",IF((A85+16)&gt;Model!$B$4,0,MAX(0,Model!$B$6-IF((A85+16)&gt;=Model!$B$11,Model!$B$20,0)-IF(16&lt;Model!$B$15,Model!$B$22,0))/(1-Model!$B$9)/(1+Model!$B$18)^16))</f>
        <v/>
      </c>
      <c r="AE85" s="7">
        <f>IF(A85="","",IF((A85+17)&gt;Model!$B$4,0,MAX(0,Model!$B$6-IF((A85+17)&gt;=Model!$B$11,Model!$B$20,0)-IF(17&lt;Model!$B$15,Model!$B$22,0))/(1-Model!$B$9)/(1+Model!$B$18)^17))</f>
        <v/>
      </c>
      <c r="AF85" s="7">
        <f>IF(A85="","",IF((A85+18)&gt;Model!$B$4,0,MAX(0,Model!$B$6-IF((A85+18)&gt;=Model!$B$11,Model!$B$20,0)-IF(18&lt;Model!$B$15,Model!$B$22,0))/(1-Model!$B$9)/(1+Model!$B$18)^18))</f>
        <v/>
      </c>
      <c r="AG85" s="7">
        <f>IF(A85="","",IF((A85+19)&gt;Model!$B$4,0,MAX(0,Model!$B$6-IF((A85+19)&gt;=Model!$B$11,Model!$B$20,0)-IF(19&lt;Model!$B$15,Model!$B$22,0))/(1-Model!$B$9)/(1+Model!$B$18)^19))</f>
        <v/>
      </c>
      <c r="AH85" s="7">
        <f>IF(A85="","",IF((A85+20)&gt;Model!$B$4,0,MAX(0,Model!$B$6-IF((A85+20)&gt;=Model!$B$11,Model!$B$20,0)-IF(20&lt;Model!$B$15,Model!$B$22,0))/(1-Model!$B$9)/(1+Model!$B$18)^20))</f>
        <v/>
      </c>
      <c r="AI85" s="7">
        <f>IF(A85="","",IF((A85+21)&gt;Model!$B$4,0,MAX(0,Model!$B$6-IF((A85+21)&gt;=Model!$B$11,Model!$B$20,0)-IF(21&lt;Model!$B$15,Model!$B$22,0))/(1-Model!$B$9)/(1+Model!$B$18)^21))</f>
        <v/>
      </c>
      <c r="AJ85" s="7">
        <f>IF(A85="","",IF((A85+22)&gt;Model!$B$4,0,MAX(0,Model!$B$6-IF((A85+22)&gt;=Model!$B$11,Model!$B$20,0)-IF(22&lt;Model!$B$15,Model!$B$22,0))/(1-Model!$B$9)/(1+Model!$B$18)^22))</f>
        <v/>
      </c>
      <c r="AK85" s="7">
        <f>IF(A85="","",IF((A85+23)&gt;Model!$B$4,0,MAX(0,Model!$B$6-IF((A85+23)&gt;=Model!$B$11,Model!$B$20,0)-IF(23&lt;Model!$B$15,Model!$B$22,0))/(1-Model!$B$9)/(1+Model!$B$18)^23))</f>
        <v/>
      </c>
      <c r="AL85" s="7">
        <f>IF(A85="","",IF((A85+24)&gt;Model!$B$4,0,MAX(0,Model!$B$6-IF((A85+24)&gt;=Model!$B$11,Model!$B$20,0)-IF(24&lt;Model!$B$15,Model!$B$22,0))/(1-Model!$B$9)/(1+Model!$B$18)^24))</f>
        <v/>
      </c>
      <c r="AM85" s="7">
        <f>IF(A85="","",IF((A85+25)&gt;Model!$B$4,0,MAX(0,Model!$B$6-IF((A85+25)&gt;=Model!$B$11,Model!$B$20,0)-IF(25&lt;Model!$B$15,Model!$B$22,0))/(1-Model!$B$9)/(1+Model!$B$18)^25))</f>
        <v/>
      </c>
      <c r="AN85" s="7">
        <f>IF(A85="","",IF((A85+26)&gt;Model!$B$4,0,MAX(0,Model!$B$6-IF((A85+26)&gt;=Model!$B$11,Model!$B$20,0)-IF(26&lt;Model!$B$15,Model!$B$22,0))/(1-Model!$B$9)/(1+Model!$B$18)^26))</f>
        <v/>
      </c>
      <c r="AO85" s="7">
        <f>IF(A85="","",IF((A85+27)&gt;Model!$B$4,0,MAX(0,Model!$B$6-IF((A85+27)&gt;=Model!$B$11,Model!$B$20,0)-IF(27&lt;Model!$B$15,Model!$B$22,0))/(1-Model!$B$9)/(1+Model!$B$18)^27))</f>
        <v/>
      </c>
      <c r="AP85" s="7">
        <f>IF(A85="","",IF((A85+28)&gt;Model!$B$4,0,MAX(0,Model!$B$6-IF((A85+28)&gt;=Model!$B$11,Model!$B$20,0)-IF(28&lt;Model!$B$15,Model!$B$22,0))/(1-Model!$B$9)/(1+Model!$B$18)^28))</f>
        <v/>
      </c>
      <c r="AQ85" s="7">
        <f>IF(A85="","",IF((A85+29)&gt;Model!$B$4,0,MAX(0,Model!$B$6-IF((A85+29)&gt;=Model!$B$11,Model!$B$20,0)-IF(29&lt;Model!$B$15,Model!$B$22,0))/(1-Model!$B$9)/(1+Model!$B$18)^29))</f>
        <v/>
      </c>
      <c r="AR85" s="7">
        <f>IF(A85="","",IF((A85+30)&gt;Model!$B$4,0,MAX(0,Model!$B$6-IF((A85+30)&gt;=Model!$B$11,Model!$B$20,0)-IF(30&lt;Model!$B$15,Model!$B$22,0))/(1-Model!$B$9)/(1+Model!$B$18)^30))</f>
        <v/>
      </c>
      <c r="AS85" s="7">
        <f>IF(A85="","",IF((A85+31)&gt;Model!$B$4,0,MAX(0,Model!$B$6-IF((A85+31)&gt;=Model!$B$11,Model!$B$20,0)-IF(31&lt;Model!$B$15,Model!$B$22,0))/(1-Model!$B$9)/(1+Model!$B$18)^31))</f>
        <v/>
      </c>
      <c r="AT85" s="7">
        <f>IF(A85="","",IF((A85+32)&gt;Model!$B$4,0,MAX(0,Model!$B$6-IF((A85+32)&gt;=Model!$B$11,Model!$B$20,0)-IF(32&lt;Model!$B$15,Model!$B$22,0))/(1-Model!$B$9)/(1+Model!$B$18)^32))</f>
        <v/>
      </c>
      <c r="AU85" s="7">
        <f>IF(A85="","",IF((A85+33)&gt;Model!$B$4,0,MAX(0,Model!$B$6-IF((A85+33)&gt;=Model!$B$11,Model!$B$20,0)-IF(33&lt;Model!$B$15,Model!$B$22,0))/(1-Model!$B$9)/(1+Model!$B$18)^33))</f>
        <v/>
      </c>
      <c r="AV85" s="7">
        <f>IF(A85="","",IF((A85+34)&gt;Model!$B$4,0,MAX(0,Model!$B$6-IF((A85+34)&gt;=Model!$B$11,Model!$B$20,0)-IF(34&lt;Model!$B$15,Model!$B$22,0))/(1-Model!$B$9)/(1+Model!$B$18)^34))</f>
        <v/>
      </c>
      <c r="AW85" s="7">
        <f>IF(A85="","",IF((A85+35)&gt;Model!$B$4,0,MAX(0,Model!$B$6-IF((A85+35)&gt;=Model!$B$11,Model!$B$20,0)-IF(35&lt;Model!$B$15,Model!$B$22,0))/(1-Model!$B$9)/(1+Model!$B$18)^35))</f>
        <v/>
      </c>
      <c r="AX85" s="7">
        <f>IF(A85="","",IF((A85+36)&gt;Model!$B$4,0,MAX(0,Model!$B$6-IF((A85+36)&gt;=Model!$B$11,Model!$B$20,0)-IF(36&lt;Model!$B$15,Model!$B$22,0))/(1-Model!$B$9)/(1+Model!$B$18)^36))</f>
        <v/>
      </c>
      <c r="AY85" s="7">
        <f>IF(A85="","",IF((A85+37)&gt;Model!$B$4,0,MAX(0,Model!$B$6-IF((A85+37)&gt;=Model!$B$11,Model!$B$20,0)-IF(37&lt;Model!$B$15,Model!$B$22,0))/(1-Model!$B$9)/(1+Model!$B$18)^37))</f>
        <v/>
      </c>
      <c r="AZ85" s="7">
        <f>IF(A85="","",IF((A85+38)&gt;Model!$B$4,0,MAX(0,Model!$B$6-IF((A85+38)&gt;=Model!$B$11,Model!$B$20,0)-IF(38&lt;Model!$B$15,Model!$B$22,0))/(1-Model!$B$9)/(1+Model!$B$18)^38))</f>
        <v/>
      </c>
      <c r="BA85" s="7">
        <f>IF(A85="","",IF((A85+39)&gt;Model!$B$4,0,MAX(0,Model!$B$6-IF((A85+39)&gt;=Model!$B$11,Model!$B$20,0)-IF(39&lt;Model!$B$15,Model!$B$22,0))/(1-Model!$B$9)/(1+Model!$B$18)^39))</f>
        <v/>
      </c>
      <c r="BB85" s="7">
        <f>IF(A85="","",IF((A85+40)&gt;Model!$B$4,0,MAX(0,Model!$B$6-IF((A85+40)&gt;=Model!$B$11,Model!$B$20,0)-IF(40&lt;Model!$B$15,Model!$B$22,0))/(1-Model!$B$9)/(1+Model!$B$18)^40))</f>
        <v/>
      </c>
      <c r="BC85" s="7">
        <f>IF(A85="","",IF((A85+41)&gt;Model!$B$4,0,MAX(0,Model!$B$6-IF((A85+41)&gt;=Model!$B$11,Model!$B$20,0)-IF(41&lt;Model!$B$15,Model!$B$22,0))/(1-Model!$B$9)/(1+Model!$B$18)^41))</f>
        <v/>
      </c>
      <c r="BD85" s="7">
        <f>IF(A85="","",IF((A85+42)&gt;Model!$B$4,0,MAX(0,Model!$B$6-IF((A85+42)&gt;=Model!$B$11,Model!$B$20,0)-IF(42&lt;Model!$B$15,Model!$B$22,0))/(1-Model!$B$9)/(1+Model!$B$18)^42))</f>
        <v/>
      </c>
      <c r="BE85" s="7">
        <f>IF(A85="","",IF((A85+43)&gt;Model!$B$4,0,MAX(0,Model!$B$6-IF((A85+43)&gt;=Model!$B$11,Model!$B$20,0)-IF(43&lt;Model!$B$15,Model!$B$22,0))/(1-Model!$B$9)/(1+Model!$B$18)^43))</f>
        <v/>
      </c>
      <c r="BF85" s="7">
        <f>IF(A85="","",IF((A85+44)&gt;Model!$B$4,0,MAX(0,Model!$B$6-IF((A85+44)&gt;=Model!$B$11,Model!$B$20,0)-IF(44&lt;Model!$B$15,Model!$B$22,0))/(1-Model!$B$9)/(1+Model!$B$18)^44))</f>
        <v/>
      </c>
      <c r="BG85" s="7">
        <f>IF(A85="","",IF((A85+45)&gt;Model!$B$4,0,MAX(0,Model!$B$6-IF((A85+45)&gt;=Model!$B$11,Model!$B$20,0)-IF(45&lt;Model!$B$15,Model!$B$22,0))/(1-Model!$B$9)/(1+Model!$B$18)^45))</f>
        <v/>
      </c>
      <c r="BH85" s="7">
        <f>IF(A85="","",IF((A85+46)&gt;Model!$B$4,0,MAX(0,Model!$B$6-IF((A85+46)&gt;=Model!$B$11,Model!$B$20,0)-IF(46&lt;Model!$B$15,Model!$B$22,0))/(1-Model!$B$9)/(1+Model!$B$18)^46))</f>
        <v/>
      </c>
      <c r="BI85" s="7">
        <f>IF(A85="","",IF((A85+47)&gt;Model!$B$4,0,MAX(0,Model!$B$6-IF((A85+47)&gt;=Model!$B$11,Model!$B$20,0)-IF(47&lt;Model!$B$15,Model!$B$22,0))/(1-Model!$B$9)/(1+Model!$B$18)^47))</f>
        <v/>
      </c>
      <c r="BJ85" s="7">
        <f>IF(A85="","",IF((A85+48)&gt;Model!$B$4,0,MAX(0,Model!$B$6-IF((A85+48)&gt;=Model!$B$11,Model!$B$20,0)-IF(48&lt;Model!$B$15,Model!$B$22,0))/(1-Model!$B$9)/(1+Model!$B$18)^48))</f>
        <v/>
      </c>
      <c r="BK85" s="7">
        <f>IF(A85="","",IF((A85+49)&gt;Model!$B$4,0,MAX(0,Model!$B$6-IF((A85+49)&gt;=Model!$B$11,Model!$B$20,0)-IF(49&lt;Model!$B$15,Model!$B$22,0))/(1-Model!$B$9)/(1+Model!$B$18)^49))</f>
        <v/>
      </c>
      <c r="BL85" s="7">
        <f>IF(A85="","",IF((A85+50)&gt;Model!$B$4,0,MAX(0,Model!$B$6-IF((A85+50)&gt;=Model!$B$11,Model!$B$20,0)-IF(50&lt;Model!$B$15,Model!$B$22,0))/(1-Model!$B$9)/(1+Model!$B$18)^50))</f>
        <v/>
      </c>
      <c r="BM85" s="7">
        <f>IF(A85="","",IF((A85+51)&gt;Model!$B$4,0,MAX(0,Model!$B$6-IF((A85+51)&gt;=Model!$B$11,Model!$B$20,0)-IF(51&lt;Model!$B$15,Model!$B$22,0))/(1-Model!$B$9)/(1+Model!$B$18)^51))</f>
        <v/>
      </c>
      <c r="BN85" s="7">
        <f>IF(A85="","",IF((A85+52)&gt;Model!$B$4,0,MAX(0,Model!$B$6-IF((A85+52)&gt;=Model!$B$11,Model!$B$20,0)-IF(52&lt;Model!$B$15,Model!$B$22,0))/(1-Model!$B$9)/(1+Model!$B$18)^52))</f>
        <v/>
      </c>
      <c r="BO85" s="7">
        <f>IF(A85="","",IF((A85+53)&gt;Model!$B$4,0,MAX(0,Model!$B$6-IF((A85+53)&gt;=Model!$B$11,Model!$B$20,0)-IF(53&lt;Model!$B$15,Model!$B$22,0))/(1-Model!$B$9)/(1+Model!$B$18)^53))</f>
        <v/>
      </c>
      <c r="BP85" s="7">
        <f>IF(A85="","",IF((A85+54)&gt;Model!$B$4,0,MAX(0,Model!$B$6-IF((A85+54)&gt;=Model!$B$11,Model!$B$20,0)-IF(54&lt;Model!$B$15,Model!$B$22,0))/(1-Model!$B$9)/(1+Model!$B$18)^54))</f>
        <v/>
      </c>
      <c r="BQ85" s="7">
        <f>IF(A85="","",IF((A85+55)&gt;Model!$B$4,0,MAX(0,Model!$B$6-IF((A85+55)&gt;=Model!$B$11,Model!$B$20,0)-IF(55&lt;Model!$B$15,Model!$B$22,0))/(1-Model!$B$9)/(1+Model!$B$18)^55))</f>
        <v/>
      </c>
      <c r="BR85" s="7">
        <f>IF(A85="","",IF((A85+56)&gt;Model!$B$4,0,MAX(0,Model!$B$6-IF((A85+56)&gt;=Model!$B$11,Model!$B$20,0)-IF(56&lt;Model!$B$15,Model!$B$22,0))/(1-Model!$B$9)/(1+Model!$B$18)^56))</f>
        <v/>
      </c>
      <c r="BS85" s="7">
        <f>IF(A85="","",IF((A85+57)&gt;Model!$B$4,0,MAX(0,Model!$B$6-IF((A85+57)&gt;=Model!$B$11,Model!$B$20,0)-IF(57&lt;Model!$B$15,Model!$B$22,0))/(1-Model!$B$9)/(1+Model!$B$18)^57))</f>
        <v/>
      </c>
      <c r="BT85" s="7">
        <f>IF(A85="","",IF((A85+58)&gt;Model!$B$4,0,MAX(0,Model!$B$6-IF((A85+58)&gt;=Model!$B$11,Model!$B$20,0)-IF(58&lt;Model!$B$15,Model!$B$22,0))/(1-Model!$B$9)/(1+Model!$B$18)^58))</f>
        <v/>
      </c>
      <c r="BU85" s="7">
        <f>IF(A85="","",IF((A85+59)&gt;Model!$B$4,0,MAX(0,Model!$B$6-IF((A85+59)&gt;=Model!$B$11,Model!$B$20,0)-IF(59&lt;Model!$B$15,Model!$B$22,0))/(1-Model!$B$9)/(1+Model!$B$18)^59))</f>
        <v/>
      </c>
      <c r="BV85" s="7">
        <f>IF(A85="","",IF((A85+60)&gt;Model!$B$4,0,MAX(0,Model!$B$6-IF((A85+60)&gt;=Model!$B$11,Model!$B$20,0)-IF(60&lt;Model!$B$15,Model!$B$22,0))/(1-Model!$B$9)/(1+Model!$B$18)^60))</f>
        <v/>
      </c>
      <c r="BW85" s="7">
        <f>IF(A85="","",IF((A85+61)&gt;Model!$B$4,0,MAX(0,Model!$B$6-IF((A85+61)&gt;=Model!$B$11,Model!$B$20,0)-IF(61&lt;Model!$B$15,Model!$B$22,0))/(1-Model!$B$9)/(1+Model!$B$18)^61))</f>
        <v/>
      </c>
      <c r="BX85" s="7">
        <f>IF(A85="","",IF((A85+62)&gt;Model!$B$4,0,MAX(0,Model!$B$6-IF((A85+62)&gt;=Model!$B$11,Model!$B$20,0)-IF(62&lt;Model!$B$15,Model!$B$22,0))/(1-Model!$B$9)/(1+Model!$B$18)^62))</f>
        <v/>
      </c>
      <c r="BY85" s="7">
        <f>IF(A85="","",IF((A85+63)&gt;Model!$B$4,0,MAX(0,Model!$B$6-IF((A85+63)&gt;=Model!$B$11,Model!$B$20,0)-IF(63&lt;Model!$B$15,Model!$B$22,0))/(1-Model!$B$9)/(1+Model!$B$18)^63))</f>
        <v/>
      </c>
      <c r="BZ85" s="7">
        <f>IF(A85="","",IF((A85+64)&gt;Model!$B$4,0,MAX(0,Model!$B$6-IF((A85+64)&gt;=Model!$B$11,Model!$B$20,0)-IF(64&lt;Model!$B$15,Model!$B$22,0))/(1-Model!$B$9)/(1+Model!$B$18)^64))</f>
        <v/>
      </c>
      <c r="CA85" s="7">
        <f>IF(A85="","",IF((A85+65)&gt;Model!$B$4,0,MAX(0,Model!$B$6-IF((A85+65)&gt;=Model!$B$11,Model!$B$20,0)-IF(65&lt;Model!$B$15,Model!$B$22,0))/(1-Model!$B$9)/(1+Model!$B$18)^65))</f>
        <v/>
      </c>
      <c r="CB85" s="7">
        <f>IF(A85="","",IF((A85+66)&gt;Model!$B$4,0,MAX(0,Model!$B$6-IF((A85+66)&gt;=Model!$B$11,Model!$B$20,0)-IF(66&lt;Model!$B$15,Model!$B$22,0))/(1-Model!$B$9)/(1+Model!$B$18)^66))</f>
        <v/>
      </c>
      <c r="CC85" s="7">
        <f>IF(A85="","",IF((A85+67)&gt;Model!$B$4,0,MAX(0,Model!$B$6-IF((A85+67)&gt;=Model!$B$11,Model!$B$20,0)-IF(67&lt;Model!$B$15,Model!$B$22,0))/(1-Model!$B$9)/(1+Model!$B$18)^67))</f>
        <v/>
      </c>
      <c r="CD85" s="7">
        <f>IF(A85="","",IF((A85+68)&gt;Model!$B$4,0,MAX(0,Model!$B$6-IF((A85+68)&gt;=Model!$B$11,Model!$B$20,0)-IF(68&lt;Model!$B$15,Model!$B$22,0))/(1-Model!$B$9)/(1+Model!$B$18)^68))</f>
        <v/>
      </c>
      <c r="CE85" s="7">
        <f>IF(A85="","",IF((A85+69)&gt;Model!$B$4,0,MAX(0,Model!$B$6-IF((A85+69)&gt;=Model!$B$11,Model!$B$20,0)-IF(69&lt;Model!$B$15,Model!$B$22,0))/(1-Model!$B$9)/(1+Model!$B$18)^69))</f>
        <v/>
      </c>
      <c r="CF85" s="7">
        <f>IF(A85="","",IF((A85+70)&gt;Model!$B$4,0,MAX(0,Model!$B$6-IF((A85+70)&gt;=Model!$B$11,Model!$B$20,0)-IF(70&lt;Model!$B$15,Model!$B$22,0))/(1-Model!$B$9)/(1+Model!$B$18)^70))</f>
        <v/>
      </c>
      <c r="CG85" s="7">
        <f>IF(A85="","",IF((A85+71)&gt;Model!$B$4,0,MAX(0,Model!$B$6-IF((A85+71)&gt;=Model!$B$11,Model!$B$20,0)-IF(71&lt;Model!$B$15,Model!$B$22,0))/(1-Model!$B$9)/(1+Model!$B$18)^71))</f>
        <v/>
      </c>
      <c r="CH85" s="7">
        <f>IF(A85="","",IF((A85+72)&gt;Model!$B$4,0,MAX(0,Model!$B$6-IF((A85+72)&gt;=Model!$B$11,Model!$B$20,0)-IF(72&lt;Model!$B$15,Model!$B$22,0))/(1-Model!$B$9)/(1+Model!$B$18)^72))</f>
        <v/>
      </c>
      <c r="CI85" s="7">
        <f>IF(A85="","",IF((A85+73)&gt;Model!$B$4,0,MAX(0,Model!$B$6-IF((A85+73)&gt;=Model!$B$11,Model!$B$20,0)-IF(73&lt;Model!$B$15,Model!$B$22,0))/(1-Model!$B$9)/(1+Model!$B$18)^73))</f>
        <v/>
      </c>
      <c r="CJ85" s="7">
        <f>IF(A85="","",IF((A85+74)&gt;Model!$B$4,0,MAX(0,Model!$B$6-IF((A85+74)&gt;=Model!$B$11,Model!$B$20,0)-IF(74&lt;Model!$B$15,Model!$B$22,0))/(1-Model!$B$9)/(1+Model!$B$18)^74))</f>
        <v/>
      </c>
      <c r="CK85" s="7">
        <f>IF(A85="","",IF((A85+75)&gt;Model!$B$4,0,MAX(0,Model!$B$6-IF((A85+75)&gt;=Model!$B$11,Model!$B$20,0)-IF(75&lt;Model!$B$15,Model!$B$22,0))/(1-Model!$B$9)/(1+Model!$B$18)^75))</f>
        <v/>
      </c>
      <c r="CL85" s="7">
        <f>IF(A85="","",IF((A85+76)&gt;Model!$B$4,0,MAX(0,Model!$B$6-IF((A85+76)&gt;=Model!$B$11,Model!$B$20,0)-IF(76&lt;Model!$B$15,Model!$B$22,0))/(1-Model!$B$9)/(1+Model!$B$18)^76))</f>
        <v/>
      </c>
      <c r="CM85" s="7">
        <f>IF(A85="","",IF((A85+77)&gt;Model!$B$4,0,MAX(0,Model!$B$6-IF((A85+77)&gt;=Model!$B$11,Model!$B$20,0)-IF(77&lt;Model!$B$15,Model!$B$22,0))/(1-Model!$B$9)/(1+Model!$B$18)^77))</f>
        <v/>
      </c>
      <c r="CN85" s="7">
        <f>IF(A85="","",IF((A85+78)&gt;Model!$B$4,0,MAX(0,Model!$B$6-IF((A85+78)&gt;=Model!$B$11,Model!$B$20,0)-IF(78&lt;Model!$B$15,Model!$B$22,0))/(1-Model!$B$9)/(1+Model!$B$18)^78))</f>
        <v/>
      </c>
      <c r="CO85" s="7">
        <f>IF(A85="","",IF((A85+79)&gt;Model!$B$4,0,MAX(0,Model!$B$6-IF((A85+79)&gt;=Model!$B$11,Model!$B$20,0)-IF(79&lt;Model!$B$15,Model!$B$22,0))/(1-Model!$B$9)/(1+Model!$B$18)^79))</f>
        <v/>
      </c>
      <c r="CP85" s="7">
        <f>IF(A85="","",IF((A85+80)&gt;Model!$B$4,0,MAX(0,Model!$B$6-IF((A85+80)&gt;=Model!$B$11,Model!$B$20,0)-IF(80&lt;Model!$B$15,Model!$B$22,0))/(1-Model!$B$9)/(1+Model!$B$18)^80))</f>
        <v/>
      </c>
      <c r="CQ85" s="7">
        <f>IF(A85="","",IF((A85+81)&gt;Model!$B$4,0,MAX(0,Model!$B$6-IF((A85+81)&gt;=Model!$B$11,Model!$B$20,0)-IF(81&lt;Model!$B$15,Model!$B$22,0))/(1-Model!$B$9)/(1+Model!$B$18)^81))</f>
        <v/>
      </c>
      <c r="CR85" s="7">
        <f>IF(A85="","",IF((A85+82)&gt;Model!$B$4,0,MAX(0,Model!$B$6-IF((A85+82)&gt;=Model!$B$11,Model!$B$20,0)-IF(82&lt;Model!$B$15,Model!$B$22,0))/(1-Model!$B$9)/(1+Model!$B$18)^82))</f>
        <v/>
      </c>
      <c r="CS85" s="7">
        <f>IF(A85="","",IF((A85+83)&gt;Model!$B$4,0,MAX(0,Model!$B$6-IF((A85+83)&gt;=Model!$B$11,Model!$B$20,0)-IF(83&lt;Model!$B$15,Model!$B$22,0))/(1-Model!$B$9)/(1+Model!$B$18)^83))</f>
        <v/>
      </c>
      <c r="CT85" s="7">
        <f>IF(A85="","",IF((A85+84)&gt;Model!$B$4,0,MAX(0,Model!$B$6-IF((A85+84)&gt;=Model!$B$11,Model!$B$20,0)-IF(84&lt;Model!$B$15,Model!$B$22,0))/(1-Model!$B$9)/(1+Model!$B$18)^84))</f>
        <v/>
      </c>
      <c r="CU85" s="7">
        <f>IF(A85="","",IF((A85+85)&gt;Model!$B$4,0,MAX(0,Model!$B$6-IF((A85+85)&gt;=Model!$B$11,Model!$B$20,0)-IF(85&lt;Model!$B$15,Model!$B$22,0))/(1-Model!$B$9)/(1+Model!$B$18)^85))</f>
        <v/>
      </c>
      <c r="CV85" s="7">
        <f>IF(A85="","",IF((A85+86)&gt;Model!$B$4,0,MAX(0,Model!$B$6-IF((A85+86)&gt;=Model!$B$11,Model!$B$20,0)-IF(86&lt;Model!$B$15,Model!$B$22,0))/(1-Model!$B$9)/(1+Model!$B$18)^86))</f>
        <v/>
      </c>
      <c r="CW85" s="7">
        <f>IF(A85="","",IF((A85+87)&gt;Model!$B$4,0,MAX(0,Model!$B$6-IF((A85+87)&gt;=Model!$B$11,Model!$B$20,0)-IF(87&lt;Model!$B$15,Model!$B$22,0))/(1-Model!$B$9)/(1+Model!$B$18)^87))</f>
        <v/>
      </c>
      <c r="CX85" s="7">
        <f>IF(A85="","",IF((A85+88)&gt;Model!$B$4,0,MAX(0,Model!$B$6-IF((A85+88)&gt;=Model!$B$11,Model!$B$20,0)-IF(88&lt;Model!$B$15,Model!$B$22,0))/(1-Model!$B$9)/(1+Model!$B$18)^88))</f>
        <v/>
      </c>
      <c r="CY85" s="7">
        <f>IF(A85="","",IF((A85+89)&gt;Model!$B$4,0,MAX(0,Model!$B$6-IF((A85+89)&gt;=Model!$B$11,Model!$B$20,0)-IF(89&lt;Model!$B$15,Model!$B$22,0))/(1-Model!$B$9)/(1+Model!$B$18)^89))</f>
        <v/>
      </c>
      <c r="CZ85" s="7">
        <f>IF(A85="","",IF((A85+90)&gt;Model!$B$4,0,MAX(0,Model!$B$6-IF((A85+90)&gt;=Model!$B$11,Model!$B$20,0)-IF(90&lt;Model!$B$15,Model!$B$22,0))/(1-Model!$B$9)/(1+Model!$B$18)^90))</f>
        <v/>
      </c>
      <c r="DA85" s="7">
        <f>IF(A85="","",IF((A85+91)&gt;Model!$B$4,0,MAX(0,Model!$B$6-IF((A85+91)&gt;=Model!$B$11,Model!$B$20,0)-IF(91&lt;Model!$B$15,Model!$B$22,0))/(1-Model!$B$9)/(1+Model!$B$18)^91))</f>
        <v/>
      </c>
      <c r="DB85" s="7">
        <f>IF(A85="","",IF((A85+92)&gt;Model!$B$4,0,MAX(0,Model!$B$6-IF((A85+92)&gt;=Model!$B$11,Model!$B$20,0)-IF(92&lt;Model!$B$15,Model!$B$22,0))/(1-Model!$B$9)/(1+Model!$B$18)^92))</f>
        <v/>
      </c>
      <c r="DC85" s="7">
        <f>IF(A85="","",IF((A85+93)&gt;Model!$B$4,0,MAX(0,Model!$B$6-IF((A85+93)&gt;=Model!$B$11,Model!$B$20,0)-IF(93&lt;Model!$B$15,Model!$B$22,0))/(1-Model!$B$9)/(1+Model!$B$18)^93))</f>
        <v/>
      </c>
      <c r="DD85" s="7">
        <f>IF(A85="","",IF((A85+94)&gt;Model!$B$4,0,MAX(0,Model!$B$6-IF((A85+94)&gt;=Model!$B$11,Model!$B$20,0)-IF(94&lt;Model!$B$15,Model!$B$22,0))/(1-Model!$B$9)/(1+Model!$B$18)^94))</f>
        <v/>
      </c>
      <c r="DE85" s="7">
        <f>IF(A85="","",IF((A85+95)&gt;Model!$B$4,0,MAX(0,Model!$B$6-IF((A85+95)&gt;=Model!$B$11,Model!$B$20,0)-IF(95&lt;Model!$B$15,Model!$B$22,0))/(1-Model!$B$9)/(1+Model!$B$18)^95))</f>
        <v/>
      </c>
      <c r="DF85" s="7">
        <f>IF(A85="","",IF((A85+96)&gt;Model!$B$4,0,MAX(0,Model!$B$6-IF((A85+96)&gt;=Model!$B$11,Model!$B$20,0)-IF(96&lt;Model!$B$15,Model!$B$22,0))/(1-Model!$B$9)/(1+Model!$B$18)^96))</f>
        <v/>
      </c>
      <c r="DG85" s="7">
        <f>IF(A85="","",IF((A85+97)&gt;Model!$B$4,0,MAX(0,Model!$B$6-IF((A85+97)&gt;=Model!$B$11,Model!$B$20,0)-IF(97&lt;Model!$B$15,Model!$B$22,0))/(1-Model!$B$9)/(1+Model!$B$18)^97))</f>
        <v/>
      </c>
      <c r="DH85" s="7">
        <f>IF(A85="","",IF((A85+98)&gt;Model!$B$4,0,MAX(0,Model!$B$6-IF((A85+98)&gt;=Model!$B$11,Model!$B$20,0)-IF(98&lt;Model!$B$15,Model!$B$22,0))/(1-Model!$B$9)/(1+Model!$B$18)^98))</f>
        <v/>
      </c>
      <c r="DI85" s="7">
        <f>IF(A85="","",IF((A85+99)&gt;Model!$B$4,0,MAX(0,Model!$B$6-IF((A85+99)&gt;=Model!$B$11,Model!$B$20,0)-IF(99&lt;Model!$B$15,Model!$B$22,0))/(1-Model!$B$9)/(1+Model!$B$18)^99))</f>
        <v/>
      </c>
      <c r="DJ85" s="7">
        <f>IF(A85="","",IF((A85+100)&gt;Model!$B$4,0,MAX(0,Model!$B$6-IF((A85+100)&gt;=Model!$B$11,Model!$B$20,0)-IF(100&lt;Model!$B$15,Model!$B$22,0))/(1-Model!$B$9)/(1+Model!$B$18)^100))</f>
        <v/>
      </c>
      <c r="DK85" s="7">
        <f>IF(A85="","",IF((A85+101)&gt;Model!$B$4,0,MAX(0,Model!$B$6-IF((A85+101)&gt;=Model!$B$11,Model!$B$20,0)-IF(101&lt;Model!$B$15,Model!$B$22,0))/(1-Model!$B$9)/(1+Model!$B$18)^101))</f>
        <v/>
      </c>
      <c r="DL85" s="7">
        <f>IF(A85="","",IF((A85+102)&gt;Model!$B$4,0,MAX(0,Model!$B$6-IF((A85+102)&gt;=Model!$B$11,Model!$B$20,0)-IF(102&lt;Model!$B$15,Model!$B$22,0))/(1-Model!$B$9)/(1+Model!$B$18)^102))</f>
        <v/>
      </c>
      <c r="DM85" s="7">
        <f>IF(A85="","",IF((A85+103)&gt;Model!$B$4,0,MAX(0,Model!$B$6-IF((A85+103)&gt;=Model!$B$11,Model!$B$20,0)-IF(103&lt;Model!$B$15,Model!$B$22,0))/(1-Model!$B$9)/(1+Model!$B$18)^103))</f>
        <v/>
      </c>
      <c r="DN85" s="7">
        <f>IF(A85="","",IF((A85+104)&gt;Model!$B$4,0,MAX(0,Model!$B$6-IF((A85+104)&gt;=Model!$B$11,Model!$B$20,0)-IF(104&lt;Model!$B$15,Model!$B$22,0))/(1-Model!$B$9)/(1+Model!$B$18)^104))</f>
        <v/>
      </c>
      <c r="DO85" s="7">
        <f>IF(A85="","",IF((A85+105)&gt;Model!$B$4,0,MAX(0,Model!$B$6-IF((A85+105)&gt;=Model!$B$11,Model!$B$20,0)-IF(105&lt;Model!$B$15,Model!$B$22,0))/(1-Model!$B$9)/(1+Model!$B$18)^105))</f>
        <v/>
      </c>
      <c r="DP85" s="7">
        <f>IF(A85="","",IF((A85+106)&gt;Model!$B$4,0,MAX(0,Model!$B$6-IF((A85+106)&gt;=Model!$B$11,Model!$B$20,0)-IF(106&lt;Model!$B$15,Model!$B$22,0))/(1-Model!$B$9)/(1+Model!$B$18)^106))</f>
        <v/>
      </c>
      <c r="DQ85" s="7">
        <f>IF(A85="","",IF((A85+107)&gt;Model!$B$4,0,MAX(0,Model!$B$6-IF((A85+107)&gt;=Model!$B$11,Model!$B$20,0)-IF(107&lt;Model!$B$15,Model!$B$22,0))/(1-Model!$B$9)/(1+Model!$B$18)^107))</f>
        <v/>
      </c>
      <c r="DR85" s="7">
        <f>IF(A85="","",IF((A85+108)&gt;Model!$B$4,0,MAX(0,Model!$B$6-IF((A85+108)&gt;=Model!$B$11,Model!$B$20,0)-IF(108&lt;Model!$B$15,Model!$B$22,0))/(1-Model!$B$9)/(1+Model!$B$18)^108))</f>
        <v/>
      </c>
      <c r="DS85" s="7">
        <f>IF(A85="","",IF((A85+109)&gt;Model!$B$4,0,MAX(0,Model!$B$6-IF((A85+109)&gt;=Model!$B$11,Model!$B$20,0)-IF(109&lt;Model!$B$15,Model!$B$22,0))/(1-Model!$B$9)/(1+Model!$B$18)^109))</f>
        <v/>
      </c>
      <c r="DT85" s="7">
        <f>IF(A85="","",IF((A85+110)&gt;Model!$B$4,0,MAX(0,Model!$B$6-IF((A85+110)&gt;=Model!$B$11,Model!$B$20,0)-IF(110&lt;Model!$B$15,Model!$B$22,0))/(1-Model!$B$9)/(1+Model!$B$18)^110))</f>
        <v/>
      </c>
      <c r="DU85" s="7">
        <f>IF(A85="","",IF((A85+111)&gt;Model!$B$4,0,MAX(0,Model!$B$6-IF((A85+111)&gt;=Model!$B$11,Model!$B$20,0)-IF(111&lt;Model!$B$15,Model!$B$22,0))/(1-Model!$B$9)/(1+Model!$B$18)^111))</f>
        <v/>
      </c>
      <c r="DV85" s="7">
        <f>IF(A85="","",IF((A85+112)&gt;Model!$B$4,0,MAX(0,Model!$B$6-IF((A85+112)&gt;=Model!$B$11,Model!$B$20,0)-IF(112&lt;Model!$B$15,Model!$B$22,0))/(1-Model!$B$9)/(1+Model!$B$18)^112))</f>
        <v/>
      </c>
      <c r="DW85" s="7">
        <f>IF(A85="","",IF((A85+113)&gt;Model!$B$4,0,MAX(0,Model!$B$6-IF((A85+113)&gt;=Model!$B$11,Model!$B$20,0)-IF(113&lt;Model!$B$15,Model!$B$22,0))/(1-Model!$B$9)/(1+Model!$B$18)^113))</f>
        <v/>
      </c>
      <c r="DX85" s="7">
        <f>IF(A85="","",IF((A85+114)&gt;Model!$B$4,0,MAX(0,Model!$B$6-IF((A85+114)&gt;=Model!$B$11,Model!$B$20,0)-IF(114&lt;Model!$B$15,Model!$B$22,0))/(1-Model!$B$9)/(1+Model!$B$18)^114))</f>
        <v/>
      </c>
      <c r="DY85" s="7">
        <f>IF(A85="","",IF((A85+115)&gt;Model!$B$4,0,MAX(0,Model!$B$6-IF((A85+115)&gt;=Model!$B$11,Model!$B$20,0)-IF(115&lt;Model!$B$15,Model!$B$22,0))/(1-Model!$B$9)/(1+Model!$B$18)^115))</f>
        <v/>
      </c>
      <c r="DZ85" s="7">
        <f>IF(A85="","",IF((A85+116)&gt;Model!$B$4,0,MAX(0,Model!$B$6-IF((A85+116)&gt;=Model!$B$11,Model!$B$20,0)-IF(116&lt;Model!$B$15,Model!$B$22,0))/(1-Model!$B$9)/(1+Model!$B$18)^116))</f>
        <v/>
      </c>
      <c r="EA85" s="7">
        <f>IF(A85="","",IF((A85+117)&gt;Model!$B$4,0,MAX(0,Model!$B$6-IF((A85+117)&gt;=Model!$B$11,Model!$B$20,0)-IF(117&lt;Model!$B$15,Model!$B$22,0))/(1-Model!$B$9)/(1+Model!$B$18)^117))</f>
        <v/>
      </c>
      <c r="EB85" s="7">
        <f>IF(A85="","",IF((A85+118)&gt;Model!$B$4,0,MAX(0,Model!$B$6-IF((A85+118)&gt;=Model!$B$11,Model!$B$20,0)-IF(118&lt;Model!$B$15,Model!$B$22,0))/(1-Model!$B$9)/(1+Model!$B$18)^118))</f>
        <v/>
      </c>
      <c r="EC85" s="7">
        <f>IF(A85="","",IF((A85+119)&gt;Model!$B$4,0,MAX(0,Model!$B$6-IF((A85+119)&gt;=Model!$B$11,Model!$B$20,0)-IF(119&lt;Model!$B$15,Model!$B$22,0))/(1-Model!$B$9)/(1+Model!$B$18)^119))</f>
        <v/>
      </c>
      <c r="ED85" s="7">
        <f>IF(A85="","",IF((A85+120)&gt;Model!$B$4,0,MAX(0,Model!$B$6-IF((A85+120)&gt;=Model!$B$11,Model!$B$20,0)-IF(120&lt;Model!$B$15,Model!$B$22,0))/(1-Model!$B$9)/(1+Model!$B$18)^120))</f>
        <v/>
      </c>
    </row>
    <row r="86">
      <c r="A86">
        <f>IF(Model!$B$10+ROW()-2&lt;=Model!$B$4,Model!$B$10+ROW()-2,"")</f>
        <v/>
      </c>
      <c r="B86">
        <f>IF(A86="","",A86-Model!$B$10)</f>
        <v/>
      </c>
      <c r="C86" s="7">
        <f>IF(A86="","",Model!$B$5*(1+Model!$B$18)^B86)</f>
        <v/>
      </c>
      <c r="D86" s="7">
        <f>IF(A86="","",SUM(N86:ED86))</f>
        <v/>
      </c>
      <c r="E86" s="7">
        <f>IF(A86="","",IF(A86&gt;=Model!$B$11,Model!$B$20,0))</f>
        <v/>
      </c>
      <c r="F86" s="7">
        <f>IF(A86="","",IF(Model!$B$15&gt;0,Model!$B$22,0))</f>
        <v/>
      </c>
      <c r="G86" s="7">
        <f>IF(A86="","",E86+F86)</f>
        <v/>
      </c>
      <c r="H86" s="7">
        <f>IF(A86="","",MAX(0,Model!$B$6-G86))</f>
        <v/>
      </c>
      <c r="I86" s="7">
        <f>IF(A86="","",H86/(1-Model!$B$9))</f>
        <v/>
      </c>
      <c r="J86" s="7">
        <f>IF(A86="","",C86-D86)</f>
        <v/>
      </c>
      <c r="K86">
        <f>IF(A86="","",C86&gt;=D86)</f>
        <v/>
      </c>
      <c r="L86" s="7">
        <f>IF(A86="","",IF(A86&gt;=Model!$B$11,Model!$B$19*(1+Model!$B$13)^B86,0))</f>
        <v/>
      </c>
      <c r="M86" s="7">
        <f>IF(A86="","",IF(Model!$B$15&gt;0,Model!$B$21*(1+Model!$B$13)^B86,0))</f>
        <v/>
      </c>
      <c r="N86" s="7">
        <f>IF(A86="","",IF((A86+0)&gt;Model!$B$4,0,MAX(0,Model!$B$6-IF((A86+0)&gt;=Model!$B$11,Model!$B$20,0)-IF(0&lt;Model!$B$15,Model!$B$22,0))/(1-Model!$B$9)/(1+Model!$B$18)^0))</f>
        <v/>
      </c>
      <c r="O86" s="7">
        <f>IF(A86="","",IF((A86+1)&gt;Model!$B$4,0,MAX(0,Model!$B$6-IF((A86+1)&gt;=Model!$B$11,Model!$B$20,0)-IF(1&lt;Model!$B$15,Model!$B$22,0))/(1-Model!$B$9)/(1+Model!$B$18)^1))</f>
        <v/>
      </c>
      <c r="P86" s="7">
        <f>IF(A86="","",IF((A86+2)&gt;Model!$B$4,0,MAX(0,Model!$B$6-IF((A86+2)&gt;=Model!$B$11,Model!$B$20,0)-IF(2&lt;Model!$B$15,Model!$B$22,0))/(1-Model!$B$9)/(1+Model!$B$18)^2))</f>
        <v/>
      </c>
      <c r="Q86" s="7">
        <f>IF(A86="","",IF((A86+3)&gt;Model!$B$4,0,MAX(0,Model!$B$6-IF((A86+3)&gt;=Model!$B$11,Model!$B$20,0)-IF(3&lt;Model!$B$15,Model!$B$22,0))/(1-Model!$B$9)/(1+Model!$B$18)^3))</f>
        <v/>
      </c>
      <c r="R86" s="7">
        <f>IF(A86="","",IF((A86+4)&gt;Model!$B$4,0,MAX(0,Model!$B$6-IF((A86+4)&gt;=Model!$B$11,Model!$B$20,0)-IF(4&lt;Model!$B$15,Model!$B$22,0))/(1-Model!$B$9)/(1+Model!$B$18)^4))</f>
        <v/>
      </c>
      <c r="S86" s="7">
        <f>IF(A86="","",IF((A86+5)&gt;Model!$B$4,0,MAX(0,Model!$B$6-IF((A86+5)&gt;=Model!$B$11,Model!$B$20,0)-IF(5&lt;Model!$B$15,Model!$B$22,0))/(1-Model!$B$9)/(1+Model!$B$18)^5))</f>
        <v/>
      </c>
      <c r="T86" s="7">
        <f>IF(A86="","",IF((A86+6)&gt;Model!$B$4,0,MAX(0,Model!$B$6-IF((A86+6)&gt;=Model!$B$11,Model!$B$20,0)-IF(6&lt;Model!$B$15,Model!$B$22,0))/(1-Model!$B$9)/(1+Model!$B$18)^6))</f>
        <v/>
      </c>
      <c r="U86" s="7">
        <f>IF(A86="","",IF((A86+7)&gt;Model!$B$4,0,MAX(0,Model!$B$6-IF((A86+7)&gt;=Model!$B$11,Model!$B$20,0)-IF(7&lt;Model!$B$15,Model!$B$22,0))/(1-Model!$B$9)/(1+Model!$B$18)^7))</f>
        <v/>
      </c>
      <c r="V86" s="7">
        <f>IF(A86="","",IF((A86+8)&gt;Model!$B$4,0,MAX(0,Model!$B$6-IF((A86+8)&gt;=Model!$B$11,Model!$B$20,0)-IF(8&lt;Model!$B$15,Model!$B$22,0))/(1-Model!$B$9)/(1+Model!$B$18)^8))</f>
        <v/>
      </c>
      <c r="W86" s="7">
        <f>IF(A86="","",IF((A86+9)&gt;Model!$B$4,0,MAX(0,Model!$B$6-IF((A86+9)&gt;=Model!$B$11,Model!$B$20,0)-IF(9&lt;Model!$B$15,Model!$B$22,0))/(1-Model!$B$9)/(1+Model!$B$18)^9))</f>
        <v/>
      </c>
      <c r="X86" s="7">
        <f>IF(A86="","",IF((A86+10)&gt;Model!$B$4,0,MAX(0,Model!$B$6-IF((A86+10)&gt;=Model!$B$11,Model!$B$20,0)-IF(10&lt;Model!$B$15,Model!$B$22,0))/(1-Model!$B$9)/(1+Model!$B$18)^10))</f>
        <v/>
      </c>
      <c r="Y86" s="7">
        <f>IF(A86="","",IF((A86+11)&gt;Model!$B$4,0,MAX(0,Model!$B$6-IF((A86+11)&gt;=Model!$B$11,Model!$B$20,0)-IF(11&lt;Model!$B$15,Model!$B$22,0))/(1-Model!$B$9)/(1+Model!$B$18)^11))</f>
        <v/>
      </c>
      <c r="Z86" s="7">
        <f>IF(A86="","",IF((A86+12)&gt;Model!$B$4,0,MAX(0,Model!$B$6-IF((A86+12)&gt;=Model!$B$11,Model!$B$20,0)-IF(12&lt;Model!$B$15,Model!$B$22,0))/(1-Model!$B$9)/(1+Model!$B$18)^12))</f>
        <v/>
      </c>
      <c r="AA86" s="7">
        <f>IF(A86="","",IF((A86+13)&gt;Model!$B$4,0,MAX(0,Model!$B$6-IF((A86+13)&gt;=Model!$B$11,Model!$B$20,0)-IF(13&lt;Model!$B$15,Model!$B$22,0))/(1-Model!$B$9)/(1+Model!$B$18)^13))</f>
        <v/>
      </c>
      <c r="AB86" s="7">
        <f>IF(A86="","",IF((A86+14)&gt;Model!$B$4,0,MAX(0,Model!$B$6-IF((A86+14)&gt;=Model!$B$11,Model!$B$20,0)-IF(14&lt;Model!$B$15,Model!$B$22,0))/(1-Model!$B$9)/(1+Model!$B$18)^14))</f>
        <v/>
      </c>
      <c r="AC86" s="7">
        <f>IF(A86="","",IF((A86+15)&gt;Model!$B$4,0,MAX(0,Model!$B$6-IF((A86+15)&gt;=Model!$B$11,Model!$B$20,0)-IF(15&lt;Model!$B$15,Model!$B$22,0))/(1-Model!$B$9)/(1+Model!$B$18)^15))</f>
        <v/>
      </c>
      <c r="AD86" s="7">
        <f>IF(A86="","",IF((A86+16)&gt;Model!$B$4,0,MAX(0,Model!$B$6-IF((A86+16)&gt;=Model!$B$11,Model!$B$20,0)-IF(16&lt;Model!$B$15,Model!$B$22,0))/(1-Model!$B$9)/(1+Model!$B$18)^16))</f>
        <v/>
      </c>
      <c r="AE86" s="7">
        <f>IF(A86="","",IF((A86+17)&gt;Model!$B$4,0,MAX(0,Model!$B$6-IF((A86+17)&gt;=Model!$B$11,Model!$B$20,0)-IF(17&lt;Model!$B$15,Model!$B$22,0))/(1-Model!$B$9)/(1+Model!$B$18)^17))</f>
        <v/>
      </c>
      <c r="AF86" s="7">
        <f>IF(A86="","",IF((A86+18)&gt;Model!$B$4,0,MAX(0,Model!$B$6-IF((A86+18)&gt;=Model!$B$11,Model!$B$20,0)-IF(18&lt;Model!$B$15,Model!$B$22,0))/(1-Model!$B$9)/(1+Model!$B$18)^18))</f>
        <v/>
      </c>
      <c r="AG86" s="7">
        <f>IF(A86="","",IF((A86+19)&gt;Model!$B$4,0,MAX(0,Model!$B$6-IF((A86+19)&gt;=Model!$B$11,Model!$B$20,0)-IF(19&lt;Model!$B$15,Model!$B$22,0))/(1-Model!$B$9)/(1+Model!$B$18)^19))</f>
        <v/>
      </c>
      <c r="AH86" s="7">
        <f>IF(A86="","",IF((A86+20)&gt;Model!$B$4,0,MAX(0,Model!$B$6-IF((A86+20)&gt;=Model!$B$11,Model!$B$20,0)-IF(20&lt;Model!$B$15,Model!$B$22,0))/(1-Model!$B$9)/(1+Model!$B$18)^20))</f>
        <v/>
      </c>
      <c r="AI86" s="7">
        <f>IF(A86="","",IF((A86+21)&gt;Model!$B$4,0,MAX(0,Model!$B$6-IF((A86+21)&gt;=Model!$B$11,Model!$B$20,0)-IF(21&lt;Model!$B$15,Model!$B$22,0))/(1-Model!$B$9)/(1+Model!$B$18)^21))</f>
        <v/>
      </c>
      <c r="AJ86" s="7">
        <f>IF(A86="","",IF((A86+22)&gt;Model!$B$4,0,MAX(0,Model!$B$6-IF((A86+22)&gt;=Model!$B$11,Model!$B$20,0)-IF(22&lt;Model!$B$15,Model!$B$22,0))/(1-Model!$B$9)/(1+Model!$B$18)^22))</f>
        <v/>
      </c>
      <c r="AK86" s="7">
        <f>IF(A86="","",IF((A86+23)&gt;Model!$B$4,0,MAX(0,Model!$B$6-IF((A86+23)&gt;=Model!$B$11,Model!$B$20,0)-IF(23&lt;Model!$B$15,Model!$B$22,0))/(1-Model!$B$9)/(1+Model!$B$18)^23))</f>
        <v/>
      </c>
      <c r="AL86" s="7">
        <f>IF(A86="","",IF((A86+24)&gt;Model!$B$4,0,MAX(0,Model!$B$6-IF((A86+24)&gt;=Model!$B$11,Model!$B$20,0)-IF(24&lt;Model!$B$15,Model!$B$22,0))/(1-Model!$B$9)/(1+Model!$B$18)^24))</f>
        <v/>
      </c>
      <c r="AM86" s="7">
        <f>IF(A86="","",IF((A86+25)&gt;Model!$B$4,0,MAX(0,Model!$B$6-IF((A86+25)&gt;=Model!$B$11,Model!$B$20,0)-IF(25&lt;Model!$B$15,Model!$B$22,0))/(1-Model!$B$9)/(1+Model!$B$18)^25))</f>
        <v/>
      </c>
      <c r="AN86" s="7">
        <f>IF(A86="","",IF((A86+26)&gt;Model!$B$4,0,MAX(0,Model!$B$6-IF((A86+26)&gt;=Model!$B$11,Model!$B$20,0)-IF(26&lt;Model!$B$15,Model!$B$22,0))/(1-Model!$B$9)/(1+Model!$B$18)^26))</f>
        <v/>
      </c>
      <c r="AO86" s="7">
        <f>IF(A86="","",IF((A86+27)&gt;Model!$B$4,0,MAX(0,Model!$B$6-IF((A86+27)&gt;=Model!$B$11,Model!$B$20,0)-IF(27&lt;Model!$B$15,Model!$B$22,0))/(1-Model!$B$9)/(1+Model!$B$18)^27))</f>
        <v/>
      </c>
      <c r="AP86" s="7">
        <f>IF(A86="","",IF((A86+28)&gt;Model!$B$4,0,MAX(0,Model!$B$6-IF((A86+28)&gt;=Model!$B$11,Model!$B$20,0)-IF(28&lt;Model!$B$15,Model!$B$22,0))/(1-Model!$B$9)/(1+Model!$B$18)^28))</f>
        <v/>
      </c>
      <c r="AQ86" s="7">
        <f>IF(A86="","",IF((A86+29)&gt;Model!$B$4,0,MAX(0,Model!$B$6-IF((A86+29)&gt;=Model!$B$11,Model!$B$20,0)-IF(29&lt;Model!$B$15,Model!$B$22,0))/(1-Model!$B$9)/(1+Model!$B$18)^29))</f>
        <v/>
      </c>
      <c r="AR86" s="7">
        <f>IF(A86="","",IF((A86+30)&gt;Model!$B$4,0,MAX(0,Model!$B$6-IF((A86+30)&gt;=Model!$B$11,Model!$B$20,0)-IF(30&lt;Model!$B$15,Model!$B$22,0))/(1-Model!$B$9)/(1+Model!$B$18)^30))</f>
        <v/>
      </c>
      <c r="AS86" s="7">
        <f>IF(A86="","",IF((A86+31)&gt;Model!$B$4,0,MAX(0,Model!$B$6-IF((A86+31)&gt;=Model!$B$11,Model!$B$20,0)-IF(31&lt;Model!$B$15,Model!$B$22,0))/(1-Model!$B$9)/(1+Model!$B$18)^31))</f>
        <v/>
      </c>
      <c r="AT86" s="7">
        <f>IF(A86="","",IF((A86+32)&gt;Model!$B$4,0,MAX(0,Model!$B$6-IF((A86+32)&gt;=Model!$B$11,Model!$B$20,0)-IF(32&lt;Model!$B$15,Model!$B$22,0))/(1-Model!$B$9)/(1+Model!$B$18)^32))</f>
        <v/>
      </c>
      <c r="AU86" s="7">
        <f>IF(A86="","",IF((A86+33)&gt;Model!$B$4,0,MAX(0,Model!$B$6-IF((A86+33)&gt;=Model!$B$11,Model!$B$20,0)-IF(33&lt;Model!$B$15,Model!$B$22,0))/(1-Model!$B$9)/(1+Model!$B$18)^33))</f>
        <v/>
      </c>
      <c r="AV86" s="7">
        <f>IF(A86="","",IF((A86+34)&gt;Model!$B$4,0,MAX(0,Model!$B$6-IF((A86+34)&gt;=Model!$B$11,Model!$B$20,0)-IF(34&lt;Model!$B$15,Model!$B$22,0))/(1-Model!$B$9)/(1+Model!$B$18)^34))</f>
        <v/>
      </c>
      <c r="AW86" s="7">
        <f>IF(A86="","",IF((A86+35)&gt;Model!$B$4,0,MAX(0,Model!$B$6-IF((A86+35)&gt;=Model!$B$11,Model!$B$20,0)-IF(35&lt;Model!$B$15,Model!$B$22,0))/(1-Model!$B$9)/(1+Model!$B$18)^35))</f>
        <v/>
      </c>
      <c r="AX86" s="7">
        <f>IF(A86="","",IF((A86+36)&gt;Model!$B$4,0,MAX(0,Model!$B$6-IF((A86+36)&gt;=Model!$B$11,Model!$B$20,0)-IF(36&lt;Model!$B$15,Model!$B$22,0))/(1-Model!$B$9)/(1+Model!$B$18)^36))</f>
        <v/>
      </c>
      <c r="AY86" s="7">
        <f>IF(A86="","",IF((A86+37)&gt;Model!$B$4,0,MAX(0,Model!$B$6-IF((A86+37)&gt;=Model!$B$11,Model!$B$20,0)-IF(37&lt;Model!$B$15,Model!$B$22,0))/(1-Model!$B$9)/(1+Model!$B$18)^37))</f>
        <v/>
      </c>
      <c r="AZ86" s="7">
        <f>IF(A86="","",IF((A86+38)&gt;Model!$B$4,0,MAX(0,Model!$B$6-IF((A86+38)&gt;=Model!$B$11,Model!$B$20,0)-IF(38&lt;Model!$B$15,Model!$B$22,0))/(1-Model!$B$9)/(1+Model!$B$18)^38))</f>
        <v/>
      </c>
      <c r="BA86" s="7">
        <f>IF(A86="","",IF((A86+39)&gt;Model!$B$4,0,MAX(0,Model!$B$6-IF((A86+39)&gt;=Model!$B$11,Model!$B$20,0)-IF(39&lt;Model!$B$15,Model!$B$22,0))/(1-Model!$B$9)/(1+Model!$B$18)^39))</f>
        <v/>
      </c>
      <c r="BB86" s="7">
        <f>IF(A86="","",IF((A86+40)&gt;Model!$B$4,0,MAX(0,Model!$B$6-IF((A86+40)&gt;=Model!$B$11,Model!$B$20,0)-IF(40&lt;Model!$B$15,Model!$B$22,0))/(1-Model!$B$9)/(1+Model!$B$18)^40))</f>
        <v/>
      </c>
      <c r="BC86" s="7">
        <f>IF(A86="","",IF((A86+41)&gt;Model!$B$4,0,MAX(0,Model!$B$6-IF((A86+41)&gt;=Model!$B$11,Model!$B$20,0)-IF(41&lt;Model!$B$15,Model!$B$22,0))/(1-Model!$B$9)/(1+Model!$B$18)^41))</f>
        <v/>
      </c>
      <c r="BD86" s="7">
        <f>IF(A86="","",IF((A86+42)&gt;Model!$B$4,0,MAX(0,Model!$B$6-IF((A86+42)&gt;=Model!$B$11,Model!$B$20,0)-IF(42&lt;Model!$B$15,Model!$B$22,0))/(1-Model!$B$9)/(1+Model!$B$18)^42))</f>
        <v/>
      </c>
      <c r="BE86" s="7">
        <f>IF(A86="","",IF((A86+43)&gt;Model!$B$4,0,MAX(0,Model!$B$6-IF((A86+43)&gt;=Model!$B$11,Model!$B$20,0)-IF(43&lt;Model!$B$15,Model!$B$22,0))/(1-Model!$B$9)/(1+Model!$B$18)^43))</f>
        <v/>
      </c>
      <c r="BF86" s="7">
        <f>IF(A86="","",IF((A86+44)&gt;Model!$B$4,0,MAX(0,Model!$B$6-IF((A86+44)&gt;=Model!$B$11,Model!$B$20,0)-IF(44&lt;Model!$B$15,Model!$B$22,0))/(1-Model!$B$9)/(1+Model!$B$18)^44))</f>
        <v/>
      </c>
      <c r="BG86" s="7">
        <f>IF(A86="","",IF((A86+45)&gt;Model!$B$4,0,MAX(0,Model!$B$6-IF((A86+45)&gt;=Model!$B$11,Model!$B$20,0)-IF(45&lt;Model!$B$15,Model!$B$22,0))/(1-Model!$B$9)/(1+Model!$B$18)^45))</f>
        <v/>
      </c>
      <c r="BH86" s="7">
        <f>IF(A86="","",IF((A86+46)&gt;Model!$B$4,0,MAX(0,Model!$B$6-IF((A86+46)&gt;=Model!$B$11,Model!$B$20,0)-IF(46&lt;Model!$B$15,Model!$B$22,0))/(1-Model!$B$9)/(1+Model!$B$18)^46))</f>
        <v/>
      </c>
      <c r="BI86" s="7">
        <f>IF(A86="","",IF((A86+47)&gt;Model!$B$4,0,MAX(0,Model!$B$6-IF((A86+47)&gt;=Model!$B$11,Model!$B$20,0)-IF(47&lt;Model!$B$15,Model!$B$22,0))/(1-Model!$B$9)/(1+Model!$B$18)^47))</f>
        <v/>
      </c>
      <c r="BJ86" s="7">
        <f>IF(A86="","",IF((A86+48)&gt;Model!$B$4,0,MAX(0,Model!$B$6-IF((A86+48)&gt;=Model!$B$11,Model!$B$20,0)-IF(48&lt;Model!$B$15,Model!$B$22,0))/(1-Model!$B$9)/(1+Model!$B$18)^48))</f>
        <v/>
      </c>
      <c r="BK86" s="7">
        <f>IF(A86="","",IF((A86+49)&gt;Model!$B$4,0,MAX(0,Model!$B$6-IF((A86+49)&gt;=Model!$B$11,Model!$B$20,0)-IF(49&lt;Model!$B$15,Model!$B$22,0))/(1-Model!$B$9)/(1+Model!$B$18)^49))</f>
        <v/>
      </c>
      <c r="BL86" s="7">
        <f>IF(A86="","",IF((A86+50)&gt;Model!$B$4,0,MAX(0,Model!$B$6-IF((A86+50)&gt;=Model!$B$11,Model!$B$20,0)-IF(50&lt;Model!$B$15,Model!$B$22,0))/(1-Model!$B$9)/(1+Model!$B$18)^50))</f>
        <v/>
      </c>
      <c r="BM86" s="7">
        <f>IF(A86="","",IF((A86+51)&gt;Model!$B$4,0,MAX(0,Model!$B$6-IF((A86+51)&gt;=Model!$B$11,Model!$B$20,0)-IF(51&lt;Model!$B$15,Model!$B$22,0))/(1-Model!$B$9)/(1+Model!$B$18)^51))</f>
        <v/>
      </c>
      <c r="BN86" s="7">
        <f>IF(A86="","",IF((A86+52)&gt;Model!$B$4,0,MAX(0,Model!$B$6-IF((A86+52)&gt;=Model!$B$11,Model!$B$20,0)-IF(52&lt;Model!$B$15,Model!$B$22,0))/(1-Model!$B$9)/(1+Model!$B$18)^52))</f>
        <v/>
      </c>
      <c r="BO86" s="7">
        <f>IF(A86="","",IF((A86+53)&gt;Model!$B$4,0,MAX(0,Model!$B$6-IF((A86+53)&gt;=Model!$B$11,Model!$B$20,0)-IF(53&lt;Model!$B$15,Model!$B$22,0))/(1-Model!$B$9)/(1+Model!$B$18)^53))</f>
        <v/>
      </c>
      <c r="BP86" s="7">
        <f>IF(A86="","",IF((A86+54)&gt;Model!$B$4,0,MAX(0,Model!$B$6-IF((A86+54)&gt;=Model!$B$11,Model!$B$20,0)-IF(54&lt;Model!$B$15,Model!$B$22,0))/(1-Model!$B$9)/(1+Model!$B$18)^54))</f>
        <v/>
      </c>
      <c r="BQ86" s="7">
        <f>IF(A86="","",IF((A86+55)&gt;Model!$B$4,0,MAX(0,Model!$B$6-IF((A86+55)&gt;=Model!$B$11,Model!$B$20,0)-IF(55&lt;Model!$B$15,Model!$B$22,0))/(1-Model!$B$9)/(1+Model!$B$18)^55))</f>
        <v/>
      </c>
      <c r="BR86" s="7">
        <f>IF(A86="","",IF((A86+56)&gt;Model!$B$4,0,MAX(0,Model!$B$6-IF((A86+56)&gt;=Model!$B$11,Model!$B$20,0)-IF(56&lt;Model!$B$15,Model!$B$22,0))/(1-Model!$B$9)/(1+Model!$B$18)^56))</f>
        <v/>
      </c>
      <c r="BS86" s="7">
        <f>IF(A86="","",IF((A86+57)&gt;Model!$B$4,0,MAX(0,Model!$B$6-IF((A86+57)&gt;=Model!$B$11,Model!$B$20,0)-IF(57&lt;Model!$B$15,Model!$B$22,0))/(1-Model!$B$9)/(1+Model!$B$18)^57))</f>
        <v/>
      </c>
      <c r="BT86" s="7">
        <f>IF(A86="","",IF((A86+58)&gt;Model!$B$4,0,MAX(0,Model!$B$6-IF((A86+58)&gt;=Model!$B$11,Model!$B$20,0)-IF(58&lt;Model!$B$15,Model!$B$22,0))/(1-Model!$B$9)/(1+Model!$B$18)^58))</f>
        <v/>
      </c>
      <c r="BU86" s="7">
        <f>IF(A86="","",IF((A86+59)&gt;Model!$B$4,0,MAX(0,Model!$B$6-IF((A86+59)&gt;=Model!$B$11,Model!$B$20,0)-IF(59&lt;Model!$B$15,Model!$B$22,0))/(1-Model!$B$9)/(1+Model!$B$18)^59))</f>
        <v/>
      </c>
      <c r="BV86" s="7">
        <f>IF(A86="","",IF((A86+60)&gt;Model!$B$4,0,MAX(0,Model!$B$6-IF((A86+60)&gt;=Model!$B$11,Model!$B$20,0)-IF(60&lt;Model!$B$15,Model!$B$22,0))/(1-Model!$B$9)/(1+Model!$B$18)^60))</f>
        <v/>
      </c>
      <c r="BW86" s="7">
        <f>IF(A86="","",IF((A86+61)&gt;Model!$B$4,0,MAX(0,Model!$B$6-IF((A86+61)&gt;=Model!$B$11,Model!$B$20,0)-IF(61&lt;Model!$B$15,Model!$B$22,0))/(1-Model!$B$9)/(1+Model!$B$18)^61))</f>
        <v/>
      </c>
      <c r="BX86" s="7">
        <f>IF(A86="","",IF((A86+62)&gt;Model!$B$4,0,MAX(0,Model!$B$6-IF((A86+62)&gt;=Model!$B$11,Model!$B$20,0)-IF(62&lt;Model!$B$15,Model!$B$22,0))/(1-Model!$B$9)/(1+Model!$B$18)^62))</f>
        <v/>
      </c>
      <c r="BY86" s="7">
        <f>IF(A86="","",IF((A86+63)&gt;Model!$B$4,0,MAX(0,Model!$B$6-IF((A86+63)&gt;=Model!$B$11,Model!$B$20,0)-IF(63&lt;Model!$B$15,Model!$B$22,0))/(1-Model!$B$9)/(1+Model!$B$18)^63))</f>
        <v/>
      </c>
      <c r="BZ86" s="7">
        <f>IF(A86="","",IF((A86+64)&gt;Model!$B$4,0,MAX(0,Model!$B$6-IF((A86+64)&gt;=Model!$B$11,Model!$B$20,0)-IF(64&lt;Model!$B$15,Model!$B$22,0))/(1-Model!$B$9)/(1+Model!$B$18)^64))</f>
        <v/>
      </c>
      <c r="CA86" s="7">
        <f>IF(A86="","",IF((A86+65)&gt;Model!$B$4,0,MAX(0,Model!$B$6-IF((A86+65)&gt;=Model!$B$11,Model!$B$20,0)-IF(65&lt;Model!$B$15,Model!$B$22,0))/(1-Model!$B$9)/(1+Model!$B$18)^65))</f>
        <v/>
      </c>
      <c r="CB86" s="7">
        <f>IF(A86="","",IF((A86+66)&gt;Model!$B$4,0,MAX(0,Model!$B$6-IF((A86+66)&gt;=Model!$B$11,Model!$B$20,0)-IF(66&lt;Model!$B$15,Model!$B$22,0))/(1-Model!$B$9)/(1+Model!$B$18)^66))</f>
        <v/>
      </c>
      <c r="CC86" s="7">
        <f>IF(A86="","",IF((A86+67)&gt;Model!$B$4,0,MAX(0,Model!$B$6-IF((A86+67)&gt;=Model!$B$11,Model!$B$20,0)-IF(67&lt;Model!$B$15,Model!$B$22,0))/(1-Model!$B$9)/(1+Model!$B$18)^67))</f>
        <v/>
      </c>
      <c r="CD86" s="7">
        <f>IF(A86="","",IF((A86+68)&gt;Model!$B$4,0,MAX(0,Model!$B$6-IF((A86+68)&gt;=Model!$B$11,Model!$B$20,0)-IF(68&lt;Model!$B$15,Model!$B$22,0))/(1-Model!$B$9)/(1+Model!$B$18)^68))</f>
        <v/>
      </c>
      <c r="CE86" s="7">
        <f>IF(A86="","",IF((A86+69)&gt;Model!$B$4,0,MAX(0,Model!$B$6-IF((A86+69)&gt;=Model!$B$11,Model!$B$20,0)-IF(69&lt;Model!$B$15,Model!$B$22,0))/(1-Model!$B$9)/(1+Model!$B$18)^69))</f>
        <v/>
      </c>
      <c r="CF86" s="7">
        <f>IF(A86="","",IF((A86+70)&gt;Model!$B$4,0,MAX(0,Model!$B$6-IF((A86+70)&gt;=Model!$B$11,Model!$B$20,0)-IF(70&lt;Model!$B$15,Model!$B$22,0))/(1-Model!$B$9)/(1+Model!$B$18)^70))</f>
        <v/>
      </c>
      <c r="CG86" s="7">
        <f>IF(A86="","",IF((A86+71)&gt;Model!$B$4,0,MAX(0,Model!$B$6-IF((A86+71)&gt;=Model!$B$11,Model!$B$20,0)-IF(71&lt;Model!$B$15,Model!$B$22,0))/(1-Model!$B$9)/(1+Model!$B$18)^71))</f>
        <v/>
      </c>
      <c r="CH86" s="7">
        <f>IF(A86="","",IF((A86+72)&gt;Model!$B$4,0,MAX(0,Model!$B$6-IF((A86+72)&gt;=Model!$B$11,Model!$B$20,0)-IF(72&lt;Model!$B$15,Model!$B$22,0))/(1-Model!$B$9)/(1+Model!$B$18)^72))</f>
        <v/>
      </c>
      <c r="CI86" s="7">
        <f>IF(A86="","",IF((A86+73)&gt;Model!$B$4,0,MAX(0,Model!$B$6-IF((A86+73)&gt;=Model!$B$11,Model!$B$20,0)-IF(73&lt;Model!$B$15,Model!$B$22,0))/(1-Model!$B$9)/(1+Model!$B$18)^73))</f>
        <v/>
      </c>
      <c r="CJ86" s="7">
        <f>IF(A86="","",IF((A86+74)&gt;Model!$B$4,0,MAX(0,Model!$B$6-IF((A86+74)&gt;=Model!$B$11,Model!$B$20,0)-IF(74&lt;Model!$B$15,Model!$B$22,0))/(1-Model!$B$9)/(1+Model!$B$18)^74))</f>
        <v/>
      </c>
      <c r="CK86" s="7">
        <f>IF(A86="","",IF((A86+75)&gt;Model!$B$4,0,MAX(0,Model!$B$6-IF((A86+75)&gt;=Model!$B$11,Model!$B$20,0)-IF(75&lt;Model!$B$15,Model!$B$22,0))/(1-Model!$B$9)/(1+Model!$B$18)^75))</f>
        <v/>
      </c>
      <c r="CL86" s="7">
        <f>IF(A86="","",IF((A86+76)&gt;Model!$B$4,0,MAX(0,Model!$B$6-IF((A86+76)&gt;=Model!$B$11,Model!$B$20,0)-IF(76&lt;Model!$B$15,Model!$B$22,0))/(1-Model!$B$9)/(1+Model!$B$18)^76))</f>
        <v/>
      </c>
      <c r="CM86" s="7">
        <f>IF(A86="","",IF((A86+77)&gt;Model!$B$4,0,MAX(0,Model!$B$6-IF((A86+77)&gt;=Model!$B$11,Model!$B$20,0)-IF(77&lt;Model!$B$15,Model!$B$22,0))/(1-Model!$B$9)/(1+Model!$B$18)^77))</f>
        <v/>
      </c>
      <c r="CN86" s="7">
        <f>IF(A86="","",IF((A86+78)&gt;Model!$B$4,0,MAX(0,Model!$B$6-IF((A86+78)&gt;=Model!$B$11,Model!$B$20,0)-IF(78&lt;Model!$B$15,Model!$B$22,0))/(1-Model!$B$9)/(1+Model!$B$18)^78))</f>
        <v/>
      </c>
      <c r="CO86" s="7">
        <f>IF(A86="","",IF((A86+79)&gt;Model!$B$4,0,MAX(0,Model!$B$6-IF((A86+79)&gt;=Model!$B$11,Model!$B$20,0)-IF(79&lt;Model!$B$15,Model!$B$22,0))/(1-Model!$B$9)/(1+Model!$B$18)^79))</f>
        <v/>
      </c>
      <c r="CP86" s="7">
        <f>IF(A86="","",IF((A86+80)&gt;Model!$B$4,0,MAX(0,Model!$B$6-IF((A86+80)&gt;=Model!$B$11,Model!$B$20,0)-IF(80&lt;Model!$B$15,Model!$B$22,0))/(1-Model!$B$9)/(1+Model!$B$18)^80))</f>
        <v/>
      </c>
      <c r="CQ86" s="7">
        <f>IF(A86="","",IF((A86+81)&gt;Model!$B$4,0,MAX(0,Model!$B$6-IF((A86+81)&gt;=Model!$B$11,Model!$B$20,0)-IF(81&lt;Model!$B$15,Model!$B$22,0))/(1-Model!$B$9)/(1+Model!$B$18)^81))</f>
        <v/>
      </c>
      <c r="CR86" s="7">
        <f>IF(A86="","",IF((A86+82)&gt;Model!$B$4,0,MAX(0,Model!$B$6-IF((A86+82)&gt;=Model!$B$11,Model!$B$20,0)-IF(82&lt;Model!$B$15,Model!$B$22,0))/(1-Model!$B$9)/(1+Model!$B$18)^82))</f>
        <v/>
      </c>
      <c r="CS86" s="7">
        <f>IF(A86="","",IF((A86+83)&gt;Model!$B$4,0,MAX(0,Model!$B$6-IF((A86+83)&gt;=Model!$B$11,Model!$B$20,0)-IF(83&lt;Model!$B$15,Model!$B$22,0))/(1-Model!$B$9)/(1+Model!$B$18)^83))</f>
        <v/>
      </c>
      <c r="CT86" s="7">
        <f>IF(A86="","",IF((A86+84)&gt;Model!$B$4,0,MAX(0,Model!$B$6-IF((A86+84)&gt;=Model!$B$11,Model!$B$20,0)-IF(84&lt;Model!$B$15,Model!$B$22,0))/(1-Model!$B$9)/(1+Model!$B$18)^84))</f>
        <v/>
      </c>
      <c r="CU86" s="7">
        <f>IF(A86="","",IF((A86+85)&gt;Model!$B$4,0,MAX(0,Model!$B$6-IF((A86+85)&gt;=Model!$B$11,Model!$B$20,0)-IF(85&lt;Model!$B$15,Model!$B$22,0))/(1-Model!$B$9)/(1+Model!$B$18)^85))</f>
        <v/>
      </c>
      <c r="CV86" s="7">
        <f>IF(A86="","",IF((A86+86)&gt;Model!$B$4,0,MAX(0,Model!$B$6-IF((A86+86)&gt;=Model!$B$11,Model!$B$20,0)-IF(86&lt;Model!$B$15,Model!$B$22,0))/(1-Model!$B$9)/(1+Model!$B$18)^86))</f>
        <v/>
      </c>
      <c r="CW86" s="7">
        <f>IF(A86="","",IF((A86+87)&gt;Model!$B$4,0,MAX(0,Model!$B$6-IF((A86+87)&gt;=Model!$B$11,Model!$B$20,0)-IF(87&lt;Model!$B$15,Model!$B$22,0))/(1-Model!$B$9)/(1+Model!$B$18)^87))</f>
        <v/>
      </c>
      <c r="CX86" s="7">
        <f>IF(A86="","",IF((A86+88)&gt;Model!$B$4,0,MAX(0,Model!$B$6-IF((A86+88)&gt;=Model!$B$11,Model!$B$20,0)-IF(88&lt;Model!$B$15,Model!$B$22,0))/(1-Model!$B$9)/(1+Model!$B$18)^88))</f>
        <v/>
      </c>
      <c r="CY86" s="7">
        <f>IF(A86="","",IF((A86+89)&gt;Model!$B$4,0,MAX(0,Model!$B$6-IF((A86+89)&gt;=Model!$B$11,Model!$B$20,0)-IF(89&lt;Model!$B$15,Model!$B$22,0))/(1-Model!$B$9)/(1+Model!$B$18)^89))</f>
        <v/>
      </c>
      <c r="CZ86" s="7">
        <f>IF(A86="","",IF((A86+90)&gt;Model!$B$4,0,MAX(0,Model!$B$6-IF((A86+90)&gt;=Model!$B$11,Model!$B$20,0)-IF(90&lt;Model!$B$15,Model!$B$22,0))/(1-Model!$B$9)/(1+Model!$B$18)^90))</f>
        <v/>
      </c>
      <c r="DA86" s="7">
        <f>IF(A86="","",IF((A86+91)&gt;Model!$B$4,0,MAX(0,Model!$B$6-IF((A86+91)&gt;=Model!$B$11,Model!$B$20,0)-IF(91&lt;Model!$B$15,Model!$B$22,0))/(1-Model!$B$9)/(1+Model!$B$18)^91))</f>
        <v/>
      </c>
      <c r="DB86" s="7">
        <f>IF(A86="","",IF((A86+92)&gt;Model!$B$4,0,MAX(0,Model!$B$6-IF((A86+92)&gt;=Model!$B$11,Model!$B$20,0)-IF(92&lt;Model!$B$15,Model!$B$22,0))/(1-Model!$B$9)/(1+Model!$B$18)^92))</f>
        <v/>
      </c>
      <c r="DC86" s="7">
        <f>IF(A86="","",IF((A86+93)&gt;Model!$B$4,0,MAX(0,Model!$B$6-IF((A86+93)&gt;=Model!$B$11,Model!$B$20,0)-IF(93&lt;Model!$B$15,Model!$B$22,0))/(1-Model!$B$9)/(1+Model!$B$18)^93))</f>
        <v/>
      </c>
      <c r="DD86" s="7">
        <f>IF(A86="","",IF((A86+94)&gt;Model!$B$4,0,MAX(0,Model!$B$6-IF((A86+94)&gt;=Model!$B$11,Model!$B$20,0)-IF(94&lt;Model!$B$15,Model!$B$22,0))/(1-Model!$B$9)/(1+Model!$B$18)^94))</f>
        <v/>
      </c>
      <c r="DE86" s="7">
        <f>IF(A86="","",IF((A86+95)&gt;Model!$B$4,0,MAX(0,Model!$B$6-IF((A86+95)&gt;=Model!$B$11,Model!$B$20,0)-IF(95&lt;Model!$B$15,Model!$B$22,0))/(1-Model!$B$9)/(1+Model!$B$18)^95))</f>
        <v/>
      </c>
      <c r="DF86" s="7">
        <f>IF(A86="","",IF((A86+96)&gt;Model!$B$4,0,MAX(0,Model!$B$6-IF((A86+96)&gt;=Model!$B$11,Model!$B$20,0)-IF(96&lt;Model!$B$15,Model!$B$22,0))/(1-Model!$B$9)/(1+Model!$B$18)^96))</f>
        <v/>
      </c>
      <c r="DG86" s="7">
        <f>IF(A86="","",IF((A86+97)&gt;Model!$B$4,0,MAX(0,Model!$B$6-IF((A86+97)&gt;=Model!$B$11,Model!$B$20,0)-IF(97&lt;Model!$B$15,Model!$B$22,0))/(1-Model!$B$9)/(1+Model!$B$18)^97))</f>
        <v/>
      </c>
      <c r="DH86" s="7">
        <f>IF(A86="","",IF((A86+98)&gt;Model!$B$4,0,MAX(0,Model!$B$6-IF((A86+98)&gt;=Model!$B$11,Model!$B$20,0)-IF(98&lt;Model!$B$15,Model!$B$22,0))/(1-Model!$B$9)/(1+Model!$B$18)^98))</f>
        <v/>
      </c>
      <c r="DI86" s="7">
        <f>IF(A86="","",IF((A86+99)&gt;Model!$B$4,0,MAX(0,Model!$B$6-IF((A86+99)&gt;=Model!$B$11,Model!$B$20,0)-IF(99&lt;Model!$B$15,Model!$B$22,0))/(1-Model!$B$9)/(1+Model!$B$18)^99))</f>
        <v/>
      </c>
      <c r="DJ86" s="7">
        <f>IF(A86="","",IF((A86+100)&gt;Model!$B$4,0,MAX(0,Model!$B$6-IF((A86+100)&gt;=Model!$B$11,Model!$B$20,0)-IF(100&lt;Model!$B$15,Model!$B$22,0))/(1-Model!$B$9)/(1+Model!$B$18)^100))</f>
        <v/>
      </c>
      <c r="DK86" s="7">
        <f>IF(A86="","",IF((A86+101)&gt;Model!$B$4,0,MAX(0,Model!$B$6-IF((A86+101)&gt;=Model!$B$11,Model!$B$20,0)-IF(101&lt;Model!$B$15,Model!$B$22,0))/(1-Model!$B$9)/(1+Model!$B$18)^101))</f>
        <v/>
      </c>
      <c r="DL86" s="7">
        <f>IF(A86="","",IF((A86+102)&gt;Model!$B$4,0,MAX(0,Model!$B$6-IF((A86+102)&gt;=Model!$B$11,Model!$B$20,0)-IF(102&lt;Model!$B$15,Model!$B$22,0))/(1-Model!$B$9)/(1+Model!$B$18)^102))</f>
        <v/>
      </c>
      <c r="DM86" s="7">
        <f>IF(A86="","",IF((A86+103)&gt;Model!$B$4,0,MAX(0,Model!$B$6-IF((A86+103)&gt;=Model!$B$11,Model!$B$20,0)-IF(103&lt;Model!$B$15,Model!$B$22,0))/(1-Model!$B$9)/(1+Model!$B$18)^103))</f>
        <v/>
      </c>
      <c r="DN86" s="7">
        <f>IF(A86="","",IF((A86+104)&gt;Model!$B$4,0,MAX(0,Model!$B$6-IF((A86+104)&gt;=Model!$B$11,Model!$B$20,0)-IF(104&lt;Model!$B$15,Model!$B$22,0))/(1-Model!$B$9)/(1+Model!$B$18)^104))</f>
        <v/>
      </c>
      <c r="DO86" s="7">
        <f>IF(A86="","",IF((A86+105)&gt;Model!$B$4,0,MAX(0,Model!$B$6-IF((A86+105)&gt;=Model!$B$11,Model!$B$20,0)-IF(105&lt;Model!$B$15,Model!$B$22,0))/(1-Model!$B$9)/(1+Model!$B$18)^105))</f>
        <v/>
      </c>
      <c r="DP86" s="7">
        <f>IF(A86="","",IF((A86+106)&gt;Model!$B$4,0,MAX(0,Model!$B$6-IF((A86+106)&gt;=Model!$B$11,Model!$B$20,0)-IF(106&lt;Model!$B$15,Model!$B$22,0))/(1-Model!$B$9)/(1+Model!$B$18)^106))</f>
        <v/>
      </c>
      <c r="DQ86" s="7">
        <f>IF(A86="","",IF((A86+107)&gt;Model!$B$4,0,MAX(0,Model!$B$6-IF((A86+107)&gt;=Model!$B$11,Model!$B$20,0)-IF(107&lt;Model!$B$15,Model!$B$22,0))/(1-Model!$B$9)/(1+Model!$B$18)^107))</f>
        <v/>
      </c>
      <c r="DR86" s="7">
        <f>IF(A86="","",IF((A86+108)&gt;Model!$B$4,0,MAX(0,Model!$B$6-IF((A86+108)&gt;=Model!$B$11,Model!$B$20,0)-IF(108&lt;Model!$B$15,Model!$B$22,0))/(1-Model!$B$9)/(1+Model!$B$18)^108))</f>
        <v/>
      </c>
      <c r="DS86" s="7">
        <f>IF(A86="","",IF((A86+109)&gt;Model!$B$4,0,MAX(0,Model!$B$6-IF((A86+109)&gt;=Model!$B$11,Model!$B$20,0)-IF(109&lt;Model!$B$15,Model!$B$22,0))/(1-Model!$B$9)/(1+Model!$B$18)^109))</f>
        <v/>
      </c>
      <c r="DT86" s="7">
        <f>IF(A86="","",IF((A86+110)&gt;Model!$B$4,0,MAX(0,Model!$B$6-IF((A86+110)&gt;=Model!$B$11,Model!$B$20,0)-IF(110&lt;Model!$B$15,Model!$B$22,0))/(1-Model!$B$9)/(1+Model!$B$18)^110))</f>
        <v/>
      </c>
      <c r="DU86" s="7">
        <f>IF(A86="","",IF((A86+111)&gt;Model!$B$4,0,MAX(0,Model!$B$6-IF((A86+111)&gt;=Model!$B$11,Model!$B$20,0)-IF(111&lt;Model!$B$15,Model!$B$22,0))/(1-Model!$B$9)/(1+Model!$B$18)^111))</f>
        <v/>
      </c>
      <c r="DV86" s="7">
        <f>IF(A86="","",IF((A86+112)&gt;Model!$B$4,0,MAX(0,Model!$B$6-IF((A86+112)&gt;=Model!$B$11,Model!$B$20,0)-IF(112&lt;Model!$B$15,Model!$B$22,0))/(1-Model!$B$9)/(1+Model!$B$18)^112))</f>
        <v/>
      </c>
      <c r="DW86" s="7">
        <f>IF(A86="","",IF((A86+113)&gt;Model!$B$4,0,MAX(0,Model!$B$6-IF((A86+113)&gt;=Model!$B$11,Model!$B$20,0)-IF(113&lt;Model!$B$15,Model!$B$22,0))/(1-Model!$B$9)/(1+Model!$B$18)^113))</f>
        <v/>
      </c>
      <c r="DX86" s="7">
        <f>IF(A86="","",IF((A86+114)&gt;Model!$B$4,0,MAX(0,Model!$B$6-IF((A86+114)&gt;=Model!$B$11,Model!$B$20,0)-IF(114&lt;Model!$B$15,Model!$B$22,0))/(1-Model!$B$9)/(1+Model!$B$18)^114))</f>
        <v/>
      </c>
      <c r="DY86" s="7">
        <f>IF(A86="","",IF((A86+115)&gt;Model!$B$4,0,MAX(0,Model!$B$6-IF((A86+115)&gt;=Model!$B$11,Model!$B$20,0)-IF(115&lt;Model!$B$15,Model!$B$22,0))/(1-Model!$B$9)/(1+Model!$B$18)^115))</f>
        <v/>
      </c>
      <c r="DZ86" s="7">
        <f>IF(A86="","",IF((A86+116)&gt;Model!$B$4,0,MAX(0,Model!$B$6-IF((A86+116)&gt;=Model!$B$11,Model!$B$20,0)-IF(116&lt;Model!$B$15,Model!$B$22,0))/(1-Model!$B$9)/(1+Model!$B$18)^116))</f>
        <v/>
      </c>
      <c r="EA86" s="7">
        <f>IF(A86="","",IF((A86+117)&gt;Model!$B$4,0,MAX(0,Model!$B$6-IF((A86+117)&gt;=Model!$B$11,Model!$B$20,0)-IF(117&lt;Model!$B$15,Model!$B$22,0))/(1-Model!$B$9)/(1+Model!$B$18)^117))</f>
        <v/>
      </c>
      <c r="EB86" s="7">
        <f>IF(A86="","",IF((A86+118)&gt;Model!$B$4,0,MAX(0,Model!$B$6-IF((A86+118)&gt;=Model!$B$11,Model!$B$20,0)-IF(118&lt;Model!$B$15,Model!$B$22,0))/(1-Model!$B$9)/(1+Model!$B$18)^118))</f>
        <v/>
      </c>
      <c r="EC86" s="7">
        <f>IF(A86="","",IF((A86+119)&gt;Model!$B$4,0,MAX(0,Model!$B$6-IF((A86+119)&gt;=Model!$B$11,Model!$B$20,0)-IF(119&lt;Model!$B$15,Model!$B$22,0))/(1-Model!$B$9)/(1+Model!$B$18)^119))</f>
        <v/>
      </c>
      <c r="ED86" s="7">
        <f>IF(A86="","",IF((A86+120)&gt;Model!$B$4,0,MAX(0,Model!$B$6-IF((A86+120)&gt;=Model!$B$11,Model!$B$20,0)-IF(120&lt;Model!$B$15,Model!$B$22,0))/(1-Model!$B$9)/(1+Model!$B$18)^120))</f>
        <v/>
      </c>
    </row>
    <row r="87">
      <c r="A87">
        <f>IF(Model!$B$10+ROW()-2&lt;=Model!$B$4,Model!$B$10+ROW()-2,"")</f>
        <v/>
      </c>
      <c r="B87">
        <f>IF(A87="","",A87-Model!$B$10)</f>
        <v/>
      </c>
      <c r="C87" s="7">
        <f>IF(A87="","",Model!$B$5*(1+Model!$B$18)^B87)</f>
        <v/>
      </c>
      <c r="D87" s="7">
        <f>IF(A87="","",SUM(N87:ED87))</f>
        <v/>
      </c>
      <c r="E87" s="7">
        <f>IF(A87="","",IF(A87&gt;=Model!$B$11,Model!$B$20,0))</f>
        <v/>
      </c>
      <c r="F87" s="7">
        <f>IF(A87="","",IF(Model!$B$15&gt;0,Model!$B$22,0))</f>
        <v/>
      </c>
      <c r="G87" s="7">
        <f>IF(A87="","",E87+F87)</f>
        <v/>
      </c>
      <c r="H87" s="7">
        <f>IF(A87="","",MAX(0,Model!$B$6-G87))</f>
        <v/>
      </c>
      <c r="I87" s="7">
        <f>IF(A87="","",H87/(1-Model!$B$9))</f>
        <v/>
      </c>
      <c r="J87" s="7">
        <f>IF(A87="","",C87-D87)</f>
        <v/>
      </c>
      <c r="K87">
        <f>IF(A87="","",C87&gt;=D87)</f>
        <v/>
      </c>
      <c r="L87" s="7">
        <f>IF(A87="","",IF(A87&gt;=Model!$B$11,Model!$B$19*(1+Model!$B$13)^B87,0))</f>
        <v/>
      </c>
      <c r="M87" s="7">
        <f>IF(A87="","",IF(Model!$B$15&gt;0,Model!$B$21*(1+Model!$B$13)^B87,0))</f>
        <v/>
      </c>
      <c r="N87" s="7">
        <f>IF(A87="","",IF((A87+0)&gt;Model!$B$4,0,MAX(0,Model!$B$6-IF((A87+0)&gt;=Model!$B$11,Model!$B$20,0)-IF(0&lt;Model!$B$15,Model!$B$22,0))/(1-Model!$B$9)/(1+Model!$B$18)^0))</f>
        <v/>
      </c>
      <c r="O87" s="7">
        <f>IF(A87="","",IF((A87+1)&gt;Model!$B$4,0,MAX(0,Model!$B$6-IF((A87+1)&gt;=Model!$B$11,Model!$B$20,0)-IF(1&lt;Model!$B$15,Model!$B$22,0))/(1-Model!$B$9)/(1+Model!$B$18)^1))</f>
        <v/>
      </c>
      <c r="P87" s="7">
        <f>IF(A87="","",IF((A87+2)&gt;Model!$B$4,0,MAX(0,Model!$B$6-IF((A87+2)&gt;=Model!$B$11,Model!$B$20,0)-IF(2&lt;Model!$B$15,Model!$B$22,0))/(1-Model!$B$9)/(1+Model!$B$18)^2))</f>
        <v/>
      </c>
      <c r="Q87" s="7">
        <f>IF(A87="","",IF((A87+3)&gt;Model!$B$4,0,MAX(0,Model!$B$6-IF((A87+3)&gt;=Model!$B$11,Model!$B$20,0)-IF(3&lt;Model!$B$15,Model!$B$22,0))/(1-Model!$B$9)/(1+Model!$B$18)^3))</f>
        <v/>
      </c>
      <c r="R87" s="7">
        <f>IF(A87="","",IF((A87+4)&gt;Model!$B$4,0,MAX(0,Model!$B$6-IF((A87+4)&gt;=Model!$B$11,Model!$B$20,0)-IF(4&lt;Model!$B$15,Model!$B$22,0))/(1-Model!$B$9)/(1+Model!$B$18)^4))</f>
        <v/>
      </c>
      <c r="S87" s="7">
        <f>IF(A87="","",IF((A87+5)&gt;Model!$B$4,0,MAX(0,Model!$B$6-IF((A87+5)&gt;=Model!$B$11,Model!$B$20,0)-IF(5&lt;Model!$B$15,Model!$B$22,0))/(1-Model!$B$9)/(1+Model!$B$18)^5))</f>
        <v/>
      </c>
      <c r="T87" s="7">
        <f>IF(A87="","",IF((A87+6)&gt;Model!$B$4,0,MAX(0,Model!$B$6-IF((A87+6)&gt;=Model!$B$11,Model!$B$20,0)-IF(6&lt;Model!$B$15,Model!$B$22,0))/(1-Model!$B$9)/(1+Model!$B$18)^6))</f>
        <v/>
      </c>
      <c r="U87" s="7">
        <f>IF(A87="","",IF((A87+7)&gt;Model!$B$4,0,MAX(0,Model!$B$6-IF((A87+7)&gt;=Model!$B$11,Model!$B$20,0)-IF(7&lt;Model!$B$15,Model!$B$22,0))/(1-Model!$B$9)/(1+Model!$B$18)^7))</f>
        <v/>
      </c>
      <c r="V87" s="7">
        <f>IF(A87="","",IF((A87+8)&gt;Model!$B$4,0,MAX(0,Model!$B$6-IF((A87+8)&gt;=Model!$B$11,Model!$B$20,0)-IF(8&lt;Model!$B$15,Model!$B$22,0))/(1-Model!$B$9)/(1+Model!$B$18)^8))</f>
        <v/>
      </c>
      <c r="W87" s="7">
        <f>IF(A87="","",IF((A87+9)&gt;Model!$B$4,0,MAX(0,Model!$B$6-IF((A87+9)&gt;=Model!$B$11,Model!$B$20,0)-IF(9&lt;Model!$B$15,Model!$B$22,0))/(1-Model!$B$9)/(1+Model!$B$18)^9))</f>
        <v/>
      </c>
      <c r="X87" s="7">
        <f>IF(A87="","",IF((A87+10)&gt;Model!$B$4,0,MAX(0,Model!$B$6-IF((A87+10)&gt;=Model!$B$11,Model!$B$20,0)-IF(10&lt;Model!$B$15,Model!$B$22,0))/(1-Model!$B$9)/(1+Model!$B$18)^10))</f>
        <v/>
      </c>
      <c r="Y87" s="7">
        <f>IF(A87="","",IF((A87+11)&gt;Model!$B$4,0,MAX(0,Model!$B$6-IF((A87+11)&gt;=Model!$B$11,Model!$B$20,0)-IF(11&lt;Model!$B$15,Model!$B$22,0))/(1-Model!$B$9)/(1+Model!$B$18)^11))</f>
        <v/>
      </c>
      <c r="Z87" s="7">
        <f>IF(A87="","",IF((A87+12)&gt;Model!$B$4,0,MAX(0,Model!$B$6-IF((A87+12)&gt;=Model!$B$11,Model!$B$20,0)-IF(12&lt;Model!$B$15,Model!$B$22,0))/(1-Model!$B$9)/(1+Model!$B$18)^12))</f>
        <v/>
      </c>
      <c r="AA87" s="7">
        <f>IF(A87="","",IF((A87+13)&gt;Model!$B$4,0,MAX(0,Model!$B$6-IF((A87+13)&gt;=Model!$B$11,Model!$B$20,0)-IF(13&lt;Model!$B$15,Model!$B$22,0))/(1-Model!$B$9)/(1+Model!$B$18)^13))</f>
        <v/>
      </c>
      <c r="AB87" s="7">
        <f>IF(A87="","",IF((A87+14)&gt;Model!$B$4,0,MAX(0,Model!$B$6-IF((A87+14)&gt;=Model!$B$11,Model!$B$20,0)-IF(14&lt;Model!$B$15,Model!$B$22,0))/(1-Model!$B$9)/(1+Model!$B$18)^14))</f>
        <v/>
      </c>
      <c r="AC87" s="7">
        <f>IF(A87="","",IF((A87+15)&gt;Model!$B$4,0,MAX(0,Model!$B$6-IF((A87+15)&gt;=Model!$B$11,Model!$B$20,0)-IF(15&lt;Model!$B$15,Model!$B$22,0))/(1-Model!$B$9)/(1+Model!$B$18)^15))</f>
        <v/>
      </c>
      <c r="AD87" s="7">
        <f>IF(A87="","",IF((A87+16)&gt;Model!$B$4,0,MAX(0,Model!$B$6-IF((A87+16)&gt;=Model!$B$11,Model!$B$20,0)-IF(16&lt;Model!$B$15,Model!$B$22,0))/(1-Model!$B$9)/(1+Model!$B$18)^16))</f>
        <v/>
      </c>
      <c r="AE87" s="7">
        <f>IF(A87="","",IF((A87+17)&gt;Model!$B$4,0,MAX(0,Model!$B$6-IF((A87+17)&gt;=Model!$B$11,Model!$B$20,0)-IF(17&lt;Model!$B$15,Model!$B$22,0))/(1-Model!$B$9)/(1+Model!$B$18)^17))</f>
        <v/>
      </c>
      <c r="AF87" s="7">
        <f>IF(A87="","",IF((A87+18)&gt;Model!$B$4,0,MAX(0,Model!$B$6-IF((A87+18)&gt;=Model!$B$11,Model!$B$20,0)-IF(18&lt;Model!$B$15,Model!$B$22,0))/(1-Model!$B$9)/(1+Model!$B$18)^18))</f>
        <v/>
      </c>
      <c r="AG87" s="7">
        <f>IF(A87="","",IF((A87+19)&gt;Model!$B$4,0,MAX(0,Model!$B$6-IF((A87+19)&gt;=Model!$B$11,Model!$B$20,0)-IF(19&lt;Model!$B$15,Model!$B$22,0))/(1-Model!$B$9)/(1+Model!$B$18)^19))</f>
        <v/>
      </c>
      <c r="AH87" s="7">
        <f>IF(A87="","",IF((A87+20)&gt;Model!$B$4,0,MAX(0,Model!$B$6-IF((A87+20)&gt;=Model!$B$11,Model!$B$20,0)-IF(20&lt;Model!$B$15,Model!$B$22,0))/(1-Model!$B$9)/(1+Model!$B$18)^20))</f>
        <v/>
      </c>
      <c r="AI87" s="7">
        <f>IF(A87="","",IF((A87+21)&gt;Model!$B$4,0,MAX(0,Model!$B$6-IF((A87+21)&gt;=Model!$B$11,Model!$B$20,0)-IF(21&lt;Model!$B$15,Model!$B$22,0))/(1-Model!$B$9)/(1+Model!$B$18)^21))</f>
        <v/>
      </c>
      <c r="AJ87" s="7">
        <f>IF(A87="","",IF((A87+22)&gt;Model!$B$4,0,MAX(0,Model!$B$6-IF((A87+22)&gt;=Model!$B$11,Model!$B$20,0)-IF(22&lt;Model!$B$15,Model!$B$22,0))/(1-Model!$B$9)/(1+Model!$B$18)^22))</f>
        <v/>
      </c>
      <c r="AK87" s="7">
        <f>IF(A87="","",IF((A87+23)&gt;Model!$B$4,0,MAX(0,Model!$B$6-IF((A87+23)&gt;=Model!$B$11,Model!$B$20,0)-IF(23&lt;Model!$B$15,Model!$B$22,0))/(1-Model!$B$9)/(1+Model!$B$18)^23))</f>
        <v/>
      </c>
      <c r="AL87" s="7">
        <f>IF(A87="","",IF((A87+24)&gt;Model!$B$4,0,MAX(0,Model!$B$6-IF((A87+24)&gt;=Model!$B$11,Model!$B$20,0)-IF(24&lt;Model!$B$15,Model!$B$22,0))/(1-Model!$B$9)/(1+Model!$B$18)^24))</f>
        <v/>
      </c>
      <c r="AM87" s="7">
        <f>IF(A87="","",IF((A87+25)&gt;Model!$B$4,0,MAX(0,Model!$B$6-IF((A87+25)&gt;=Model!$B$11,Model!$B$20,0)-IF(25&lt;Model!$B$15,Model!$B$22,0))/(1-Model!$B$9)/(1+Model!$B$18)^25))</f>
        <v/>
      </c>
      <c r="AN87" s="7">
        <f>IF(A87="","",IF((A87+26)&gt;Model!$B$4,0,MAX(0,Model!$B$6-IF((A87+26)&gt;=Model!$B$11,Model!$B$20,0)-IF(26&lt;Model!$B$15,Model!$B$22,0))/(1-Model!$B$9)/(1+Model!$B$18)^26))</f>
        <v/>
      </c>
      <c r="AO87" s="7">
        <f>IF(A87="","",IF((A87+27)&gt;Model!$B$4,0,MAX(0,Model!$B$6-IF((A87+27)&gt;=Model!$B$11,Model!$B$20,0)-IF(27&lt;Model!$B$15,Model!$B$22,0))/(1-Model!$B$9)/(1+Model!$B$18)^27))</f>
        <v/>
      </c>
      <c r="AP87" s="7">
        <f>IF(A87="","",IF((A87+28)&gt;Model!$B$4,0,MAX(0,Model!$B$6-IF((A87+28)&gt;=Model!$B$11,Model!$B$20,0)-IF(28&lt;Model!$B$15,Model!$B$22,0))/(1-Model!$B$9)/(1+Model!$B$18)^28))</f>
        <v/>
      </c>
      <c r="AQ87" s="7">
        <f>IF(A87="","",IF((A87+29)&gt;Model!$B$4,0,MAX(0,Model!$B$6-IF((A87+29)&gt;=Model!$B$11,Model!$B$20,0)-IF(29&lt;Model!$B$15,Model!$B$22,0))/(1-Model!$B$9)/(1+Model!$B$18)^29))</f>
        <v/>
      </c>
      <c r="AR87" s="7">
        <f>IF(A87="","",IF((A87+30)&gt;Model!$B$4,0,MAX(0,Model!$B$6-IF((A87+30)&gt;=Model!$B$11,Model!$B$20,0)-IF(30&lt;Model!$B$15,Model!$B$22,0))/(1-Model!$B$9)/(1+Model!$B$18)^30))</f>
        <v/>
      </c>
      <c r="AS87" s="7">
        <f>IF(A87="","",IF((A87+31)&gt;Model!$B$4,0,MAX(0,Model!$B$6-IF((A87+31)&gt;=Model!$B$11,Model!$B$20,0)-IF(31&lt;Model!$B$15,Model!$B$22,0))/(1-Model!$B$9)/(1+Model!$B$18)^31))</f>
        <v/>
      </c>
      <c r="AT87" s="7">
        <f>IF(A87="","",IF((A87+32)&gt;Model!$B$4,0,MAX(0,Model!$B$6-IF((A87+32)&gt;=Model!$B$11,Model!$B$20,0)-IF(32&lt;Model!$B$15,Model!$B$22,0))/(1-Model!$B$9)/(1+Model!$B$18)^32))</f>
        <v/>
      </c>
      <c r="AU87" s="7">
        <f>IF(A87="","",IF((A87+33)&gt;Model!$B$4,0,MAX(0,Model!$B$6-IF((A87+33)&gt;=Model!$B$11,Model!$B$20,0)-IF(33&lt;Model!$B$15,Model!$B$22,0))/(1-Model!$B$9)/(1+Model!$B$18)^33))</f>
        <v/>
      </c>
      <c r="AV87" s="7">
        <f>IF(A87="","",IF((A87+34)&gt;Model!$B$4,0,MAX(0,Model!$B$6-IF((A87+34)&gt;=Model!$B$11,Model!$B$20,0)-IF(34&lt;Model!$B$15,Model!$B$22,0))/(1-Model!$B$9)/(1+Model!$B$18)^34))</f>
        <v/>
      </c>
      <c r="AW87" s="7">
        <f>IF(A87="","",IF((A87+35)&gt;Model!$B$4,0,MAX(0,Model!$B$6-IF((A87+35)&gt;=Model!$B$11,Model!$B$20,0)-IF(35&lt;Model!$B$15,Model!$B$22,0))/(1-Model!$B$9)/(1+Model!$B$18)^35))</f>
        <v/>
      </c>
      <c r="AX87" s="7">
        <f>IF(A87="","",IF((A87+36)&gt;Model!$B$4,0,MAX(0,Model!$B$6-IF((A87+36)&gt;=Model!$B$11,Model!$B$20,0)-IF(36&lt;Model!$B$15,Model!$B$22,0))/(1-Model!$B$9)/(1+Model!$B$18)^36))</f>
        <v/>
      </c>
      <c r="AY87" s="7">
        <f>IF(A87="","",IF((A87+37)&gt;Model!$B$4,0,MAX(0,Model!$B$6-IF((A87+37)&gt;=Model!$B$11,Model!$B$20,0)-IF(37&lt;Model!$B$15,Model!$B$22,0))/(1-Model!$B$9)/(1+Model!$B$18)^37))</f>
        <v/>
      </c>
      <c r="AZ87" s="7">
        <f>IF(A87="","",IF((A87+38)&gt;Model!$B$4,0,MAX(0,Model!$B$6-IF((A87+38)&gt;=Model!$B$11,Model!$B$20,0)-IF(38&lt;Model!$B$15,Model!$B$22,0))/(1-Model!$B$9)/(1+Model!$B$18)^38))</f>
        <v/>
      </c>
      <c r="BA87" s="7">
        <f>IF(A87="","",IF((A87+39)&gt;Model!$B$4,0,MAX(0,Model!$B$6-IF((A87+39)&gt;=Model!$B$11,Model!$B$20,0)-IF(39&lt;Model!$B$15,Model!$B$22,0))/(1-Model!$B$9)/(1+Model!$B$18)^39))</f>
        <v/>
      </c>
      <c r="BB87" s="7">
        <f>IF(A87="","",IF((A87+40)&gt;Model!$B$4,0,MAX(0,Model!$B$6-IF((A87+40)&gt;=Model!$B$11,Model!$B$20,0)-IF(40&lt;Model!$B$15,Model!$B$22,0))/(1-Model!$B$9)/(1+Model!$B$18)^40))</f>
        <v/>
      </c>
      <c r="BC87" s="7">
        <f>IF(A87="","",IF((A87+41)&gt;Model!$B$4,0,MAX(0,Model!$B$6-IF((A87+41)&gt;=Model!$B$11,Model!$B$20,0)-IF(41&lt;Model!$B$15,Model!$B$22,0))/(1-Model!$B$9)/(1+Model!$B$18)^41))</f>
        <v/>
      </c>
      <c r="BD87" s="7">
        <f>IF(A87="","",IF((A87+42)&gt;Model!$B$4,0,MAX(0,Model!$B$6-IF((A87+42)&gt;=Model!$B$11,Model!$B$20,0)-IF(42&lt;Model!$B$15,Model!$B$22,0))/(1-Model!$B$9)/(1+Model!$B$18)^42))</f>
        <v/>
      </c>
      <c r="BE87" s="7">
        <f>IF(A87="","",IF((A87+43)&gt;Model!$B$4,0,MAX(0,Model!$B$6-IF((A87+43)&gt;=Model!$B$11,Model!$B$20,0)-IF(43&lt;Model!$B$15,Model!$B$22,0))/(1-Model!$B$9)/(1+Model!$B$18)^43))</f>
        <v/>
      </c>
      <c r="BF87" s="7">
        <f>IF(A87="","",IF((A87+44)&gt;Model!$B$4,0,MAX(0,Model!$B$6-IF((A87+44)&gt;=Model!$B$11,Model!$B$20,0)-IF(44&lt;Model!$B$15,Model!$B$22,0))/(1-Model!$B$9)/(1+Model!$B$18)^44))</f>
        <v/>
      </c>
      <c r="BG87" s="7">
        <f>IF(A87="","",IF((A87+45)&gt;Model!$B$4,0,MAX(0,Model!$B$6-IF((A87+45)&gt;=Model!$B$11,Model!$B$20,0)-IF(45&lt;Model!$B$15,Model!$B$22,0))/(1-Model!$B$9)/(1+Model!$B$18)^45))</f>
        <v/>
      </c>
      <c r="BH87" s="7">
        <f>IF(A87="","",IF((A87+46)&gt;Model!$B$4,0,MAX(0,Model!$B$6-IF((A87+46)&gt;=Model!$B$11,Model!$B$20,0)-IF(46&lt;Model!$B$15,Model!$B$22,0))/(1-Model!$B$9)/(1+Model!$B$18)^46))</f>
        <v/>
      </c>
      <c r="BI87" s="7">
        <f>IF(A87="","",IF((A87+47)&gt;Model!$B$4,0,MAX(0,Model!$B$6-IF((A87+47)&gt;=Model!$B$11,Model!$B$20,0)-IF(47&lt;Model!$B$15,Model!$B$22,0))/(1-Model!$B$9)/(1+Model!$B$18)^47))</f>
        <v/>
      </c>
      <c r="BJ87" s="7">
        <f>IF(A87="","",IF((A87+48)&gt;Model!$B$4,0,MAX(0,Model!$B$6-IF((A87+48)&gt;=Model!$B$11,Model!$B$20,0)-IF(48&lt;Model!$B$15,Model!$B$22,0))/(1-Model!$B$9)/(1+Model!$B$18)^48))</f>
        <v/>
      </c>
      <c r="BK87" s="7">
        <f>IF(A87="","",IF((A87+49)&gt;Model!$B$4,0,MAX(0,Model!$B$6-IF((A87+49)&gt;=Model!$B$11,Model!$B$20,0)-IF(49&lt;Model!$B$15,Model!$B$22,0))/(1-Model!$B$9)/(1+Model!$B$18)^49))</f>
        <v/>
      </c>
      <c r="BL87" s="7">
        <f>IF(A87="","",IF((A87+50)&gt;Model!$B$4,0,MAX(0,Model!$B$6-IF((A87+50)&gt;=Model!$B$11,Model!$B$20,0)-IF(50&lt;Model!$B$15,Model!$B$22,0))/(1-Model!$B$9)/(1+Model!$B$18)^50))</f>
        <v/>
      </c>
      <c r="BM87" s="7">
        <f>IF(A87="","",IF((A87+51)&gt;Model!$B$4,0,MAX(0,Model!$B$6-IF((A87+51)&gt;=Model!$B$11,Model!$B$20,0)-IF(51&lt;Model!$B$15,Model!$B$22,0))/(1-Model!$B$9)/(1+Model!$B$18)^51))</f>
        <v/>
      </c>
      <c r="BN87" s="7">
        <f>IF(A87="","",IF((A87+52)&gt;Model!$B$4,0,MAX(0,Model!$B$6-IF((A87+52)&gt;=Model!$B$11,Model!$B$20,0)-IF(52&lt;Model!$B$15,Model!$B$22,0))/(1-Model!$B$9)/(1+Model!$B$18)^52))</f>
        <v/>
      </c>
      <c r="BO87" s="7">
        <f>IF(A87="","",IF((A87+53)&gt;Model!$B$4,0,MAX(0,Model!$B$6-IF((A87+53)&gt;=Model!$B$11,Model!$B$20,0)-IF(53&lt;Model!$B$15,Model!$B$22,0))/(1-Model!$B$9)/(1+Model!$B$18)^53))</f>
        <v/>
      </c>
      <c r="BP87" s="7">
        <f>IF(A87="","",IF((A87+54)&gt;Model!$B$4,0,MAX(0,Model!$B$6-IF((A87+54)&gt;=Model!$B$11,Model!$B$20,0)-IF(54&lt;Model!$B$15,Model!$B$22,0))/(1-Model!$B$9)/(1+Model!$B$18)^54))</f>
        <v/>
      </c>
      <c r="BQ87" s="7">
        <f>IF(A87="","",IF((A87+55)&gt;Model!$B$4,0,MAX(0,Model!$B$6-IF((A87+55)&gt;=Model!$B$11,Model!$B$20,0)-IF(55&lt;Model!$B$15,Model!$B$22,0))/(1-Model!$B$9)/(1+Model!$B$18)^55))</f>
        <v/>
      </c>
      <c r="BR87" s="7">
        <f>IF(A87="","",IF((A87+56)&gt;Model!$B$4,0,MAX(0,Model!$B$6-IF((A87+56)&gt;=Model!$B$11,Model!$B$20,0)-IF(56&lt;Model!$B$15,Model!$B$22,0))/(1-Model!$B$9)/(1+Model!$B$18)^56))</f>
        <v/>
      </c>
      <c r="BS87" s="7">
        <f>IF(A87="","",IF((A87+57)&gt;Model!$B$4,0,MAX(0,Model!$B$6-IF((A87+57)&gt;=Model!$B$11,Model!$B$20,0)-IF(57&lt;Model!$B$15,Model!$B$22,0))/(1-Model!$B$9)/(1+Model!$B$18)^57))</f>
        <v/>
      </c>
      <c r="BT87" s="7">
        <f>IF(A87="","",IF((A87+58)&gt;Model!$B$4,0,MAX(0,Model!$B$6-IF((A87+58)&gt;=Model!$B$11,Model!$B$20,0)-IF(58&lt;Model!$B$15,Model!$B$22,0))/(1-Model!$B$9)/(1+Model!$B$18)^58))</f>
        <v/>
      </c>
      <c r="BU87" s="7">
        <f>IF(A87="","",IF((A87+59)&gt;Model!$B$4,0,MAX(0,Model!$B$6-IF((A87+59)&gt;=Model!$B$11,Model!$B$20,0)-IF(59&lt;Model!$B$15,Model!$B$22,0))/(1-Model!$B$9)/(1+Model!$B$18)^59))</f>
        <v/>
      </c>
      <c r="BV87" s="7">
        <f>IF(A87="","",IF((A87+60)&gt;Model!$B$4,0,MAX(0,Model!$B$6-IF((A87+60)&gt;=Model!$B$11,Model!$B$20,0)-IF(60&lt;Model!$B$15,Model!$B$22,0))/(1-Model!$B$9)/(1+Model!$B$18)^60))</f>
        <v/>
      </c>
      <c r="BW87" s="7">
        <f>IF(A87="","",IF((A87+61)&gt;Model!$B$4,0,MAX(0,Model!$B$6-IF((A87+61)&gt;=Model!$B$11,Model!$B$20,0)-IF(61&lt;Model!$B$15,Model!$B$22,0))/(1-Model!$B$9)/(1+Model!$B$18)^61))</f>
        <v/>
      </c>
      <c r="BX87" s="7">
        <f>IF(A87="","",IF((A87+62)&gt;Model!$B$4,0,MAX(0,Model!$B$6-IF((A87+62)&gt;=Model!$B$11,Model!$B$20,0)-IF(62&lt;Model!$B$15,Model!$B$22,0))/(1-Model!$B$9)/(1+Model!$B$18)^62))</f>
        <v/>
      </c>
      <c r="BY87" s="7">
        <f>IF(A87="","",IF((A87+63)&gt;Model!$B$4,0,MAX(0,Model!$B$6-IF((A87+63)&gt;=Model!$B$11,Model!$B$20,0)-IF(63&lt;Model!$B$15,Model!$B$22,0))/(1-Model!$B$9)/(1+Model!$B$18)^63))</f>
        <v/>
      </c>
      <c r="BZ87" s="7">
        <f>IF(A87="","",IF((A87+64)&gt;Model!$B$4,0,MAX(0,Model!$B$6-IF((A87+64)&gt;=Model!$B$11,Model!$B$20,0)-IF(64&lt;Model!$B$15,Model!$B$22,0))/(1-Model!$B$9)/(1+Model!$B$18)^64))</f>
        <v/>
      </c>
      <c r="CA87" s="7">
        <f>IF(A87="","",IF((A87+65)&gt;Model!$B$4,0,MAX(0,Model!$B$6-IF((A87+65)&gt;=Model!$B$11,Model!$B$20,0)-IF(65&lt;Model!$B$15,Model!$B$22,0))/(1-Model!$B$9)/(1+Model!$B$18)^65))</f>
        <v/>
      </c>
      <c r="CB87" s="7">
        <f>IF(A87="","",IF((A87+66)&gt;Model!$B$4,0,MAX(0,Model!$B$6-IF((A87+66)&gt;=Model!$B$11,Model!$B$20,0)-IF(66&lt;Model!$B$15,Model!$B$22,0))/(1-Model!$B$9)/(1+Model!$B$18)^66))</f>
        <v/>
      </c>
      <c r="CC87" s="7">
        <f>IF(A87="","",IF((A87+67)&gt;Model!$B$4,0,MAX(0,Model!$B$6-IF((A87+67)&gt;=Model!$B$11,Model!$B$20,0)-IF(67&lt;Model!$B$15,Model!$B$22,0))/(1-Model!$B$9)/(1+Model!$B$18)^67))</f>
        <v/>
      </c>
      <c r="CD87" s="7">
        <f>IF(A87="","",IF((A87+68)&gt;Model!$B$4,0,MAX(0,Model!$B$6-IF((A87+68)&gt;=Model!$B$11,Model!$B$20,0)-IF(68&lt;Model!$B$15,Model!$B$22,0))/(1-Model!$B$9)/(1+Model!$B$18)^68))</f>
        <v/>
      </c>
      <c r="CE87" s="7">
        <f>IF(A87="","",IF((A87+69)&gt;Model!$B$4,0,MAX(0,Model!$B$6-IF((A87+69)&gt;=Model!$B$11,Model!$B$20,0)-IF(69&lt;Model!$B$15,Model!$B$22,0))/(1-Model!$B$9)/(1+Model!$B$18)^69))</f>
        <v/>
      </c>
      <c r="CF87" s="7">
        <f>IF(A87="","",IF((A87+70)&gt;Model!$B$4,0,MAX(0,Model!$B$6-IF((A87+70)&gt;=Model!$B$11,Model!$B$20,0)-IF(70&lt;Model!$B$15,Model!$B$22,0))/(1-Model!$B$9)/(1+Model!$B$18)^70))</f>
        <v/>
      </c>
      <c r="CG87" s="7">
        <f>IF(A87="","",IF((A87+71)&gt;Model!$B$4,0,MAX(0,Model!$B$6-IF((A87+71)&gt;=Model!$B$11,Model!$B$20,0)-IF(71&lt;Model!$B$15,Model!$B$22,0))/(1-Model!$B$9)/(1+Model!$B$18)^71))</f>
        <v/>
      </c>
      <c r="CH87" s="7">
        <f>IF(A87="","",IF((A87+72)&gt;Model!$B$4,0,MAX(0,Model!$B$6-IF((A87+72)&gt;=Model!$B$11,Model!$B$20,0)-IF(72&lt;Model!$B$15,Model!$B$22,0))/(1-Model!$B$9)/(1+Model!$B$18)^72))</f>
        <v/>
      </c>
      <c r="CI87" s="7">
        <f>IF(A87="","",IF((A87+73)&gt;Model!$B$4,0,MAX(0,Model!$B$6-IF((A87+73)&gt;=Model!$B$11,Model!$B$20,0)-IF(73&lt;Model!$B$15,Model!$B$22,0))/(1-Model!$B$9)/(1+Model!$B$18)^73))</f>
        <v/>
      </c>
      <c r="CJ87" s="7">
        <f>IF(A87="","",IF((A87+74)&gt;Model!$B$4,0,MAX(0,Model!$B$6-IF((A87+74)&gt;=Model!$B$11,Model!$B$20,0)-IF(74&lt;Model!$B$15,Model!$B$22,0))/(1-Model!$B$9)/(1+Model!$B$18)^74))</f>
        <v/>
      </c>
      <c r="CK87" s="7">
        <f>IF(A87="","",IF((A87+75)&gt;Model!$B$4,0,MAX(0,Model!$B$6-IF((A87+75)&gt;=Model!$B$11,Model!$B$20,0)-IF(75&lt;Model!$B$15,Model!$B$22,0))/(1-Model!$B$9)/(1+Model!$B$18)^75))</f>
        <v/>
      </c>
      <c r="CL87" s="7">
        <f>IF(A87="","",IF((A87+76)&gt;Model!$B$4,0,MAX(0,Model!$B$6-IF((A87+76)&gt;=Model!$B$11,Model!$B$20,0)-IF(76&lt;Model!$B$15,Model!$B$22,0))/(1-Model!$B$9)/(1+Model!$B$18)^76))</f>
        <v/>
      </c>
      <c r="CM87" s="7">
        <f>IF(A87="","",IF((A87+77)&gt;Model!$B$4,0,MAX(0,Model!$B$6-IF((A87+77)&gt;=Model!$B$11,Model!$B$20,0)-IF(77&lt;Model!$B$15,Model!$B$22,0))/(1-Model!$B$9)/(1+Model!$B$18)^77))</f>
        <v/>
      </c>
      <c r="CN87" s="7">
        <f>IF(A87="","",IF((A87+78)&gt;Model!$B$4,0,MAX(0,Model!$B$6-IF((A87+78)&gt;=Model!$B$11,Model!$B$20,0)-IF(78&lt;Model!$B$15,Model!$B$22,0))/(1-Model!$B$9)/(1+Model!$B$18)^78))</f>
        <v/>
      </c>
      <c r="CO87" s="7">
        <f>IF(A87="","",IF((A87+79)&gt;Model!$B$4,0,MAX(0,Model!$B$6-IF((A87+79)&gt;=Model!$B$11,Model!$B$20,0)-IF(79&lt;Model!$B$15,Model!$B$22,0))/(1-Model!$B$9)/(1+Model!$B$18)^79))</f>
        <v/>
      </c>
      <c r="CP87" s="7">
        <f>IF(A87="","",IF((A87+80)&gt;Model!$B$4,0,MAX(0,Model!$B$6-IF((A87+80)&gt;=Model!$B$11,Model!$B$20,0)-IF(80&lt;Model!$B$15,Model!$B$22,0))/(1-Model!$B$9)/(1+Model!$B$18)^80))</f>
        <v/>
      </c>
      <c r="CQ87" s="7">
        <f>IF(A87="","",IF((A87+81)&gt;Model!$B$4,0,MAX(0,Model!$B$6-IF((A87+81)&gt;=Model!$B$11,Model!$B$20,0)-IF(81&lt;Model!$B$15,Model!$B$22,0))/(1-Model!$B$9)/(1+Model!$B$18)^81))</f>
        <v/>
      </c>
      <c r="CR87" s="7">
        <f>IF(A87="","",IF((A87+82)&gt;Model!$B$4,0,MAX(0,Model!$B$6-IF((A87+82)&gt;=Model!$B$11,Model!$B$20,0)-IF(82&lt;Model!$B$15,Model!$B$22,0))/(1-Model!$B$9)/(1+Model!$B$18)^82))</f>
        <v/>
      </c>
      <c r="CS87" s="7">
        <f>IF(A87="","",IF((A87+83)&gt;Model!$B$4,0,MAX(0,Model!$B$6-IF((A87+83)&gt;=Model!$B$11,Model!$B$20,0)-IF(83&lt;Model!$B$15,Model!$B$22,0))/(1-Model!$B$9)/(1+Model!$B$18)^83))</f>
        <v/>
      </c>
      <c r="CT87" s="7">
        <f>IF(A87="","",IF((A87+84)&gt;Model!$B$4,0,MAX(0,Model!$B$6-IF((A87+84)&gt;=Model!$B$11,Model!$B$20,0)-IF(84&lt;Model!$B$15,Model!$B$22,0))/(1-Model!$B$9)/(1+Model!$B$18)^84))</f>
        <v/>
      </c>
      <c r="CU87" s="7">
        <f>IF(A87="","",IF((A87+85)&gt;Model!$B$4,0,MAX(0,Model!$B$6-IF((A87+85)&gt;=Model!$B$11,Model!$B$20,0)-IF(85&lt;Model!$B$15,Model!$B$22,0))/(1-Model!$B$9)/(1+Model!$B$18)^85))</f>
        <v/>
      </c>
      <c r="CV87" s="7">
        <f>IF(A87="","",IF((A87+86)&gt;Model!$B$4,0,MAX(0,Model!$B$6-IF((A87+86)&gt;=Model!$B$11,Model!$B$20,0)-IF(86&lt;Model!$B$15,Model!$B$22,0))/(1-Model!$B$9)/(1+Model!$B$18)^86))</f>
        <v/>
      </c>
      <c r="CW87" s="7">
        <f>IF(A87="","",IF((A87+87)&gt;Model!$B$4,0,MAX(0,Model!$B$6-IF((A87+87)&gt;=Model!$B$11,Model!$B$20,0)-IF(87&lt;Model!$B$15,Model!$B$22,0))/(1-Model!$B$9)/(1+Model!$B$18)^87))</f>
        <v/>
      </c>
      <c r="CX87" s="7">
        <f>IF(A87="","",IF((A87+88)&gt;Model!$B$4,0,MAX(0,Model!$B$6-IF((A87+88)&gt;=Model!$B$11,Model!$B$20,0)-IF(88&lt;Model!$B$15,Model!$B$22,0))/(1-Model!$B$9)/(1+Model!$B$18)^88))</f>
        <v/>
      </c>
      <c r="CY87" s="7">
        <f>IF(A87="","",IF((A87+89)&gt;Model!$B$4,0,MAX(0,Model!$B$6-IF((A87+89)&gt;=Model!$B$11,Model!$B$20,0)-IF(89&lt;Model!$B$15,Model!$B$22,0))/(1-Model!$B$9)/(1+Model!$B$18)^89))</f>
        <v/>
      </c>
      <c r="CZ87" s="7">
        <f>IF(A87="","",IF((A87+90)&gt;Model!$B$4,0,MAX(0,Model!$B$6-IF((A87+90)&gt;=Model!$B$11,Model!$B$20,0)-IF(90&lt;Model!$B$15,Model!$B$22,0))/(1-Model!$B$9)/(1+Model!$B$18)^90))</f>
        <v/>
      </c>
      <c r="DA87" s="7">
        <f>IF(A87="","",IF((A87+91)&gt;Model!$B$4,0,MAX(0,Model!$B$6-IF((A87+91)&gt;=Model!$B$11,Model!$B$20,0)-IF(91&lt;Model!$B$15,Model!$B$22,0))/(1-Model!$B$9)/(1+Model!$B$18)^91))</f>
        <v/>
      </c>
      <c r="DB87" s="7">
        <f>IF(A87="","",IF((A87+92)&gt;Model!$B$4,0,MAX(0,Model!$B$6-IF((A87+92)&gt;=Model!$B$11,Model!$B$20,0)-IF(92&lt;Model!$B$15,Model!$B$22,0))/(1-Model!$B$9)/(1+Model!$B$18)^92))</f>
        <v/>
      </c>
      <c r="DC87" s="7">
        <f>IF(A87="","",IF((A87+93)&gt;Model!$B$4,0,MAX(0,Model!$B$6-IF((A87+93)&gt;=Model!$B$11,Model!$B$20,0)-IF(93&lt;Model!$B$15,Model!$B$22,0))/(1-Model!$B$9)/(1+Model!$B$18)^93))</f>
        <v/>
      </c>
      <c r="DD87" s="7">
        <f>IF(A87="","",IF((A87+94)&gt;Model!$B$4,0,MAX(0,Model!$B$6-IF((A87+94)&gt;=Model!$B$11,Model!$B$20,0)-IF(94&lt;Model!$B$15,Model!$B$22,0))/(1-Model!$B$9)/(1+Model!$B$18)^94))</f>
        <v/>
      </c>
      <c r="DE87" s="7">
        <f>IF(A87="","",IF((A87+95)&gt;Model!$B$4,0,MAX(0,Model!$B$6-IF((A87+95)&gt;=Model!$B$11,Model!$B$20,0)-IF(95&lt;Model!$B$15,Model!$B$22,0))/(1-Model!$B$9)/(1+Model!$B$18)^95))</f>
        <v/>
      </c>
      <c r="DF87" s="7">
        <f>IF(A87="","",IF((A87+96)&gt;Model!$B$4,0,MAX(0,Model!$B$6-IF((A87+96)&gt;=Model!$B$11,Model!$B$20,0)-IF(96&lt;Model!$B$15,Model!$B$22,0))/(1-Model!$B$9)/(1+Model!$B$18)^96))</f>
        <v/>
      </c>
      <c r="DG87" s="7">
        <f>IF(A87="","",IF((A87+97)&gt;Model!$B$4,0,MAX(0,Model!$B$6-IF((A87+97)&gt;=Model!$B$11,Model!$B$20,0)-IF(97&lt;Model!$B$15,Model!$B$22,0))/(1-Model!$B$9)/(1+Model!$B$18)^97))</f>
        <v/>
      </c>
      <c r="DH87" s="7">
        <f>IF(A87="","",IF((A87+98)&gt;Model!$B$4,0,MAX(0,Model!$B$6-IF((A87+98)&gt;=Model!$B$11,Model!$B$20,0)-IF(98&lt;Model!$B$15,Model!$B$22,0))/(1-Model!$B$9)/(1+Model!$B$18)^98))</f>
        <v/>
      </c>
      <c r="DI87" s="7">
        <f>IF(A87="","",IF((A87+99)&gt;Model!$B$4,0,MAX(0,Model!$B$6-IF((A87+99)&gt;=Model!$B$11,Model!$B$20,0)-IF(99&lt;Model!$B$15,Model!$B$22,0))/(1-Model!$B$9)/(1+Model!$B$18)^99))</f>
        <v/>
      </c>
      <c r="DJ87" s="7">
        <f>IF(A87="","",IF((A87+100)&gt;Model!$B$4,0,MAX(0,Model!$B$6-IF((A87+100)&gt;=Model!$B$11,Model!$B$20,0)-IF(100&lt;Model!$B$15,Model!$B$22,0))/(1-Model!$B$9)/(1+Model!$B$18)^100))</f>
        <v/>
      </c>
      <c r="DK87" s="7">
        <f>IF(A87="","",IF((A87+101)&gt;Model!$B$4,0,MAX(0,Model!$B$6-IF((A87+101)&gt;=Model!$B$11,Model!$B$20,0)-IF(101&lt;Model!$B$15,Model!$B$22,0))/(1-Model!$B$9)/(1+Model!$B$18)^101))</f>
        <v/>
      </c>
      <c r="DL87" s="7">
        <f>IF(A87="","",IF((A87+102)&gt;Model!$B$4,0,MAX(0,Model!$B$6-IF((A87+102)&gt;=Model!$B$11,Model!$B$20,0)-IF(102&lt;Model!$B$15,Model!$B$22,0))/(1-Model!$B$9)/(1+Model!$B$18)^102))</f>
        <v/>
      </c>
      <c r="DM87" s="7">
        <f>IF(A87="","",IF((A87+103)&gt;Model!$B$4,0,MAX(0,Model!$B$6-IF((A87+103)&gt;=Model!$B$11,Model!$B$20,0)-IF(103&lt;Model!$B$15,Model!$B$22,0))/(1-Model!$B$9)/(1+Model!$B$18)^103))</f>
        <v/>
      </c>
      <c r="DN87" s="7">
        <f>IF(A87="","",IF((A87+104)&gt;Model!$B$4,0,MAX(0,Model!$B$6-IF((A87+104)&gt;=Model!$B$11,Model!$B$20,0)-IF(104&lt;Model!$B$15,Model!$B$22,0))/(1-Model!$B$9)/(1+Model!$B$18)^104))</f>
        <v/>
      </c>
      <c r="DO87" s="7">
        <f>IF(A87="","",IF((A87+105)&gt;Model!$B$4,0,MAX(0,Model!$B$6-IF((A87+105)&gt;=Model!$B$11,Model!$B$20,0)-IF(105&lt;Model!$B$15,Model!$B$22,0))/(1-Model!$B$9)/(1+Model!$B$18)^105))</f>
        <v/>
      </c>
      <c r="DP87" s="7">
        <f>IF(A87="","",IF((A87+106)&gt;Model!$B$4,0,MAX(0,Model!$B$6-IF((A87+106)&gt;=Model!$B$11,Model!$B$20,0)-IF(106&lt;Model!$B$15,Model!$B$22,0))/(1-Model!$B$9)/(1+Model!$B$18)^106))</f>
        <v/>
      </c>
      <c r="DQ87" s="7">
        <f>IF(A87="","",IF((A87+107)&gt;Model!$B$4,0,MAX(0,Model!$B$6-IF((A87+107)&gt;=Model!$B$11,Model!$B$20,0)-IF(107&lt;Model!$B$15,Model!$B$22,0))/(1-Model!$B$9)/(1+Model!$B$18)^107))</f>
        <v/>
      </c>
      <c r="DR87" s="7">
        <f>IF(A87="","",IF((A87+108)&gt;Model!$B$4,0,MAX(0,Model!$B$6-IF((A87+108)&gt;=Model!$B$11,Model!$B$20,0)-IF(108&lt;Model!$B$15,Model!$B$22,0))/(1-Model!$B$9)/(1+Model!$B$18)^108))</f>
        <v/>
      </c>
      <c r="DS87" s="7">
        <f>IF(A87="","",IF((A87+109)&gt;Model!$B$4,0,MAX(0,Model!$B$6-IF((A87+109)&gt;=Model!$B$11,Model!$B$20,0)-IF(109&lt;Model!$B$15,Model!$B$22,0))/(1-Model!$B$9)/(1+Model!$B$18)^109))</f>
        <v/>
      </c>
      <c r="DT87" s="7">
        <f>IF(A87="","",IF((A87+110)&gt;Model!$B$4,0,MAX(0,Model!$B$6-IF((A87+110)&gt;=Model!$B$11,Model!$B$20,0)-IF(110&lt;Model!$B$15,Model!$B$22,0))/(1-Model!$B$9)/(1+Model!$B$18)^110))</f>
        <v/>
      </c>
      <c r="DU87" s="7">
        <f>IF(A87="","",IF((A87+111)&gt;Model!$B$4,0,MAX(0,Model!$B$6-IF((A87+111)&gt;=Model!$B$11,Model!$B$20,0)-IF(111&lt;Model!$B$15,Model!$B$22,0))/(1-Model!$B$9)/(1+Model!$B$18)^111))</f>
        <v/>
      </c>
      <c r="DV87" s="7">
        <f>IF(A87="","",IF((A87+112)&gt;Model!$B$4,0,MAX(0,Model!$B$6-IF((A87+112)&gt;=Model!$B$11,Model!$B$20,0)-IF(112&lt;Model!$B$15,Model!$B$22,0))/(1-Model!$B$9)/(1+Model!$B$18)^112))</f>
        <v/>
      </c>
      <c r="DW87" s="7">
        <f>IF(A87="","",IF((A87+113)&gt;Model!$B$4,0,MAX(0,Model!$B$6-IF((A87+113)&gt;=Model!$B$11,Model!$B$20,0)-IF(113&lt;Model!$B$15,Model!$B$22,0))/(1-Model!$B$9)/(1+Model!$B$18)^113))</f>
        <v/>
      </c>
      <c r="DX87" s="7">
        <f>IF(A87="","",IF((A87+114)&gt;Model!$B$4,0,MAX(0,Model!$B$6-IF((A87+114)&gt;=Model!$B$11,Model!$B$20,0)-IF(114&lt;Model!$B$15,Model!$B$22,0))/(1-Model!$B$9)/(1+Model!$B$18)^114))</f>
        <v/>
      </c>
      <c r="DY87" s="7">
        <f>IF(A87="","",IF((A87+115)&gt;Model!$B$4,0,MAX(0,Model!$B$6-IF((A87+115)&gt;=Model!$B$11,Model!$B$20,0)-IF(115&lt;Model!$B$15,Model!$B$22,0))/(1-Model!$B$9)/(1+Model!$B$18)^115))</f>
        <v/>
      </c>
      <c r="DZ87" s="7">
        <f>IF(A87="","",IF((A87+116)&gt;Model!$B$4,0,MAX(0,Model!$B$6-IF((A87+116)&gt;=Model!$B$11,Model!$B$20,0)-IF(116&lt;Model!$B$15,Model!$B$22,0))/(1-Model!$B$9)/(1+Model!$B$18)^116))</f>
        <v/>
      </c>
      <c r="EA87" s="7">
        <f>IF(A87="","",IF((A87+117)&gt;Model!$B$4,0,MAX(0,Model!$B$6-IF((A87+117)&gt;=Model!$B$11,Model!$B$20,0)-IF(117&lt;Model!$B$15,Model!$B$22,0))/(1-Model!$B$9)/(1+Model!$B$18)^117))</f>
        <v/>
      </c>
      <c r="EB87" s="7">
        <f>IF(A87="","",IF((A87+118)&gt;Model!$B$4,0,MAX(0,Model!$B$6-IF((A87+118)&gt;=Model!$B$11,Model!$B$20,0)-IF(118&lt;Model!$B$15,Model!$B$22,0))/(1-Model!$B$9)/(1+Model!$B$18)^118))</f>
        <v/>
      </c>
      <c r="EC87" s="7">
        <f>IF(A87="","",IF((A87+119)&gt;Model!$B$4,0,MAX(0,Model!$B$6-IF((A87+119)&gt;=Model!$B$11,Model!$B$20,0)-IF(119&lt;Model!$B$15,Model!$B$22,0))/(1-Model!$B$9)/(1+Model!$B$18)^119))</f>
        <v/>
      </c>
      <c r="ED87" s="7">
        <f>IF(A87="","",IF((A87+120)&gt;Model!$B$4,0,MAX(0,Model!$B$6-IF((A87+120)&gt;=Model!$B$11,Model!$B$20,0)-IF(120&lt;Model!$B$15,Model!$B$22,0))/(1-Model!$B$9)/(1+Model!$B$18)^120))</f>
        <v/>
      </c>
    </row>
    <row r="88">
      <c r="A88">
        <f>IF(Model!$B$10+ROW()-2&lt;=Model!$B$4,Model!$B$10+ROW()-2,"")</f>
        <v/>
      </c>
      <c r="B88">
        <f>IF(A88="","",A88-Model!$B$10)</f>
        <v/>
      </c>
      <c r="C88" s="7">
        <f>IF(A88="","",Model!$B$5*(1+Model!$B$18)^B88)</f>
        <v/>
      </c>
      <c r="D88" s="7">
        <f>IF(A88="","",SUM(N88:ED88))</f>
        <v/>
      </c>
      <c r="E88" s="7">
        <f>IF(A88="","",IF(A88&gt;=Model!$B$11,Model!$B$20,0))</f>
        <v/>
      </c>
      <c r="F88" s="7">
        <f>IF(A88="","",IF(Model!$B$15&gt;0,Model!$B$22,0))</f>
        <v/>
      </c>
      <c r="G88" s="7">
        <f>IF(A88="","",E88+F88)</f>
        <v/>
      </c>
      <c r="H88" s="7">
        <f>IF(A88="","",MAX(0,Model!$B$6-G88))</f>
        <v/>
      </c>
      <c r="I88" s="7">
        <f>IF(A88="","",H88/(1-Model!$B$9))</f>
        <v/>
      </c>
      <c r="J88" s="7">
        <f>IF(A88="","",C88-D88)</f>
        <v/>
      </c>
      <c r="K88">
        <f>IF(A88="","",C88&gt;=D88)</f>
        <v/>
      </c>
      <c r="L88" s="7">
        <f>IF(A88="","",IF(A88&gt;=Model!$B$11,Model!$B$19*(1+Model!$B$13)^B88,0))</f>
        <v/>
      </c>
      <c r="M88" s="7">
        <f>IF(A88="","",IF(Model!$B$15&gt;0,Model!$B$21*(1+Model!$B$13)^B88,0))</f>
        <v/>
      </c>
      <c r="N88" s="7">
        <f>IF(A88="","",IF((A88+0)&gt;Model!$B$4,0,MAX(0,Model!$B$6-IF((A88+0)&gt;=Model!$B$11,Model!$B$20,0)-IF(0&lt;Model!$B$15,Model!$B$22,0))/(1-Model!$B$9)/(1+Model!$B$18)^0))</f>
        <v/>
      </c>
      <c r="O88" s="7">
        <f>IF(A88="","",IF((A88+1)&gt;Model!$B$4,0,MAX(0,Model!$B$6-IF((A88+1)&gt;=Model!$B$11,Model!$B$20,0)-IF(1&lt;Model!$B$15,Model!$B$22,0))/(1-Model!$B$9)/(1+Model!$B$18)^1))</f>
        <v/>
      </c>
      <c r="P88" s="7">
        <f>IF(A88="","",IF((A88+2)&gt;Model!$B$4,0,MAX(0,Model!$B$6-IF((A88+2)&gt;=Model!$B$11,Model!$B$20,0)-IF(2&lt;Model!$B$15,Model!$B$22,0))/(1-Model!$B$9)/(1+Model!$B$18)^2))</f>
        <v/>
      </c>
      <c r="Q88" s="7">
        <f>IF(A88="","",IF((A88+3)&gt;Model!$B$4,0,MAX(0,Model!$B$6-IF((A88+3)&gt;=Model!$B$11,Model!$B$20,0)-IF(3&lt;Model!$B$15,Model!$B$22,0))/(1-Model!$B$9)/(1+Model!$B$18)^3))</f>
        <v/>
      </c>
      <c r="R88" s="7">
        <f>IF(A88="","",IF((A88+4)&gt;Model!$B$4,0,MAX(0,Model!$B$6-IF((A88+4)&gt;=Model!$B$11,Model!$B$20,0)-IF(4&lt;Model!$B$15,Model!$B$22,0))/(1-Model!$B$9)/(1+Model!$B$18)^4))</f>
        <v/>
      </c>
      <c r="S88" s="7">
        <f>IF(A88="","",IF((A88+5)&gt;Model!$B$4,0,MAX(0,Model!$B$6-IF((A88+5)&gt;=Model!$B$11,Model!$B$20,0)-IF(5&lt;Model!$B$15,Model!$B$22,0))/(1-Model!$B$9)/(1+Model!$B$18)^5))</f>
        <v/>
      </c>
      <c r="T88" s="7">
        <f>IF(A88="","",IF((A88+6)&gt;Model!$B$4,0,MAX(0,Model!$B$6-IF((A88+6)&gt;=Model!$B$11,Model!$B$20,0)-IF(6&lt;Model!$B$15,Model!$B$22,0))/(1-Model!$B$9)/(1+Model!$B$18)^6))</f>
        <v/>
      </c>
      <c r="U88" s="7">
        <f>IF(A88="","",IF((A88+7)&gt;Model!$B$4,0,MAX(0,Model!$B$6-IF((A88+7)&gt;=Model!$B$11,Model!$B$20,0)-IF(7&lt;Model!$B$15,Model!$B$22,0))/(1-Model!$B$9)/(1+Model!$B$18)^7))</f>
        <v/>
      </c>
      <c r="V88" s="7">
        <f>IF(A88="","",IF((A88+8)&gt;Model!$B$4,0,MAX(0,Model!$B$6-IF((A88+8)&gt;=Model!$B$11,Model!$B$20,0)-IF(8&lt;Model!$B$15,Model!$B$22,0))/(1-Model!$B$9)/(1+Model!$B$18)^8))</f>
        <v/>
      </c>
      <c r="W88" s="7">
        <f>IF(A88="","",IF((A88+9)&gt;Model!$B$4,0,MAX(0,Model!$B$6-IF((A88+9)&gt;=Model!$B$11,Model!$B$20,0)-IF(9&lt;Model!$B$15,Model!$B$22,0))/(1-Model!$B$9)/(1+Model!$B$18)^9))</f>
        <v/>
      </c>
      <c r="X88" s="7">
        <f>IF(A88="","",IF((A88+10)&gt;Model!$B$4,0,MAX(0,Model!$B$6-IF((A88+10)&gt;=Model!$B$11,Model!$B$20,0)-IF(10&lt;Model!$B$15,Model!$B$22,0))/(1-Model!$B$9)/(1+Model!$B$18)^10))</f>
        <v/>
      </c>
      <c r="Y88" s="7">
        <f>IF(A88="","",IF((A88+11)&gt;Model!$B$4,0,MAX(0,Model!$B$6-IF((A88+11)&gt;=Model!$B$11,Model!$B$20,0)-IF(11&lt;Model!$B$15,Model!$B$22,0))/(1-Model!$B$9)/(1+Model!$B$18)^11))</f>
        <v/>
      </c>
      <c r="Z88" s="7">
        <f>IF(A88="","",IF((A88+12)&gt;Model!$B$4,0,MAX(0,Model!$B$6-IF((A88+12)&gt;=Model!$B$11,Model!$B$20,0)-IF(12&lt;Model!$B$15,Model!$B$22,0))/(1-Model!$B$9)/(1+Model!$B$18)^12))</f>
        <v/>
      </c>
      <c r="AA88" s="7">
        <f>IF(A88="","",IF((A88+13)&gt;Model!$B$4,0,MAX(0,Model!$B$6-IF((A88+13)&gt;=Model!$B$11,Model!$B$20,0)-IF(13&lt;Model!$B$15,Model!$B$22,0))/(1-Model!$B$9)/(1+Model!$B$18)^13))</f>
        <v/>
      </c>
      <c r="AB88" s="7">
        <f>IF(A88="","",IF((A88+14)&gt;Model!$B$4,0,MAX(0,Model!$B$6-IF((A88+14)&gt;=Model!$B$11,Model!$B$20,0)-IF(14&lt;Model!$B$15,Model!$B$22,0))/(1-Model!$B$9)/(1+Model!$B$18)^14))</f>
        <v/>
      </c>
      <c r="AC88" s="7">
        <f>IF(A88="","",IF((A88+15)&gt;Model!$B$4,0,MAX(0,Model!$B$6-IF((A88+15)&gt;=Model!$B$11,Model!$B$20,0)-IF(15&lt;Model!$B$15,Model!$B$22,0))/(1-Model!$B$9)/(1+Model!$B$18)^15))</f>
        <v/>
      </c>
      <c r="AD88" s="7">
        <f>IF(A88="","",IF((A88+16)&gt;Model!$B$4,0,MAX(0,Model!$B$6-IF((A88+16)&gt;=Model!$B$11,Model!$B$20,0)-IF(16&lt;Model!$B$15,Model!$B$22,0))/(1-Model!$B$9)/(1+Model!$B$18)^16))</f>
        <v/>
      </c>
      <c r="AE88" s="7">
        <f>IF(A88="","",IF((A88+17)&gt;Model!$B$4,0,MAX(0,Model!$B$6-IF((A88+17)&gt;=Model!$B$11,Model!$B$20,0)-IF(17&lt;Model!$B$15,Model!$B$22,0))/(1-Model!$B$9)/(1+Model!$B$18)^17))</f>
        <v/>
      </c>
      <c r="AF88" s="7">
        <f>IF(A88="","",IF((A88+18)&gt;Model!$B$4,0,MAX(0,Model!$B$6-IF((A88+18)&gt;=Model!$B$11,Model!$B$20,0)-IF(18&lt;Model!$B$15,Model!$B$22,0))/(1-Model!$B$9)/(1+Model!$B$18)^18))</f>
        <v/>
      </c>
      <c r="AG88" s="7">
        <f>IF(A88="","",IF((A88+19)&gt;Model!$B$4,0,MAX(0,Model!$B$6-IF((A88+19)&gt;=Model!$B$11,Model!$B$20,0)-IF(19&lt;Model!$B$15,Model!$B$22,0))/(1-Model!$B$9)/(1+Model!$B$18)^19))</f>
        <v/>
      </c>
      <c r="AH88" s="7">
        <f>IF(A88="","",IF((A88+20)&gt;Model!$B$4,0,MAX(0,Model!$B$6-IF((A88+20)&gt;=Model!$B$11,Model!$B$20,0)-IF(20&lt;Model!$B$15,Model!$B$22,0))/(1-Model!$B$9)/(1+Model!$B$18)^20))</f>
        <v/>
      </c>
      <c r="AI88" s="7">
        <f>IF(A88="","",IF((A88+21)&gt;Model!$B$4,0,MAX(0,Model!$B$6-IF((A88+21)&gt;=Model!$B$11,Model!$B$20,0)-IF(21&lt;Model!$B$15,Model!$B$22,0))/(1-Model!$B$9)/(1+Model!$B$18)^21))</f>
        <v/>
      </c>
      <c r="AJ88" s="7">
        <f>IF(A88="","",IF((A88+22)&gt;Model!$B$4,0,MAX(0,Model!$B$6-IF((A88+22)&gt;=Model!$B$11,Model!$B$20,0)-IF(22&lt;Model!$B$15,Model!$B$22,0))/(1-Model!$B$9)/(1+Model!$B$18)^22))</f>
        <v/>
      </c>
      <c r="AK88" s="7">
        <f>IF(A88="","",IF((A88+23)&gt;Model!$B$4,0,MAX(0,Model!$B$6-IF((A88+23)&gt;=Model!$B$11,Model!$B$20,0)-IF(23&lt;Model!$B$15,Model!$B$22,0))/(1-Model!$B$9)/(1+Model!$B$18)^23))</f>
        <v/>
      </c>
      <c r="AL88" s="7">
        <f>IF(A88="","",IF((A88+24)&gt;Model!$B$4,0,MAX(0,Model!$B$6-IF((A88+24)&gt;=Model!$B$11,Model!$B$20,0)-IF(24&lt;Model!$B$15,Model!$B$22,0))/(1-Model!$B$9)/(1+Model!$B$18)^24))</f>
        <v/>
      </c>
      <c r="AM88" s="7">
        <f>IF(A88="","",IF((A88+25)&gt;Model!$B$4,0,MAX(0,Model!$B$6-IF((A88+25)&gt;=Model!$B$11,Model!$B$20,0)-IF(25&lt;Model!$B$15,Model!$B$22,0))/(1-Model!$B$9)/(1+Model!$B$18)^25))</f>
        <v/>
      </c>
      <c r="AN88" s="7">
        <f>IF(A88="","",IF((A88+26)&gt;Model!$B$4,0,MAX(0,Model!$B$6-IF((A88+26)&gt;=Model!$B$11,Model!$B$20,0)-IF(26&lt;Model!$B$15,Model!$B$22,0))/(1-Model!$B$9)/(1+Model!$B$18)^26))</f>
        <v/>
      </c>
      <c r="AO88" s="7">
        <f>IF(A88="","",IF((A88+27)&gt;Model!$B$4,0,MAX(0,Model!$B$6-IF((A88+27)&gt;=Model!$B$11,Model!$B$20,0)-IF(27&lt;Model!$B$15,Model!$B$22,0))/(1-Model!$B$9)/(1+Model!$B$18)^27))</f>
        <v/>
      </c>
      <c r="AP88" s="7">
        <f>IF(A88="","",IF((A88+28)&gt;Model!$B$4,0,MAX(0,Model!$B$6-IF((A88+28)&gt;=Model!$B$11,Model!$B$20,0)-IF(28&lt;Model!$B$15,Model!$B$22,0))/(1-Model!$B$9)/(1+Model!$B$18)^28))</f>
        <v/>
      </c>
      <c r="AQ88" s="7">
        <f>IF(A88="","",IF((A88+29)&gt;Model!$B$4,0,MAX(0,Model!$B$6-IF((A88+29)&gt;=Model!$B$11,Model!$B$20,0)-IF(29&lt;Model!$B$15,Model!$B$22,0))/(1-Model!$B$9)/(1+Model!$B$18)^29))</f>
        <v/>
      </c>
      <c r="AR88" s="7">
        <f>IF(A88="","",IF((A88+30)&gt;Model!$B$4,0,MAX(0,Model!$B$6-IF((A88+30)&gt;=Model!$B$11,Model!$B$20,0)-IF(30&lt;Model!$B$15,Model!$B$22,0))/(1-Model!$B$9)/(1+Model!$B$18)^30))</f>
        <v/>
      </c>
      <c r="AS88" s="7">
        <f>IF(A88="","",IF((A88+31)&gt;Model!$B$4,0,MAX(0,Model!$B$6-IF((A88+31)&gt;=Model!$B$11,Model!$B$20,0)-IF(31&lt;Model!$B$15,Model!$B$22,0))/(1-Model!$B$9)/(1+Model!$B$18)^31))</f>
        <v/>
      </c>
      <c r="AT88" s="7">
        <f>IF(A88="","",IF((A88+32)&gt;Model!$B$4,0,MAX(0,Model!$B$6-IF((A88+32)&gt;=Model!$B$11,Model!$B$20,0)-IF(32&lt;Model!$B$15,Model!$B$22,0))/(1-Model!$B$9)/(1+Model!$B$18)^32))</f>
        <v/>
      </c>
      <c r="AU88" s="7">
        <f>IF(A88="","",IF((A88+33)&gt;Model!$B$4,0,MAX(0,Model!$B$6-IF((A88+33)&gt;=Model!$B$11,Model!$B$20,0)-IF(33&lt;Model!$B$15,Model!$B$22,0))/(1-Model!$B$9)/(1+Model!$B$18)^33))</f>
        <v/>
      </c>
      <c r="AV88" s="7">
        <f>IF(A88="","",IF((A88+34)&gt;Model!$B$4,0,MAX(0,Model!$B$6-IF((A88+34)&gt;=Model!$B$11,Model!$B$20,0)-IF(34&lt;Model!$B$15,Model!$B$22,0))/(1-Model!$B$9)/(1+Model!$B$18)^34))</f>
        <v/>
      </c>
      <c r="AW88" s="7">
        <f>IF(A88="","",IF((A88+35)&gt;Model!$B$4,0,MAX(0,Model!$B$6-IF((A88+35)&gt;=Model!$B$11,Model!$B$20,0)-IF(35&lt;Model!$B$15,Model!$B$22,0))/(1-Model!$B$9)/(1+Model!$B$18)^35))</f>
        <v/>
      </c>
      <c r="AX88" s="7">
        <f>IF(A88="","",IF((A88+36)&gt;Model!$B$4,0,MAX(0,Model!$B$6-IF((A88+36)&gt;=Model!$B$11,Model!$B$20,0)-IF(36&lt;Model!$B$15,Model!$B$22,0))/(1-Model!$B$9)/(1+Model!$B$18)^36))</f>
        <v/>
      </c>
      <c r="AY88" s="7">
        <f>IF(A88="","",IF((A88+37)&gt;Model!$B$4,0,MAX(0,Model!$B$6-IF((A88+37)&gt;=Model!$B$11,Model!$B$20,0)-IF(37&lt;Model!$B$15,Model!$B$22,0))/(1-Model!$B$9)/(1+Model!$B$18)^37))</f>
        <v/>
      </c>
      <c r="AZ88" s="7">
        <f>IF(A88="","",IF((A88+38)&gt;Model!$B$4,0,MAX(0,Model!$B$6-IF((A88+38)&gt;=Model!$B$11,Model!$B$20,0)-IF(38&lt;Model!$B$15,Model!$B$22,0))/(1-Model!$B$9)/(1+Model!$B$18)^38))</f>
        <v/>
      </c>
      <c r="BA88" s="7">
        <f>IF(A88="","",IF((A88+39)&gt;Model!$B$4,0,MAX(0,Model!$B$6-IF((A88+39)&gt;=Model!$B$11,Model!$B$20,0)-IF(39&lt;Model!$B$15,Model!$B$22,0))/(1-Model!$B$9)/(1+Model!$B$18)^39))</f>
        <v/>
      </c>
      <c r="BB88" s="7">
        <f>IF(A88="","",IF((A88+40)&gt;Model!$B$4,0,MAX(0,Model!$B$6-IF((A88+40)&gt;=Model!$B$11,Model!$B$20,0)-IF(40&lt;Model!$B$15,Model!$B$22,0))/(1-Model!$B$9)/(1+Model!$B$18)^40))</f>
        <v/>
      </c>
      <c r="BC88" s="7">
        <f>IF(A88="","",IF((A88+41)&gt;Model!$B$4,0,MAX(0,Model!$B$6-IF((A88+41)&gt;=Model!$B$11,Model!$B$20,0)-IF(41&lt;Model!$B$15,Model!$B$22,0))/(1-Model!$B$9)/(1+Model!$B$18)^41))</f>
        <v/>
      </c>
      <c r="BD88" s="7">
        <f>IF(A88="","",IF((A88+42)&gt;Model!$B$4,0,MAX(0,Model!$B$6-IF((A88+42)&gt;=Model!$B$11,Model!$B$20,0)-IF(42&lt;Model!$B$15,Model!$B$22,0))/(1-Model!$B$9)/(1+Model!$B$18)^42))</f>
        <v/>
      </c>
      <c r="BE88" s="7">
        <f>IF(A88="","",IF((A88+43)&gt;Model!$B$4,0,MAX(0,Model!$B$6-IF((A88+43)&gt;=Model!$B$11,Model!$B$20,0)-IF(43&lt;Model!$B$15,Model!$B$22,0))/(1-Model!$B$9)/(1+Model!$B$18)^43))</f>
        <v/>
      </c>
      <c r="BF88" s="7">
        <f>IF(A88="","",IF((A88+44)&gt;Model!$B$4,0,MAX(0,Model!$B$6-IF((A88+44)&gt;=Model!$B$11,Model!$B$20,0)-IF(44&lt;Model!$B$15,Model!$B$22,0))/(1-Model!$B$9)/(1+Model!$B$18)^44))</f>
        <v/>
      </c>
      <c r="BG88" s="7">
        <f>IF(A88="","",IF((A88+45)&gt;Model!$B$4,0,MAX(0,Model!$B$6-IF((A88+45)&gt;=Model!$B$11,Model!$B$20,0)-IF(45&lt;Model!$B$15,Model!$B$22,0))/(1-Model!$B$9)/(1+Model!$B$18)^45))</f>
        <v/>
      </c>
      <c r="BH88" s="7">
        <f>IF(A88="","",IF((A88+46)&gt;Model!$B$4,0,MAX(0,Model!$B$6-IF((A88+46)&gt;=Model!$B$11,Model!$B$20,0)-IF(46&lt;Model!$B$15,Model!$B$22,0))/(1-Model!$B$9)/(1+Model!$B$18)^46))</f>
        <v/>
      </c>
      <c r="BI88" s="7">
        <f>IF(A88="","",IF((A88+47)&gt;Model!$B$4,0,MAX(0,Model!$B$6-IF((A88+47)&gt;=Model!$B$11,Model!$B$20,0)-IF(47&lt;Model!$B$15,Model!$B$22,0))/(1-Model!$B$9)/(1+Model!$B$18)^47))</f>
        <v/>
      </c>
      <c r="BJ88" s="7">
        <f>IF(A88="","",IF((A88+48)&gt;Model!$B$4,0,MAX(0,Model!$B$6-IF((A88+48)&gt;=Model!$B$11,Model!$B$20,0)-IF(48&lt;Model!$B$15,Model!$B$22,0))/(1-Model!$B$9)/(1+Model!$B$18)^48))</f>
        <v/>
      </c>
      <c r="BK88" s="7">
        <f>IF(A88="","",IF((A88+49)&gt;Model!$B$4,0,MAX(0,Model!$B$6-IF((A88+49)&gt;=Model!$B$11,Model!$B$20,0)-IF(49&lt;Model!$B$15,Model!$B$22,0))/(1-Model!$B$9)/(1+Model!$B$18)^49))</f>
        <v/>
      </c>
      <c r="BL88" s="7">
        <f>IF(A88="","",IF((A88+50)&gt;Model!$B$4,0,MAX(0,Model!$B$6-IF((A88+50)&gt;=Model!$B$11,Model!$B$20,0)-IF(50&lt;Model!$B$15,Model!$B$22,0))/(1-Model!$B$9)/(1+Model!$B$18)^50))</f>
        <v/>
      </c>
      <c r="BM88" s="7">
        <f>IF(A88="","",IF((A88+51)&gt;Model!$B$4,0,MAX(0,Model!$B$6-IF((A88+51)&gt;=Model!$B$11,Model!$B$20,0)-IF(51&lt;Model!$B$15,Model!$B$22,0))/(1-Model!$B$9)/(1+Model!$B$18)^51))</f>
        <v/>
      </c>
      <c r="BN88" s="7">
        <f>IF(A88="","",IF((A88+52)&gt;Model!$B$4,0,MAX(0,Model!$B$6-IF((A88+52)&gt;=Model!$B$11,Model!$B$20,0)-IF(52&lt;Model!$B$15,Model!$B$22,0))/(1-Model!$B$9)/(1+Model!$B$18)^52))</f>
        <v/>
      </c>
      <c r="BO88" s="7">
        <f>IF(A88="","",IF((A88+53)&gt;Model!$B$4,0,MAX(0,Model!$B$6-IF((A88+53)&gt;=Model!$B$11,Model!$B$20,0)-IF(53&lt;Model!$B$15,Model!$B$22,0))/(1-Model!$B$9)/(1+Model!$B$18)^53))</f>
        <v/>
      </c>
      <c r="BP88" s="7">
        <f>IF(A88="","",IF((A88+54)&gt;Model!$B$4,0,MAX(0,Model!$B$6-IF((A88+54)&gt;=Model!$B$11,Model!$B$20,0)-IF(54&lt;Model!$B$15,Model!$B$22,0))/(1-Model!$B$9)/(1+Model!$B$18)^54))</f>
        <v/>
      </c>
      <c r="BQ88" s="7">
        <f>IF(A88="","",IF((A88+55)&gt;Model!$B$4,0,MAX(0,Model!$B$6-IF((A88+55)&gt;=Model!$B$11,Model!$B$20,0)-IF(55&lt;Model!$B$15,Model!$B$22,0))/(1-Model!$B$9)/(1+Model!$B$18)^55))</f>
        <v/>
      </c>
      <c r="BR88" s="7">
        <f>IF(A88="","",IF((A88+56)&gt;Model!$B$4,0,MAX(0,Model!$B$6-IF((A88+56)&gt;=Model!$B$11,Model!$B$20,0)-IF(56&lt;Model!$B$15,Model!$B$22,0))/(1-Model!$B$9)/(1+Model!$B$18)^56))</f>
        <v/>
      </c>
      <c r="BS88" s="7">
        <f>IF(A88="","",IF((A88+57)&gt;Model!$B$4,0,MAX(0,Model!$B$6-IF((A88+57)&gt;=Model!$B$11,Model!$B$20,0)-IF(57&lt;Model!$B$15,Model!$B$22,0))/(1-Model!$B$9)/(1+Model!$B$18)^57))</f>
        <v/>
      </c>
      <c r="BT88" s="7">
        <f>IF(A88="","",IF((A88+58)&gt;Model!$B$4,0,MAX(0,Model!$B$6-IF((A88+58)&gt;=Model!$B$11,Model!$B$20,0)-IF(58&lt;Model!$B$15,Model!$B$22,0))/(1-Model!$B$9)/(1+Model!$B$18)^58))</f>
        <v/>
      </c>
      <c r="BU88" s="7">
        <f>IF(A88="","",IF((A88+59)&gt;Model!$B$4,0,MAX(0,Model!$B$6-IF((A88+59)&gt;=Model!$B$11,Model!$B$20,0)-IF(59&lt;Model!$B$15,Model!$B$22,0))/(1-Model!$B$9)/(1+Model!$B$18)^59))</f>
        <v/>
      </c>
      <c r="BV88" s="7">
        <f>IF(A88="","",IF((A88+60)&gt;Model!$B$4,0,MAX(0,Model!$B$6-IF((A88+60)&gt;=Model!$B$11,Model!$B$20,0)-IF(60&lt;Model!$B$15,Model!$B$22,0))/(1-Model!$B$9)/(1+Model!$B$18)^60))</f>
        <v/>
      </c>
      <c r="BW88" s="7">
        <f>IF(A88="","",IF((A88+61)&gt;Model!$B$4,0,MAX(0,Model!$B$6-IF((A88+61)&gt;=Model!$B$11,Model!$B$20,0)-IF(61&lt;Model!$B$15,Model!$B$22,0))/(1-Model!$B$9)/(1+Model!$B$18)^61))</f>
        <v/>
      </c>
      <c r="BX88" s="7">
        <f>IF(A88="","",IF((A88+62)&gt;Model!$B$4,0,MAX(0,Model!$B$6-IF((A88+62)&gt;=Model!$B$11,Model!$B$20,0)-IF(62&lt;Model!$B$15,Model!$B$22,0))/(1-Model!$B$9)/(1+Model!$B$18)^62))</f>
        <v/>
      </c>
      <c r="BY88" s="7">
        <f>IF(A88="","",IF((A88+63)&gt;Model!$B$4,0,MAX(0,Model!$B$6-IF((A88+63)&gt;=Model!$B$11,Model!$B$20,0)-IF(63&lt;Model!$B$15,Model!$B$22,0))/(1-Model!$B$9)/(1+Model!$B$18)^63))</f>
        <v/>
      </c>
      <c r="BZ88" s="7">
        <f>IF(A88="","",IF((A88+64)&gt;Model!$B$4,0,MAX(0,Model!$B$6-IF((A88+64)&gt;=Model!$B$11,Model!$B$20,0)-IF(64&lt;Model!$B$15,Model!$B$22,0))/(1-Model!$B$9)/(1+Model!$B$18)^64))</f>
        <v/>
      </c>
      <c r="CA88" s="7">
        <f>IF(A88="","",IF((A88+65)&gt;Model!$B$4,0,MAX(0,Model!$B$6-IF((A88+65)&gt;=Model!$B$11,Model!$B$20,0)-IF(65&lt;Model!$B$15,Model!$B$22,0))/(1-Model!$B$9)/(1+Model!$B$18)^65))</f>
        <v/>
      </c>
      <c r="CB88" s="7">
        <f>IF(A88="","",IF((A88+66)&gt;Model!$B$4,0,MAX(0,Model!$B$6-IF((A88+66)&gt;=Model!$B$11,Model!$B$20,0)-IF(66&lt;Model!$B$15,Model!$B$22,0))/(1-Model!$B$9)/(1+Model!$B$18)^66))</f>
        <v/>
      </c>
      <c r="CC88" s="7">
        <f>IF(A88="","",IF((A88+67)&gt;Model!$B$4,0,MAX(0,Model!$B$6-IF((A88+67)&gt;=Model!$B$11,Model!$B$20,0)-IF(67&lt;Model!$B$15,Model!$B$22,0))/(1-Model!$B$9)/(1+Model!$B$18)^67))</f>
        <v/>
      </c>
      <c r="CD88" s="7">
        <f>IF(A88="","",IF((A88+68)&gt;Model!$B$4,0,MAX(0,Model!$B$6-IF((A88+68)&gt;=Model!$B$11,Model!$B$20,0)-IF(68&lt;Model!$B$15,Model!$B$22,0))/(1-Model!$B$9)/(1+Model!$B$18)^68))</f>
        <v/>
      </c>
      <c r="CE88" s="7">
        <f>IF(A88="","",IF((A88+69)&gt;Model!$B$4,0,MAX(0,Model!$B$6-IF((A88+69)&gt;=Model!$B$11,Model!$B$20,0)-IF(69&lt;Model!$B$15,Model!$B$22,0))/(1-Model!$B$9)/(1+Model!$B$18)^69))</f>
        <v/>
      </c>
      <c r="CF88" s="7">
        <f>IF(A88="","",IF((A88+70)&gt;Model!$B$4,0,MAX(0,Model!$B$6-IF((A88+70)&gt;=Model!$B$11,Model!$B$20,0)-IF(70&lt;Model!$B$15,Model!$B$22,0))/(1-Model!$B$9)/(1+Model!$B$18)^70))</f>
        <v/>
      </c>
      <c r="CG88" s="7">
        <f>IF(A88="","",IF((A88+71)&gt;Model!$B$4,0,MAX(0,Model!$B$6-IF((A88+71)&gt;=Model!$B$11,Model!$B$20,0)-IF(71&lt;Model!$B$15,Model!$B$22,0))/(1-Model!$B$9)/(1+Model!$B$18)^71))</f>
        <v/>
      </c>
      <c r="CH88" s="7">
        <f>IF(A88="","",IF((A88+72)&gt;Model!$B$4,0,MAX(0,Model!$B$6-IF((A88+72)&gt;=Model!$B$11,Model!$B$20,0)-IF(72&lt;Model!$B$15,Model!$B$22,0))/(1-Model!$B$9)/(1+Model!$B$18)^72))</f>
        <v/>
      </c>
      <c r="CI88" s="7">
        <f>IF(A88="","",IF((A88+73)&gt;Model!$B$4,0,MAX(0,Model!$B$6-IF((A88+73)&gt;=Model!$B$11,Model!$B$20,0)-IF(73&lt;Model!$B$15,Model!$B$22,0))/(1-Model!$B$9)/(1+Model!$B$18)^73))</f>
        <v/>
      </c>
      <c r="CJ88" s="7">
        <f>IF(A88="","",IF((A88+74)&gt;Model!$B$4,0,MAX(0,Model!$B$6-IF((A88+74)&gt;=Model!$B$11,Model!$B$20,0)-IF(74&lt;Model!$B$15,Model!$B$22,0))/(1-Model!$B$9)/(1+Model!$B$18)^74))</f>
        <v/>
      </c>
      <c r="CK88" s="7">
        <f>IF(A88="","",IF((A88+75)&gt;Model!$B$4,0,MAX(0,Model!$B$6-IF((A88+75)&gt;=Model!$B$11,Model!$B$20,0)-IF(75&lt;Model!$B$15,Model!$B$22,0))/(1-Model!$B$9)/(1+Model!$B$18)^75))</f>
        <v/>
      </c>
      <c r="CL88" s="7">
        <f>IF(A88="","",IF((A88+76)&gt;Model!$B$4,0,MAX(0,Model!$B$6-IF((A88+76)&gt;=Model!$B$11,Model!$B$20,0)-IF(76&lt;Model!$B$15,Model!$B$22,0))/(1-Model!$B$9)/(1+Model!$B$18)^76))</f>
        <v/>
      </c>
      <c r="CM88" s="7">
        <f>IF(A88="","",IF((A88+77)&gt;Model!$B$4,0,MAX(0,Model!$B$6-IF((A88+77)&gt;=Model!$B$11,Model!$B$20,0)-IF(77&lt;Model!$B$15,Model!$B$22,0))/(1-Model!$B$9)/(1+Model!$B$18)^77))</f>
        <v/>
      </c>
      <c r="CN88" s="7">
        <f>IF(A88="","",IF((A88+78)&gt;Model!$B$4,0,MAX(0,Model!$B$6-IF((A88+78)&gt;=Model!$B$11,Model!$B$20,0)-IF(78&lt;Model!$B$15,Model!$B$22,0))/(1-Model!$B$9)/(1+Model!$B$18)^78))</f>
        <v/>
      </c>
      <c r="CO88" s="7">
        <f>IF(A88="","",IF((A88+79)&gt;Model!$B$4,0,MAX(0,Model!$B$6-IF((A88+79)&gt;=Model!$B$11,Model!$B$20,0)-IF(79&lt;Model!$B$15,Model!$B$22,0))/(1-Model!$B$9)/(1+Model!$B$18)^79))</f>
        <v/>
      </c>
      <c r="CP88" s="7">
        <f>IF(A88="","",IF((A88+80)&gt;Model!$B$4,0,MAX(0,Model!$B$6-IF((A88+80)&gt;=Model!$B$11,Model!$B$20,0)-IF(80&lt;Model!$B$15,Model!$B$22,0))/(1-Model!$B$9)/(1+Model!$B$18)^80))</f>
        <v/>
      </c>
      <c r="CQ88" s="7">
        <f>IF(A88="","",IF((A88+81)&gt;Model!$B$4,0,MAX(0,Model!$B$6-IF((A88+81)&gt;=Model!$B$11,Model!$B$20,0)-IF(81&lt;Model!$B$15,Model!$B$22,0))/(1-Model!$B$9)/(1+Model!$B$18)^81))</f>
        <v/>
      </c>
      <c r="CR88" s="7">
        <f>IF(A88="","",IF((A88+82)&gt;Model!$B$4,0,MAX(0,Model!$B$6-IF((A88+82)&gt;=Model!$B$11,Model!$B$20,0)-IF(82&lt;Model!$B$15,Model!$B$22,0))/(1-Model!$B$9)/(1+Model!$B$18)^82))</f>
        <v/>
      </c>
      <c r="CS88" s="7">
        <f>IF(A88="","",IF((A88+83)&gt;Model!$B$4,0,MAX(0,Model!$B$6-IF((A88+83)&gt;=Model!$B$11,Model!$B$20,0)-IF(83&lt;Model!$B$15,Model!$B$22,0))/(1-Model!$B$9)/(1+Model!$B$18)^83))</f>
        <v/>
      </c>
      <c r="CT88" s="7">
        <f>IF(A88="","",IF((A88+84)&gt;Model!$B$4,0,MAX(0,Model!$B$6-IF((A88+84)&gt;=Model!$B$11,Model!$B$20,0)-IF(84&lt;Model!$B$15,Model!$B$22,0))/(1-Model!$B$9)/(1+Model!$B$18)^84))</f>
        <v/>
      </c>
      <c r="CU88" s="7">
        <f>IF(A88="","",IF((A88+85)&gt;Model!$B$4,0,MAX(0,Model!$B$6-IF((A88+85)&gt;=Model!$B$11,Model!$B$20,0)-IF(85&lt;Model!$B$15,Model!$B$22,0))/(1-Model!$B$9)/(1+Model!$B$18)^85))</f>
        <v/>
      </c>
      <c r="CV88" s="7">
        <f>IF(A88="","",IF((A88+86)&gt;Model!$B$4,0,MAX(0,Model!$B$6-IF((A88+86)&gt;=Model!$B$11,Model!$B$20,0)-IF(86&lt;Model!$B$15,Model!$B$22,0))/(1-Model!$B$9)/(1+Model!$B$18)^86))</f>
        <v/>
      </c>
      <c r="CW88" s="7">
        <f>IF(A88="","",IF((A88+87)&gt;Model!$B$4,0,MAX(0,Model!$B$6-IF((A88+87)&gt;=Model!$B$11,Model!$B$20,0)-IF(87&lt;Model!$B$15,Model!$B$22,0))/(1-Model!$B$9)/(1+Model!$B$18)^87))</f>
        <v/>
      </c>
      <c r="CX88" s="7">
        <f>IF(A88="","",IF((A88+88)&gt;Model!$B$4,0,MAX(0,Model!$B$6-IF((A88+88)&gt;=Model!$B$11,Model!$B$20,0)-IF(88&lt;Model!$B$15,Model!$B$22,0))/(1-Model!$B$9)/(1+Model!$B$18)^88))</f>
        <v/>
      </c>
      <c r="CY88" s="7">
        <f>IF(A88="","",IF((A88+89)&gt;Model!$B$4,0,MAX(0,Model!$B$6-IF((A88+89)&gt;=Model!$B$11,Model!$B$20,0)-IF(89&lt;Model!$B$15,Model!$B$22,0))/(1-Model!$B$9)/(1+Model!$B$18)^89))</f>
        <v/>
      </c>
      <c r="CZ88" s="7">
        <f>IF(A88="","",IF((A88+90)&gt;Model!$B$4,0,MAX(0,Model!$B$6-IF((A88+90)&gt;=Model!$B$11,Model!$B$20,0)-IF(90&lt;Model!$B$15,Model!$B$22,0))/(1-Model!$B$9)/(1+Model!$B$18)^90))</f>
        <v/>
      </c>
      <c r="DA88" s="7">
        <f>IF(A88="","",IF((A88+91)&gt;Model!$B$4,0,MAX(0,Model!$B$6-IF((A88+91)&gt;=Model!$B$11,Model!$B$20,0)-IF(91&lt;Model!$B$15,Model!$B$22,0))/(1-Model!$B$9)/(1+Model!$B$18)^91))</f>
        <v/>
      </c>
      <c r="DB88" s="7">
        <f>IF(A88="","",IF((A88+92)&gt;Model!$B$4,0,MAX(0,Model!$B$6-IF((A88+92)&gt;=Model!$B$11,Model!$B$20,0)-IF(92&lt;Model!$B$15,Model!$B$22,0))/(1-Model!$B$9)/(1+Model!$B$18)^92))</f>
        <v/>
      </c>
      <c r="DC88" s="7">
        <f>IF(A88="","",IF((A88+93)&gt;Model!$B$4,0,MAX(0,Model!$B$6-IF((A88+93)&gt;=Model!$B$11,Model!$B$20,0)-IF(93&lt;Model!$B$15,Model!$B$22,0))/(1-Model!$B$9)/(1+Model!$B$18)^93))</f>
        <v/>
      </c>
      <c r="DD88" s="7">
        <f>IF(A88="","",IF((A88+94)&gt;Model!$B$4,0,MAX(0,Model!$B$6-IF((A88+94)&gt;=Model!$B$11,Model!$B$20,0)-IF(94&lt;Model!$B$15,Model!$B$22,0))/(1-Model!$B$9)/(1+Model!$B$18)^94))</f>
        <v/>
      </c>
      <c r="DE88" s="7">
        <f>IF(A88="","",IF((A88+95)&gt;Model!$B$4,0,MAX(0,Model!$B$6-IF((A88+95)&gt;=Model!$B$11,Model!$B$20,0)-IF(95&lt;Model!$B$15,Model!$B$22,0))/(1-Model!$B$9)/(1+Model!$B$18)^95))</f>
        <v/>
      </c>
      <c r="DF88" s="7">
        <f>IF(A88="","",IF((A88+96)&gt;Model!$B$4,0,MAX(0,Model!$B$6-IF((A88+96)&gt;=Model!$B$11,Model!$B$20,0)-IF(96&lt;Model!$B$15,Model!$B$22,0))/(1-Model!$B$9)/(1+Model!$B$18)^96))</f>
        <v/>
      </c>
      <c r="DG88" s="7">
        <f>IF(A88="","",IF((A88+97)&gt;Model!$B$4,0,MAX(0,Model!$B$6-IF((A88+97)&gt;=Model!$B$11,Model!$B$20,0)-IF(97&lt;Model!$B$15,Model!$B$22,0))/(1-Model!$B$9)/(1+Model!$B$18)^97))</f>
        <v/>
      </c>
      <c r="DH88" s="7">
        <f>IF(A88="","",IF((A88+98)&gt;Model!$B$4,0,MAX(0,Model!$B$6-IF((A88+98)&gt;=Model!$B$11,Model!$B$20,0)-IF(98&lt;Model!$B$15,Model!$B$22,0))/(1-Model!$B$9)/(1+Model!$B$18)^98))</f>
        <v/>
      </c>
      <c r="DI88" s="7">
        <f>IF(A88="","",IF((A88+99)&gt;Model!$B$4,0,MAX(0,Model!$B$6-IF((A88+99)&gt;=Model!$B$11,Model!$B$20,0)-IF(99&lt;Model!$B$15,Model!$B$22,0))/(1-Model!$B$9)/(1+Model!$B$18)^99))</f>
        <v/>
      </c>
      <c r="DJ88" s="7">
        <f>IF(A88="","",IF((A88+100)&gt;Model!$B$4,0,MAX(0,Model!$B$6-IF((A88+100)&gt;=Model!$B$11,Model!$B$20,0)-IF(100&lt;Model!$B$15,Model!$B$22,0))/(1-Model!$B$9)/(1+Model!$B$18)^100))</f>
        <v/>
      </c>
      <c r="DK88" s="7">
        <f>IF(A88="","",IF((A88+101)&gt;Model!$B$4,0,MAX(0,Model!$B$6-IF((A88+101)&gt;=Model!$B$11,Model!$B$20,0)-IF(101&lt;Model!$B$15,Model!$B$22,0))/(1-Model!$B$9)/(1+Model!$B$18)^101))</f>
        <v/>
      </c>
      <c r="DL88" s="7">
        <f>IF(A88="","",IF((A88+102)&gt;Model!$B$4,0,MAX(0,Model!$B$6-IF((A88+102)&gt;=Model!$B$11,Model!$B$20,0)-IF(102&lt;Model!$B$15,Model!$B$22,0))/(1-Model!$B$9)/(1+Model!$B$18)^102))</f>
        <v/>
      </c>
      <c r="DM88" s="7">
        <f>IF(A88="","",IF((A88+103)&gt;Model!$B$4,0,MAX(0,Model!$B$6-IF((A88+103)&gt;=Model!$B$11,Model!$B$20,0)-IF(103&lt;Model!$B$15,Model!$B$22,0))/(1-Model!$B$9)/(1+Model!$B$18)^103))</f>
        <v/>
      </c>
      <c r="DN88" s="7">
        <f>IF(A88="","",IF((A88+104)&gt;Model!$B$4,0,MAX(0,Model!$B$6-IF((A88+104)&gt;=Model!$B$11,Model!$B$20,0)-IF(104&lt;Model!$B$15,Model!$B$22,0))/(1-Model!$B$9)/(1+Model!$B$18)^104))</f>
        <v/>
      </c>
      <c r="DO88" s="7">
        <f>IF(A88="","",IF((A88+105)&gt;Model!$B$4,0,MAX(0,Model!$B$6-IF((A88+105)&gt;=Model!$B$11,Model!$B$20,0)-IF(105&lt;Model!$B$15,Model!$B$22,0))/(1-Model!$B$9)/(1+Model!$B$18)^105))</f>
        <v/>
      </c>
      <c r="DP88" s="7">
        <f>IF(A88="","",IF((A88+106)&gt;Model!$B$4,0,MAX(0,Model!$B$6-IF((A88+106)&gt;=Model!$B$11,Model!$B$20,0)-IF(106&lt;Model!$B$15,Model!$B$22,0))/(1-Model!$B$9)/(1+Model!$B$18)^106))</f>
        <v/>
      </c>
      <c r="DQ88" s="7">
        <f>IF(A88="","",IF((A88+107)&gt;Model!$B$4,0,MAX(0,Model!$B$6-IF((A88+107)&gt;=Model!$B$11,Model!$B$20,0)-IF(107&lt;Model!$B$15,Model!$B$22,0))/(1-Model!$B$9)/(1+Model!$B$18)^107))</f>
        <v/>
      </c>
      <c r="DR88" s="7">
        <f>IF(A88="","",IF((A88+108)&gt;Model!$B$4,0,MAX(0,Model!$B$6-IF((A88+108)&gt;=Model!$B$11,Model!$B$20,0)-IF(108&lt;Model!$B$15,Model!$B$22,0))/(1-Model!$B$9)/(1+Model!$B$18)^108))</f>
        <v/>
      </c>
      <c r="DS88" s="7">
        <f>IF(A88="","",IF((A88+109)&gt;Model!$B$4,0,MAX(0,Model!$B$6-IF((A88+109)&gt;=Model!$B$11,Model!$B$20,0)-IF(109&lt;Model!$B$15,Model!$B$22,0))/(1-Model!$B$9)/(1+Model!$B$18)^109))</f>
        <v/>
      </c>
      <c r="DT88" s="7">
        <f>IF(A88="","",IF((A88+110)&gt;Model!$B$4,0,MAX(0,Model!$B$6-IF((A88+110)&gt;=Model!$B$11,Model!$B$20,0)-IF(110&lt;Model!$B$15,Model!$B$22,0))/(1-Model!$B$9)/(1+Model!$B$18)^110))</f>
        <v/>
      </c>
      <c r="DU88" s="7">
        <f>IF(A88="","",IF((A88+111)&gt;Model!$B$4,0,MAX(0,Model!$B$6-IF((A88+111)&gt;=Model!$B$11,Model!$B$20,0)-IF(111&lt;Model!$B$15,Model!$B$22,0))/(1-Model!$B$9)/(1+Model!$B$18)^111))</f>
        <v/>
      </c>
      <c r="DV88" s="7">
        <f>IF(A88="","",IF((A88+112)&gt;Model!$B$4,0,MAX(0,Model!$B$6-IF((A88+112)&gt;=Model!$B$11,Model!$B$20,0)-IF(112&lt;Model!$B$15,Model!$B$22,0))/(1-Model!$B$9)/(1+Model!$B$18)^112))</f>
        <v/>
      </c>
      <c r="DW88" s="7">
        <f>IF(A88="","",IF((A88+113)&gt;Model!$B$4,0,MAX(0,Model!$B$6-IF((A88+113)&gt;=Model!$B$11,Model!$B$20,0)-IF(113&lt;Model!$B$15,Model!$B$22,0))/(1-Model!$B$9)/(1+Model!$B$18)^113))</f>
        <v/>
      </c>
      <c r="DX88" s="7">
        <f>IF(A88="","",IF((A88+114)&gt;Model!$B$4,0,MAX(0,Model!$B$6-IF((A88+114)&gt;=Model!$B$11,Model!$B$20,0)-IF(114&lt;Model!$B$15,Model!$B$22,0))/(1-Model!$B$9)/(1+Model!$B$18)^114))</f>
        <v/>
      </c>
      <c r="DY88" s="7">
        <f>IF(A88="","",IF((A88+115)&gt;Model!$B$4,0,MAX(0,Model!$B$6-IF((A88+115)&gt;=Model!$B$11,Model!$B$20,0)-IF(115&lt;Model!$B$15,Model!$B$22,0))/(1-Model!$B$9)/(1+Model!$B$18)^115))</f>
        <v/>
      </c>
      <c r="DZ88" s="7">
        <f>IF(A88="","",IF((A88+116)&gt;Model!$B$4,0,MAX(0,Model!$B$6-IF((A88+116)&gt;=Model!$B$11,Model!$B$20,0)-IF(116&lt;Model!$B$15,Model!$B$22,0))/(1-Model!$B$9)/(1+Model!$B$18)^116))</f>
        <v/>
      </c>
      <c r="EA88" s="7">
        <f>IF(A88="","",IF((A88+117)&gt;Model!$B$4,0,MAX(0,Model!$B$6-IF((A88+117)&gt;=Model!$B$11,Model!$B$20,0)-IF(117&lt;Model!$B$15,Model!$B$22,0))/(1-Model!$B$9)/(1+Model!$B$18)^117))</f>
        <v/>
      </c>
      <c r="EB88" s="7">
        <f>IF(A88="","",IF((A88+118)&gt;Model!$B$4,0,MAX(0,Model!$B$6-IF((A88+118)&gt;=Model!$B$11,Model!$B$20,0)-IF(118&lt;Model!$B$15,Model!$B$22,0))/(1-Model!$B$9)/(1+Model!$B$18)^118))</f>
        <v/>
      </c>
      <c r="EC88" s="7">
        <f>IF(A88="","",IF((A88+119)&gt;Model!$B$4,0,MAX(0,Model!$B$6-IF((A88+119)&gt;=Model!$B$11,Model!$B$20,0)-IF(119&lt;Model!$B$15,Model!$B$22,0))/(1-Model!$B$9)/(1+Model!$B$18)^119))</f>
        <v/>
      </c>
      <c r="ED88" s="7">
        <f>IF(A88="","",IF((A88+120)&gt;Model!$B$4,0,MAX(0,Model!$B$6-IF((A88+120)&gt;=Model!$B$11,Model!$B$20,0)-IF(120&lt;Model!$B$15,Model!$B$22,0))/(1-Model!$B$9)/(1+Model!$B$18)^120))</f>
        <v/>
      </c>
    </row>
    <row r="89">
      <c r="A89">
        <f>IF(Model!$B$10+ROW()-2&lt;=Model!$B$4,Model!$B$10+ROW()-2,"")</f>
        <v/>
      </c>
      <c r="B89">
        <f>IF(A89="","",A89-Model!$B$10)</f>
        <v/>
      </c>
      <c r="C89" s="7">
        <f>IF(A89="","",Model!$B$5*(1+Model!$B$18)^B89)</f>
        <v/>
      </c>
      <c r="D89" s="7">
        <f>IF(A89="","",SUM(N89:ED89))</f>
        <v/>
      </c>
      <c r="E89" s="7">
        <f>IF(A89="","",IF(A89&gt;=Model!$B$11,Model!$B$20,0))</f>
        <v/>
      </c>
      <c r="F89" s="7">
        <f>IF(A89="","",IF(Model!$B$15&gt;0,Model!$B$22,0))</f>
        <v/>
      </c>
      <c r="G89" s="7">
        <f>IF(A89="","",E89+F89)</f>
        <v/>
      </c>
      <c r="H89" s="7">
        <f>IF(A89="","",MAX(0,Model!$B$6-G89))</f>
        <v/>
      </c>
      <c r="I89" s="7">
        <f>IF(A89="","",H89/(1-Model!$B$9))</f>
        <v/>
      </c>
      <c r="J89" s="7">
        <f>IF(A89="","",C89-D89)</f>
        <v/>
      </c>
      <c r="K89">
        <f>IF(A89="","",C89&gt;=D89)</f>
        <v/>
      </c>
      <c r="L89" s="7">
        <f>IF(A89="","",IF(A89&gt;=Model!$B$11,Model!$B$19*(1+Model!$B$13)^B89,0))</f>
        <v/>
      </c>
      <c r="M89" s="7">
        <f>IF(A89="","",IF(Model!$B$15&gt;0,Model!$B$21*(1+Model!$B$13)^B89,0))</f>
        <v/>
      </c>
      <c r="N89" s="7">
        <f>IF(A89="","",IF((A89+0)&gt;Model!$B$4,0,MAX(0,Model!$B$6-IF((A89+0)&gt;=Model!$B$11,Model!$B$20,0)-IF(0&lt;Model!$B$15,Model!$B$22,0))/(1-Model!$B$9)/(1+Model!$B$18)^0))</f>
        <v/>
      </c>
      <c r="O89" s="7">
        <f>IF(A89="","",IF((A89+1)&gt;Model!$B$4,0,MAX(0,Model!$B$6-IF((A89+1)&gt;=Model!$B$11,Model!$B$20,0)-IF(1&lt;Model!$B$15,Model!$B$22,0))/(1-Model!$B$9)/(1+Model!$B$18)^1))</f>
        <v/>
      </c>
      <c r="P89" s="7">
        <f>IF(A89="","",IF((A89+2)&gt;Model!$B$4,0,MAX(0,Model!$B$6-IF((A89+2)&gt;=Model!$B$11,Model!$B$20,0)-IF(2&lt;Model!$B$15,Model!$B$22,0))/(1-Model!$B$9)/(1+Model!$B$18)^2))</f>
        <v/>
      </c>
      <c r="Q89" s="7">
        <f>IF(A89="","",IF((A89+3)&gt;Model!$B$4,0,MAX(0,Model!$B$6-IF((A89+3)&gt;=Model!$B$11,Model!$B$20,0)-IF(3&lt;Model!$B$15,Model!$B$22,0))/(1-Model!$B$9)/(1+Model!$B$18)^3))</f>
        <v/>
      </c>
      <c r="R89" s="7">
        <f>IF(A89="","",IF((A89+4)&gt;Model!$B$4,0,MAX(0,Model!$B$6-IF((A89+4)&gt;=Model!$B$11,Model!$B$20,0)-IF(4&lt;Model!$B$15,Model!$B$22,0))/(1-Model!$B$9)/(1+Model!$B$18)^4))</f>
        <v/>
      </c>
      <c r="S89" s="7">
        <f>IF(A89="","",IF((A89+5)&gt;Model!$B$4,0,MAX(0,Model!$B$6-IF((A89+5)&gt;=Model!$B$11,Model!$B$20,0)-IF(5&lt;Model!$B$15,Model!$B$22,0))/(1-Model!$B$9)/(1+Model!$B$18)^5))</f>
        <v/>
      </c>
      <c r="T89" s="7">
        <f>IF(A89="","",IF((A89+6)&gt;Model!$B$4,0,MAX(0,Model!$B$6-IF((A89+6)&gt;=Model!$B$11,Model!$B$20,0)-IF(6&lt;Model!$B$15,Model!$B$22,0))/(1-Model!$B$9)/(1+Model!$B$18)^6))</f>
        <v/>
      </c>
      <c r="U89" s="7">
        <f>IF(A89="","",IF((A89+7)&gt;Model!$B$4,0,MAX(0,Model!$B$6-IF((A89+7)&gt;=Model!$B$11,Model!$B$20,0)-IF(7&lt;Model!$B$15,Model!$B$22,0))/(1-Model!$B$9)/(1+Model!$B$18)^7))</f>
        <v/>
      </c>
      <c r="V89" s="7">
        <f>IF(A89="","",IF((A89+8)&gt;Model!$B$4,0,MAX(0,Model!$B$6-IF((A89+8)&gt;=Model!$B$11,Model!$B$20,0)-IF(8&lt;Model!$B$15,Model!$B$22,0))/(1-Model!$B$9)/(1+Model!$B$18)^8))</f>
        <v/>
      </c>
      <c r="W89" s="7">
        <f>IF(A89="","",IF((A89+9)&gt;Model!$B$4,0,MAX(0,Model!$B$6-IF((A89+9)&gt;=Model!$B$11,Model!$B$20,0)-IF(9&lt;Model!$B$15,Model!$B$22,0))/(1-Model!$B$9)/(1+Model!$B$18)^9))</f>
        <v/>
      </c>
      <c r="X89" s="7">
        <f>IF(A89="","",IF((A89+10)&gt;Model!$B$4,0,MAX(0,Model!$B$6-IF((A89+10)&gt;=Model!$B$11,Model!$B$20,0)-IF(10&lt;Model!$B$15,Model!$B$22,0))/(1-Model!$B$9)/(1+Model!$B$18)^10))</f>
        <v/>
      </c>
      <c r="Y89" s="7">
        <f>IF(A89="","",IF((A89+11)&gt;Model!$B$4,0,MAX(0,Model!$B$6-IF((A89+11)&gt;=Model!$B$11,Model!$B$20,0)-IF(11&lt;Model!$B$15,Model!$B$22,0))/(1-Model!$B$9)/(1+Model!$B$18)^11))</f>
        <v/>
      </c>
      <c r="Z89" s="7">
        <f>IF(A89="","",IF((A89+12)&gt;Model!$B$4,0,MAX(0,Model!$B$6-IF((A89+12)&gt;=Model!$B$11,Model!$B$20,0)-IF(12&lt;Model!$B$15,Model!$B$22,0))/(1-Model!$B$9)/(1+Model!$B$18)^12))</f>
        <v/>
      </c>
      <c r="AA89" s="7">
        <f>IF(A89="","",IF((A89+13)&gt;Model!$B$4,0,MAX(0,Model!$B$6-IF((A89+13)&gt;=Model!$B$11,Model!$B$20,0)-IF(13&lt;Model!$B$15,Model!$B$22,0))/(1-Model!$B$9)/(1+Model!$B$18)^13))</f>
        <v/>
      </c>
      <c r="AB89" s="7">
        <f>IF(A89="","",IF((A89+14)&gt;Model!$B$4,0,MAX(0,Model!$B$6-IF((A89+14)&gt;=Model!$B$11,Model!$B$20,0)-IF(14&lt;Model!$B$15,Model!$B$22,0))/(1-Model!$B$9)/(1+Model!$B$18)^14))</f>
        <v/>
      </c>
      <c r="AC89" s="7">
        <f>IF(A89="","",IF((A89+15)&gt;Model!$B$4,0,MAX(0,Model!$B$6-IF((A89+15)&gt;=Model!$B$11,Model!$B$20,0)-IF(15&lt;Model!$B$15,Model!$B$22,0))/(1-Model!$B$9)/(1+Model!$B$18)^15))</f>
        <v/>
      </c>
      <c r="AD89" s="7">
        <f>IF(A89="","",IF((A89+16)&gt;Model!$B$4,0,MAX(0,Model!$B$6-IF((A89+16)&gt;=Model!$B$11,Model!$B$20,0)-IF(16&lt;Model!$B$15,Model!$B$22,0))/(1-Model!$B$9)/(1+Model!$B$18)^16))</f>
        <v/>
      </c>
      <c r="AE89" s="7">
        <f>IF(A89="","",IF((A89+17)&gt;Model!$B$4,0,MAX(0,Model!$B$6-IF((A89+17)&gt;=Model!$B$11,Model!$B$20,0)-IF(17&lt;Model!$B$15,Model!$B$22,0))/(1-Model!$B$9)/(1+Model!$B$18)^17))</f>
        <v/>
      </c>
      <c r="AF89" s="7">
        <f>IF(A89="","",IF((A89+18)&gt;Model!$B$4,0,MAX(0,Model!$B$6-IF((A89+18)&gt;=Model!$B$11,Model!$B$20,0)-IF(18&lt;Model!$B$15,Model!$B$22,0))/(1-Model!$B$9)/(1+Model!$B$18)^18))</f>
        <v/>
      </c>
      <c r="AG89" s="7">
        <f>IF(A89="","",IF((A89+19)&gt;Model!$B$4,0,MAX(0,Model!$B$6-IF((A89+19)&gt;=Model!$B$11,Model!$B$20,0)-IF(19&lt;Model!$B$15,Model!$B$22,0))/(1-Model!$B$9)/(1+Model!$B$18)^19))</f>
        <v/>
      </c>
      <c r="AH89" s="7">
        <f>IF(A89="","",IF((A89+20)&gt;Model!$B$4,0,MAX(0,Model!$B$6-IF((A89+20)&gt;=Model!$B$11,Model!$B$20,0)-IF(20&lt;Model!$B$15,Model!$B$22,0))/(1-Model!$B$9)/(1+Model!$B$18)^20))</f>
        <v/>
      </c>
      <c r="AI89" s="7">
        <f>IF(A89="","",IF((A89+21)&gt;Model!$B$4,0,MAX(0,Model!$B$6-IF((A89+21)&gt;=Model!$B$11,Model!$B$20,0)-IF(21&lt;Model!$B$15,Model!$B$22,0))/(1-Model!$B$9)/(1+Model!$B$18)^21))</f>
        <v/>
      </c>
      <c r="AJ89" s="7">
        <f>IF(A89="","",IF((A89+22)&gt;Model!$B$4,0,MAX(0,Model!$B$6-IF((A89+22)&gt;=Model!$B$11,Model!$B$20,0)-IF(22&lt;Model!$B$15,Model!$B$22,0))/(1-Model!$B$9)/(1+Model!$B$18)^22))</f>
        <v/>
      </c>
      <c r="AK89" s="7">
        <f>IF(A89="","",IF((A89+23)&gt;Model!$B$4,0,MAX(0,Model!$B$6-IF((A89+23)&gt;=Model!$B$11,Model!$B$20,0)-IF(23&lt;Model!$B$15,Model!$B$22,0))/(1-Model!$B$9)/(1+Model!$B$18)^23))</f>
        <v/>
      </c>
      <c r="AL89" s="7">
        <f>IF(A89="","",IF((A89+24)&gt;Model!$B$4,0,MAX(0,Model!$B$6-IF((A89+24)&gt;=Model!$B$11,Model!$B$20,0)-IF(24&lt;Model!$B$15,Model!$B$22,0))/(1-Model!$B$9)/(1+Model!$B$18)^24))</f>
        <v/>
      </c>
      <c r="AM89" s="7">
        <f>IF(A89="","",IF((A89+25)&gt;Model!$B$4,0,MAX(0,Model!$B$6-IF((A89+25)&gt;=Model!$B$11,Model!$B$20,0)-IF(25&lt;Model!$B$15,Model!$B$22,0))/(1-Model!$B$9)/(1+Model!$B$18)^25))</f>
        <v/>
      </c>
      <c r="AN89" s="7">
        <f>IF(A89="","",IF((A89+26)&gt;Model!$B$4,0,MAX(0,Model!$B$6-IF((A89+26)&gt;=Model!$B$11,Model!$B$20,0)-IF(26&lt;Model!$B$15,Model!$B$22,0))/(1-Model!$B$9)/(1+Model!$B$18)^26))</f>
        <v/>
      </c>
      <c r="AO89" s="7">
        <f>IF(A89="","",IF((A89+27)&gt;Model!$B$4,0,MAX(0,Model!$B$6-IF((A89+27)&gt;=Model!$B$11,Model!$B$20,0)-IF(27&lt;Model!$B$15,Model!$B$22,0))/(1-Model!$B$9)/(1+Model!$B$18)^27))</f>
        <v/>
      </c>
      <c r="AP89" s="7">
        <f>IF(A89="","",IF((A89+28)&gt;Model!$B$4,0,MAX(0,Model!$B$6-IF((A89+28)&gt;=Model!$B$11,Model!$B$20,0)-IF(28&lt;Model!$B$15,Model!$B$22,0))/(1-Model!$B$9)/(1+Model!$B$18)^28))</f>
        <v/>
      </c>
      <c r="AQ89" s="7">
        <f>IF(A89="","",IF((A89+29)&gt;Model!$B$4,0,MAX(0,Model!$B$6-IF((A89+29)&gt;=Model!$B$11,Model!$B$20,0)-IF(29&lt;Model!$B$15,Model!$B$22,0))/(1-Model!$B$9)/(1+Model!$B$18)^29))</f>
        <v/>
      </c>
      <c r="AR89" s="7">
        <f>IF(A89="","",IF((A89+30)&gt;Model!$B$4,0,MAX(0,Model!$B$6-IF((A89+30)&gt;=Model!$B$11,Model!$B$20,0)-IF(30&lt;Model!$B$15,Model!$B$22,0))/(1-Model!$B$9)/(1+Model!$B$18)^30))</f>
        <v/>
      </c>
      <c r="AS89" s="7">
        <f>IF(A89="","",IF((A89+31)&gt;Model!$B$4,0,MAX(0,Model!$B$6-IF((A89+31)&gt;=Model!$B$11,Model!$B$20,0)-IF(31&lt;Model!$B$15,Model!$B$22,0))/(1-Model!$B$9)/(1+Model!$B$18)^31))</f>
        <v/>
      </c>
      <c r="AT89" s="7">
        <f>IF(A89="","",IF((A89+32)&gt;Model!$B$4,0,MAX(0,Model!$B$6-IF((A89+32)&gt;=Model!$B$11,Model!$B$20,0)-IF(32&lt;Model!$B$15,Model!$B$22,0))/(1-Model!$B$9)/(1+Model!$B$18)^32))</f>
        <v/>
      </c>
      <c r="AU89" s="7">
        <f>IF(A89="","",IF((A89+33)&gt;Model!$B$4,0,MAX(0,Model!$B$6-IF((A89+33)&gt;=Model!$B$11,Model!$B$20,0)-IF(33&lt;Model!$B$15,Model!$B$22,0))/(1-Model!$B$9)/(1+Model!$B$18)^33))</f>
        <v/>
      </c>
      <c r="AV89" s="7">
        <f>IF(A89="","",IF((A89+34)&gt;Model!$B$4,0,MAX(0,Model!$B$6-IF((A89+34)&gt;=Model!$B$11,Model!$B$20,0)-IF(34&lt;Model!$B$15,Model!$B$22,0))/(1-Model!$B$9)/(1+Model!$B$18)^34))</f>
        <v/>
      </c>
      <c r="AW89" s="7">
        <f>IF(A89="","",IF((A89+35)&gt;Model!$B$4,0,MAX(0,Model!$B$6-IF((A89+35)&gt;=Model!$B$11,Model!$B$20,0)-IF(35&lt;Model!$B$15,Model!$B$22,0))/(1-Model!$B$9)/(1+Model!$B$18)^35))</f>
        <v/>
      </c>
      <c r="AX89" s="7">
        <f>IF(A89="","",IF((A89+36)&gt;Model!$B$4,0,MAX(0,Model!$B$6-IF((A89+36)&gt;=Model!$B$11,Model!$B$20,0)-IF(36&lt;Model!$B$15,Model!$B$22,0))/(1-Model!$B$9)/(1+Model!$B$18)^36))</f>
        <v/>
      </c>
      <c r="AY89" s="7">
        <f>IF(A89="","",IF((A89+37)&gt;Model!$B$4,0,MAX(0,Model!$B$6-IF((A89+37)&gt;=Model!$B$11,Model!$B$20,0)-IF(37&lt;Model!$B$15,Model!$B$22,0))/(1-Model!$B$9)/(1+Model!$B$18)^37))</f>
        <v/>
      </c>
      <c r="AZ89" s="7">
        <f>IF(A89="","",IF((A89+38)&gt;Model!$B$4,0,MAX(0,Model!$B$6-IF((A89+38)&gt;=Model!$B$11,Model!$B$20,0)-IF(38&lt;Model!$B$15,Model!$B$22,0))/(1-Model!$B$9)/(1+Model!$B$18)^38))</f>
        <v/>
      </c>
      <c r="BA89" s="7">
        <f>IF(A89="","",IF((A89+39)&gt;Model!$B$4,0,MAX(0,Model!$B$6-IF((A89+39)&gt;=Model!$B$11,Model!$B$20,0)-IF(39&lt;Model!$B$15,Model!$B$22,0))/(1-Model!$B$9)/(1+Model!$B$18)^39))</f>
        <v/>
      </c>
      <c r="BB89" s="7">
        <f>IF(A89="","",IF((A89+40)&gt;Model!$B$4,0,MAX(0,Model!$B$6-IF((A89+40)&gt;=Model!$B$11,Model!$B$20,0)-IF(40&lt;Model!$B$15,Model!$B$22,0))/(1-Model!$B$9)/(1+Model!$B$18)^40))</f>
        <v/>
      </c>
      <c r="BC89" s="7">
        <f>IF(A89="","",IF((A89+41)&gt;Model!$B$4,0,MAX(0,Model!$B$6-IF((A89+41)&gt;=Model!$B$11,Model!$B$20,0)-IF(41&lt;Model!$B$15,Model!$B$22,0))/(1-Model!$B$9)/(1+Model!$B$18)^41))</f>
        <v/>
      </c>
      <c r="BD89" s="7">
        <f>IF(A89="","",IF((A89+42)&gt;Model!$B$4,0,MAX(0,Model!$B$6-IF((A89+42)&gt;=Model!$B$11,Model!$B$20,0)-IF(42&lt;Model!$B$15,Model!$B$22,0))/(1-Model!$B$9)/(1+Model!$B$18)^42))</f>
        <v/>
      </c>
      <c r="BE89" s="7">
        <f>IF(A89="","",IF((A89+43)&gt;Model!$B$4,0,MAX(0,Model!$B$6-IF((A89+43)&gt;=Model!$B$11,Model!$B$20,0)-IF(43&lt;Model!$B$15,Model!$B$22,0))/(1-Model!$B$9)/(1+Model!$B$18)^43))</f>
        <v/>
      </c>
      <c r="BF89" s="7">
        <f>IF(A89="","",IF((A89+44)&gt;Model!$B$4,0,MAX(0,Model!$B$6-IF((A89+44)&gt;=Model!$B$11,Model!$B$20,0)-IF(44&lt;Model!$B$15,Model!$B$22,0))/(1-Model!$B$9)/(1+Model!$B$18)^44))</f>
        <v/>
      </c>
      <c r="BG89" s="7">
        <f>IF(A89="","",IF((A89+45)&gt;Model!$B$4,0,MAX(0,Model!$B$6-IF((A89+45)&gt;=Model!$B$11,Model!$B$20,0)-IF(45&lt;Model!$B$15,Model!$B$22,0))/(1-Model!$B$9)/(1+Model!$B$18)^45))</f>
        <v/>
      </c>
      <c r="BH89" s="7">
        <f>IF(A89="","",IF((A89+46)&gt;Model!$B$4,0,MAX(0,Model!$B$6-IF((A89+46)&gt;=Model!$B$11,Model!$B$20,0)-IF(46&lt;Model!$B$15,Model!$B$22,0))/(1-Model!$B$9)/(1+Model!$B$18)^46))</f>
        <v/>
      </c>
      <c r="BI89" s="7">
        <f>IF(A89="","",IF((A89+47)&gt;Model!$B$4,0,MAX(0,Model!$B$6-IF((A89+47)&gt;=Model!$B$11,Model!$B$20,0)-IF(47&lt;Model!$B$15,Model!$B$22,0))/(1-Model!$B$9)/(1+Model!$B$18)^47))</f>
        <v/>
      </c>
      <c r="BJ89" s="7">
        <f>IF(A89="","",IF((A89+48)&gt;Model!$B$4,0,MAX(0,Model!$B$6-IF((A89+48)&gt;=Model!$B$11,Model!$B$20,0)-IF(48&lt;Model!$B$15,Model!$B$22,0))/(1-Model!$B$9)/(1+Model!$B$18)^48))</f>
        <v/>
      </c>
      <c r="BK89" s="7">
        <f>IF(A89="","",IF((A89+49)&gt;Model!$B$4,0,MAX(0,Model!$B$6-IF((A89+49)&gt;=Model!$B$11,Model!$B$20,0)-IF(49&lt;Model!$B$15,Model!$B$22,0))/(1-Model!$B$9)/(1+Model!$B$18)^49))</f>
        <v/>
      </c>
      <c r="BL89" s="7">
        <f>IF(A89="","",IF((A89+50)&gt;Model!$B$4,0,MAX(0,Model!$B$6-IF((A89+50)&gt;=Model!$B$11,Model!$B$20,0)-IF(50&lt;Model!$B$15,Model!$B$22,0))/(1-Model!$B$9)/(1+Model!$B$18)^50))</f>
        <v/>
      </c>
      <c r="BM89" s="7">
        <f>IF(A89="","",IF((A89+51)&gt;Model!$B$4,0,MAX(0,Model!$B$6-IF((A89+51)&gt;=Model!$B$11,Model!$B$20,0)-IF(51&lt;Model!$B$15,Model!$B$22,0))/(1-Model!$B$9)/(1+Model!$B$18)^51))</f>
        <v/>
      </c>
      <c r="BN89" s="7">
        <f>IF(A89="","",IF((A89+52)&gt;Model!$B$4,0,MAX(0,Model!$B$6-IF((A89+52)&gt;=Model!$B$11,Model!$B$20,0)-IF(52&lt;Model!$B$15,Model!$B$22,0))/(1-Model!$B$9)/(1+Model!$B$18)^52))</f>
        <v/>
      </c>
      <c r="BO89" s="7">
        <f>IF(A89="","",IF((A89+53)&gt;Model!$B$4,0,MAX(0,Model!$B$6-IF((A89+53)&gt;=Model!$B$11,Model!$B$20,0)-IF(53&lt;Model!$B$15,Model!$B$22,0))/(1-Model!$B$9)/(1+Model!$B$18)^53))</f>
        <v/>
      </c>
      <c r="BP89" s="7">
        <f>IF(A89="","",IF((A89+54)&gt;Model!$B$4,0,MAX(0,Model!$B$6-IF((A89+54)&gt;=Model!$B$11,Model!$B$20,0)-IF(54&lt;Model!$B$15,Model!$B$22,0))/(1-Model!$B$9)/(1+Model!$B$18)^54))</f>
        <v/>
      </c>
      <c r="BQ89" s="7">
        <f>IF(A89="","",IF((A89+55)&gt;Model!$B$4,0,MAX(0,Model!$B$6-IF((A89+55)&gt;=Model!$B$11,Model!$B$20,0)-IF(55&lt;Model!$B$15,Model!$B$22,0))/(1-Model!$B$9)/(1+Model!$B$18)^55))</f>
        <v/>
      </c>
      <c r="BR89" s="7">
        <f>IF(A89="","",IF((A89+56)&gt;Model!$B$4,0,MAX(0,Model!$B$6-IF((A89+56)&gt;=Model!$B$11,Model!$B$20,0)-IF(56&lt;Model!$B$15,Model!$B$22,0))/(1-Model!$B$9)/(1+Model!$B$18)^56))</f>
        <v/>
      </c>
      <c r="BS89" s="7">
        <f>IF(A89="","",IF((A89+57)&gt;Model!$B$4,0,MAX(0,Model!$B$6-IF((A89+57)&gt;=Model!$B$11,Model!$B$20,0)-IF(57&lt;Model!$B$15,Model!$B$22,0))/(1-Model!$B$9)/(1+Model!$B$18)^57))</f>
        <v/>
      </c>
      <c r="BT89" s="7">
        <f>IF(A89="","",IF((A89+58)&gt;Model!$B$4,0,MAX(0,Model!$B$6-IF((A89+58)&gt;=Model!$B$11,Model!$B$20,0)-IF(58&lt;Model!$B$15,Model!$B$22,0))/(1-Model!$B$9)/(1+Model!$B$18)^58))</f>
        <v/>
      </c>
      <c r="BU89" s="7">
        <f>IF(A89="","",IF((A89+59)&gt;Model!$B$4,0,MAX(0,Model!$B$6-IF((A89+59)&gt;=Model!$B$11,Model!$B$20,0)-IF(59&lt;Model!$B$15,Model!$B$22,0))/(1-Model!$B$9)/(1+Model!$B$18)^59))</f>
        <v/>
      </c>
      <c r="BV89" s="7">
        <f>IF(A89="","",IF((A89+60)&gt;Model!$B$4,0,MAX(0,Model!$B$6-IF((A89+60)&gt;=Model!$B$11,Model!$B$20,0)-IF(60&lt;Model!$B$15,Model!$B$22,0))/(1-Model!$B$9)/(1+Model!$B$18)^60))</f>
        <v/>
      </c>
      <c r="BW89" s="7">
        <f>IF(A89="","",IF((A89+61)&gt;Model!$B$4,0,MAX(0,Model!$B$6-IF((A89+61)&gt;=Model!$B$11,Model!$B$20,0)-IF(61&lt;Model!$B$15,Model!$B$22,0))/(1-Model!$B$9)/(1+Model!$B$18)^61))</f>
        <v/>
      </c>
      <c r="BX89" s="7">
        <f>IF(A89="","",IF((A89+62)&gt;Model!$B$4,0,MAX(0,Model!$B$6-IF((A89+62)&gt;=Model!$B$11,Model!$B$20,0)-IF(62&lt;Model!$B$15,Model!$B$22,0))/(1-Model!$B$9)/(1+Model!$B$18)^62))</f>
        <v/>
      </c>
      <c r="BY89" s="7">
        <f>IF(A89="","",IF((A89+63)&gt;Model!$B$4,0,MAX(0,Model!$B$6-IF((A89+63)&gt;=Model!$B$11,Model!$B$20,0)-IF(63&lt;Model!$B$15,Model!$B$22,0))/(1-Model!$B$9)/(1+Model!$B$18)^63))</f>
        <v/>
      </c>
      <c r="BZ89" s="7">
        <f>IF(A89="","",IF((A89+64)&gt;Model!$B$4,0,MAX(0,Model!$B$6-IF((A89+64)&gt;=Model!$B$11,Model!$B$20,0)-IF(64&lt;Model!$B$15,Model!$B$22,0))/(1-Model!$B$9)/(1+Model!$B$18)^64))</f>
        <v/>
      </c>
      <c r="CA89" s="7">
        <f>IF(A89="","",IF((A89+65)&gt;Model!$B$4,0,MAX(0,Model!$B$6-IF((A89+65)&gt;=Model!$B$11,Model!$B$20,0)-IF(65&lt;Model!$B$15,Model!$B$22,0))/(1-Model!$B$9)/(1+Model!$B$18)^65))</f>
        <v/>
      </c>
      <c r="CB89" s="7">
        <f>IF(A89="","",IF((A89+66)&gt;Model!$B$4,0,MAX(0,Model!$B$6-IF((A89+66)&gt;=Model!$B$11,Model!$B$20,0)-IF(66&lt;Model!$B$15,Model!$B$22,0))/(1-Model!$B$9)/(1+Model!$B$18)^66))</f>
        <v/>
      </c>
      <c r="CC89" s="7">
        <f>IF(A89="","",IF((A89+67)&gt;Model!$B$4,0,MAX(0,Model!$B$6-IF((A89+67)&gt;=Model!$B$11,Model!$B$20,0)-IF(67&lt;Model!$B$15,Model!$B$22,0))/(1-Model!$B$9)/(1+Model!$B$18)^67))</f>
        <v/>
      </c>
      <c r="CD89" s="7">
        <f>IF(A89="","",IF((A89+68)&gt;Model!$B$4,0,MAX(0,Model!$B$6-IF((A89+68)&gt;=Model!$B$11,Model!$B$20,0)-IF(68&lt;Model!$B$15,Model!$B$22,0))/(1-Model!$B$9)/(1+Model!$B$18)^68))</f>
        <v/>
      </c>
      <c r="CE89" s="7">
        <f>IF(A89="","",IF((A89+69)&gt;Model!$B$4,0,MAX(0,Model!$B$6-IF((A89+69)&gt;=Model!$B$11,Model!$B$20,0)-IF(69&lt;Model!$B$15,Model!$B$22,0))/(1-Model!$B$9)/(1+Model!$B$18)^69))</f>
        <v/>
      </c>
      <c r="CF89" s="7">
        <f>IF(A89="","",IF((A89+70)&gt;Model!$B$4,0,MAX(0,Model!$B$6-IF((A89+70)&gt;=Model!$B$11,Model!$B$20,0)-IF(70&lt;Model!$B$15,Model!$B$22,0))/(1-Model!$B$9)/(1+Model!$B$18)^70))</f>
        <v/>
      </c>
      <c r="CG89" s="7">
        <f>IF(A89="","",IF((A89+71)&gt;Model!$B$4,0,MAX(0,Model!$B$6-IF((A89+71)&gt;=Model!$B$11,Model!$B$20,0)-IF(71&lt;Model!$B$15,Model!$B$22,0))/(1-Model!$B$9)/(1+Model!$B$18)^71))</f>
        <v/>
      </c>
      <c r="CH89" s="7">
        <f>IF(A89="","",IF((A89+72)&gt;Model!$B$4,0,MAX(0,Model!$B$6-IF((A89+72)&gt;=Model!$B$11,Model!$B$20,0)-IF(72&lt;Model!$B$15,Model!$B$22,0))/(1-Model!$B$9)/(1+Model!$B$18)^72))</f>
        <v/>
      </c>
      <c r="CI89" s="7">
        <f>IF(A89="","",IF((A89+73)&gt;Model!$B$4,0,MAX(0,Model!$B$6-IF((A89+73)&gt;=Model!$B$11,Model!$B$20,0)-IF(73&lt;Model!$B$15,Model!$B$22,0))/(1-Model!$B$9)/(1+Model!$B$18)^73))</f>
        <v/>
      </c>
      <c r="CJ89" s="7">
        <f>IF(A89="","",IF((A89+74)&gt;Model!$B$4,0,MAX(0,Model!$B$6-IF((A89+74)&gt;=Model!$B$11,Model!$B$20,0)-IF(74&lt;Model!$B$15,Model!$B$22,0))/(1-Model!$B$9)/(1+Model!$B$18)^74))</f>
        <v/>
      </c>
      <c r="CK89" s="7">
        <f>IF(A89="","",IF((A89+75)&gt;Model!$B$4,0,MAX(0,Model!$B$6-IF((A89+75)&gt;=Model!$B$11,Model!$B$20,0)-IF(75&lt;Model!$B$15,Model!$B$22,0))/(1-Model!$B$9)/(1+Model!$B$18)^75))</f>
        <v/>
      </c>
      <c r="CL89" s="7">
        <f>IF(A89="","",IF((A89+76)&gt;Model!$B$4,0,MAX(0,Model!$B$6-IF((A89+76)&gt;=Model!$B$11,Model!$B$20,0)-IF(76&lt;Model!$B$15,Model!$B$22,0))/(1-Model!$B$9)/(1+Model!$B$18)^76))</f>
        <v/>
      </c>
      <c r="CM89" s="7">
        <f>IF(A89="","",IF((A89+77)&gt;Model!$B$4,0,MAX(0,Model!$B$6-IF((A89+77)&gt;=Model!$B$11,Model!$B$20,0)-IF(77&lt;Model!$B$15,Model!$B$22,0))/(1-Model!$B$9)/(1+Model!$B$18)^77))</f>
        <v/>
      </c>
      <c r="CN89" s="7">
        <f>IF(A89="","",IF((A89+78)&gt;Model!$B$4,0,MAX(0,Model!$B$6-IF((A89+78)&gt;=Model!$B$11,Model!$B$20,0)-IF(78&lt;Model!$B$15,Model!$B$22,0))/(1-Model!$B$9)/(1+Model!$B$18)^78))</f>
        <v/>
      </c>
      <c r="CO89" s="7">
        <f>IF(A89="","",IF((A89+79)&gt;Model!$B$4,0,MAX(0,Model!$B$6-IF((A89+79)&gt;=Model!$B$11,Model!$B$20,0)-IF(79&lt;Model!$B$15,Model!$B$22,0))/(1-Model!$B$9)/(1+Model!$B$18)^79))</f>
        <v/>
      </c>
      <c r="CP89" s="7">
        <f>IF(A89="","",IF((A89+80)&gt;Model!$B$4,0,MAX(0,Model!$B$6-IF((A89+80)&gt;=Model!$B$11,Model!$B$20,0)-IF(80&lt;Model!$B$15,Model!$B$22,0))/(1-Model!$B$9)/(1+Model!$B$18)^80))</f>
        <v/>
      </c>
      <c r="CQ89" s="7">
        <f>IF(A89="","",IF((A89+81)&gt;Model!$B$4,0,MAX(0,Model!$B$6-IF((A89+81)&gt;=Model!$B$11,Model!$B$20,0)-IF(81&lt;Model!$B$15,Model!$B$22,0))/(1-Model!$B$9)/(1+Model!$B$18)^81))</f>
        <v/>
      </c>
      <c r="CR89" s="7">
        <f>IF(A89="","",IF((A89+82)&gt;Model!$B$4,0,MAX(0,Model!$B$6-IF((A89+82)&gt;=Model!$B$11,Model!$B$20,0)-IF(82&lt;Model!$B$15,Model!$B$22,0))/(1-Model!$B$9)/(1+Model!$B$18)^82))</f>
        <v/>
      </c>
      <c r="CS89" s="7">
        <f>IF(A89="","",IF((A89+83)&gt;Model!$B$4,0,MAX(0,Model!$B$6-IF((A89+83)&gt;=Model!$B$11,Model!$B$20,0)-IF(83&lt;Model!$B$15,Model!$B$22,0))/(1-Model!$B$9)/(1+Model!$B$18)^83))</f>
        <v/>
      </c>
      <c r="CT89" s="7">
        <f>IF(A89="","",IF((A89+84)&gt;Model!$B$4,0,MAX(0,Model!$B$6-IF((A89+84)&gt;=Model!$B$11,Model!$B$20,0)-IF(84&lt;Model!$B$15,Model!$B$22,0))/(1-Model!$B$9)/(1+Model!$B$18)^84))</f>
        <v/>
      </c>
      <c r="CU89" s="7">
        <f>IF(A89="","",IF((A89+85)&gt;Model!$B$4,0,MAX(0,Model!$B$6-IF((A89+85)&gt;=Model!$B$11,Model!$B$20,0)-IF(85&lt;Model!$B$15,Model!$B$22,0))/(1-Model!$B$9)/(1+Model!$B$18)^85))</f>
        <v/>
      </c>
      <c r="CV89" s="7">
        <f>IF(A89="","",IF((A89+86)&gt;Model!$B$4,0,MAX(0,Model!$B$6-IF((A89+86)&gt;=Model!$B$11,Model!$B$20,0)-IF(86&lt;Model!$B$15,Model!$B$22,0))/(1-Model!$B$9)/(1+Model!$B$18)^86))</f>
        <v/>
      </c>
      <c r="CW89" s="7">
        <f>IF(A89="","",IF((A89+87)&gt;Model!$B$4,0,MAX(0,Model!$B$6-IF((A89+87)&gt;=Model!$B$11,Model!$B$20,0)-IF(87&lt;Model!$B$15,Model!$B$22,0))/(1-Model!$B$9)/(1+Model!$B$18)^87))</f>
        <v/>
      </c>
      <c r="CX89" s="7">
        <f>IF(A89="","",IF((A89+88)&gt;Model!$B$4,0,MAX(0,Model!$B$6-IF((A89+88)&gt;=Model!$B$11,Model!$B$20,0)-IF(88&lt;Model!$B$15,Model!$B$22,0))/(1-Model!$B$9)/(1+Model!$B$18)^88))</f>
        <v/>
      </c>
      <c r="CY89" s="7">
        <f>IF(A89="","",IF((A89+89)&gt;Model!$B$4,0,MAX(0,Model!$B$6-IF((A89+89)&gt;=Model!$B$11,Model!$B$20,0)-IF(89&lt;Model!$B$15,Model!$B$22,0))/(1-Model!$B$9)/(1+Model!$B$18)^89))</f>
        <v/>
      </c>
      <c r="CZ89" s="7">
        <f>IF(A89="","",IF((A89+90)&gt;Model!$B$4,0,MAX(0,Model!$B$6-IF((A89+90)&gt;=Model!$B$11,Model!$B$20,0)-IF(90&lt;Model!$B$15,Model!$B$22,0))/(1-Model!$B$9)/(1+Model!$B$18)^90))</f>
        <v/>
      </c>
      <c r="DA89" s="7">
        <f>IF(A89="","",IF((A89+91)&gt;Model!$B$4,0,MAX(0,Model!$B$6-IF((A89+91)&gt;=Model!$B$11,Model!$B$20,0)-IF(91&lt;Model!$B$15,Model!$B$22,0))/(1-Model!$B$9)/(1+Model!$B$18)^91))</f>
        <v/>
      </c>
      <c r="DB89" s="7">
        <f>IF(A89="","",IF((A89+92)&gt;Model!$B$4,0,MAX(0,Model!$B$6-IF((A89+92)&gt;=Model!$B$11,Model!$B$20,0)-IF(92&lt;Model!$B$15,Model!$B$22,0))/(1-Model!$B$9)/(1+Model!$B$18)^92))</f>
        <v/>
      </c>
      <c r="DC89" s="7">
        <f>IF(A89="","",IF((A89+93)&gt;Model!$B$4,0,MAX(0,Model!$B$6-IF((A89+93)&gt;=Model!$B$11,Model!$B$20,0)-IF(93&lt;Model!$B$15,Model!$B$22,0))/(1-Model!$B$9)/(1+Model!$B$18)^93))</f>
        <v/>
      </c>
      <c r="DD89" s="7">
        <f>IF(A89="","",IF((A89+94)&gt;Model!$B$4,0,MAX(0,Model!$B$6-IF((A89+94)&gt;=Model!$B$11,Model!$B$20,0)-IF(94&lt;Model!$B$15,Model!$B$22,0))/(1-Model!$B$9)/(1+Model!$B$18)^94))</f>
        <v/>
      </c>
      <c r="DE89" s="7">
        <f>IF(A89="","",IF((A89+95)&gt;Model!$B$4,0,MAX(0,Model!$B$6-IF((A89+95)&gt;=Model!$B$11,Model!$B$20,0)-IF(95&lt;Model!$B$15,Model!$B$22,0))/(1-Model!$B$9)/(1+Model!$B$18)^95))</f>
        <v/>
      </c>
      <c r="DF89" s="7">
        <f>IF(A89="","",IF((A89+96)&gt;Model!$B$4,0,MAX(0,Model!$B$6-IF((A89+96)&gt;=Model!$B$11,Model!$B$20,0)-IF(96&lt;Model!$B$15,Model!$B$22,0))/(1-Model!$B$9)/(1+Model!$B$18)^96))</f>
        <v/>
      </c>
      <c r="DG89" s="7">
        <f>IF(A89="","",IF((A89+97)&gt;Model!$B$4,0,MAX(0,Model!$B$6-IF((A89+97)&gt;=Model!$B$11,Model!$B$20,0)-IF(97&lt;Model!$B$15,Model!$B$22,0))/(1-Model!$B$9)/(1+Model!$B$18)^97))</f>
        <v/>
      </c>
      <c r="DH89" s="7">
        <f>IF(A89="","",IF((A89+98)&gt;Model!$B$4,0,MAX(0,Model!$B$6-IF((A89+98)&gt;=Model!$B$11,Model!$B$20,0)-IF(98&lt;Model!$B$15,Model!$B$22,0))/(1-Model!$B$9)/(1+Model!$B$18)^98))</f>
        <v/>
      </c>
      <c r="DI89" s="7">
        <f>IF(A89="","",IF((A89+99)&gt;Model!$B$4,0,MAX(0,Model!$B$6-IF((A89+99)&gt;=Model!$B$11,Model!$B$20,0)-IF(99&lt;Model!$B$15,Model!$B$22,0))/(1-Model!$B$9)/(1+Model!$B$18)^99))</f>
        <v/>
      </c>
      <c r="DJ89" s="7">
        <f>IF(A89="","",IF((A89+100)&gt;Model!$B$4,0,MAX(0,Model!$B$6-IF((A89+100)&gt;=Model!$B$11,Model!$B$20,0)-IF(100&lt;Model!$B$15,Model!$B$22,0))/(1-Model!$B$9)/(1+Model!$B$18)^100))</f>
        <v/>
      </c>
      <c r="DK89" s="7">
        <f>IF(A89="","",IF((A89+101)&gt;Model!$B$4,0,MAX(0,Model!$B$6-IF((A89+101)&gt;=Model!$B$11,Model!$B$20,0)-IF(101&lt;Model!$B$15,Model!$B$22,0))/(1-Model!$B$9)/(1+Model!$B$18)^101))</f>
        <v/>
      </c>
      <c r="DL89" s="7">
        <f>IF(A89="","",IF((A89+102)&gt;Model!$B$4,0,MAX(0,Model!$B$6-IF((A89+102)&gt;=Model!$B$11,Model!$B$20,0)-IF(102&lt;Model!$B$15,Model!$B$22,0))/(1-Model!$B$9)/(1+Model!$B$18)^102))</f>
        <v/>
      </c>
      <c r="DM89" s="7">
        <f>IF(A89="","",IF((A89+103)&gt;Model!$B$4,0,MAX(0,Model!$B$6-IF((A89+103)&gt;=Model!$B$11,Model!$B$20,0)-IF(103&lt;Model!$B$15,Model!$B$22,0))/(1-Model!$B$9)/(1+Model!$B$18)^103))</f>
        <v/>
      </c>
      <c r="DN89" s="7">
        <f>IF(A89="","",IF((A89+104)&gt;Model!$B$4,0,MAX(0,Model!$B$6-IF((A89+104)&gt;=Model!$B$11,Model!$B$20,0)-IF(104&lt;Model!$B$15,Model!$B$22,0))/(1-Model!$B$9)/(1+Model!$B$18)^104))</f>
        <v/>
      </c>
      <c r="DO89" s="7">
        <f>IF(A89="","",IF((A89+105)&gt;Model!$B$4,0,MAX(0,Model!$B$6-IF((A89+105)&gt;=Model!$B$11,Model!$B$20,0)-IF(105&lt;Model!$B$15,Model!$B$22,0))/(1-Model!$B$9)/(1+Model!$B$18)^105))</f>
        <v/>
      </c>
      <c r="DP89" s="7">
        <f>IF(A89="","",IF((A89+106)&gt;Model!$B$4,0,MAX(0,Model!$B$6-IF((A89+106)&gt;=Model!$B$11,Model!$B$20,0)-IF(106&lt;Model!$B$15,Model!$B$22,0))/(1-Model!$B$9)/(1+Model!$B$18)^106))</f>
        <v/>
      </c>
      <c r="DQ89" s="7">
        <f>IF(A89="","",IF((A89+107)&gt;Model!$B$4,0,MAX(0,Model!$B$6-IF((A89+107)&gt;=Model!$B$11,Model!$B$20,0)-IF(107&lt;Model!$B$15,Model!$B$22,0))/(1-Model!$B$9)/(1+Model!$B$18)^107))</f>
        <v/>
      </c>
      <c r="DR89" s="7">
        <f>IF(A89="","",IF((A89+108)&gt;Model!$B$4,0,MAX(0,Model!$B$6-IF((A89+108)&gt;=Model!$B$11,Model!$B$20,0)-IF(108&lt;Model!$B$15,Model!$B$22,0))/(1-Model!$B$9)/(1+Model!$B$18)^108))</f>
        <v/>
      </c>
      <c r="DS89" s="7">
        <f>IF(A89="","",IF((A89+109)&gt;Model!$B$4,0,MAX(0,Model!$B$6-IF((A89+109)&gt;=Model!$B$11,Model!$B$20,0)-IF(109&lt;Model!$B$15,Model!$B$22,0))/(1-Model!$B$9)/(1+Model!$B$18)^109))</f>
        <v/>
      </c>
      <c r="DT89" s="7">
        <f>IF(A89="","",IF((A89+110)&gt;Model!$B$4,0,MAX(0,Model!$B$6-IF((A89+110)&gt;=Model!$B$11,Model!$B$20,0)-IF(110&lt;Model!$B$15,Model!$B$22,0))/(1-Model!$B$9)/(1+Model!$B$18)^110))</f>
        <v/>
      </c>
      <c r="DU89" s="7">
        <f>IF(A89="","",IF((A89+111)&gt;Model!$B$4,0,MAX(0,Model!$B$6-IF((A89+111)&gt;=Model!$B$11,Model!$B$20,0)-IF(111&lt;Model!$B$15,Model!$B$22,0))/(1-Model!$B$9)/(1+Model!$B$18)^111))</f>
        <v/>
      </c>
      <c r="DV89" s="7">
        <f>IF(A89="","",IF((A89+112)&gt;Model!$B$4,0,MAX(0,Model!$B$6-IF((A89+112)&gt;=Model!$B$11,Model!$B$20,0)-IF(112&lt;Model!$B$15,Model!$B$22,0))/(1-Model!$B$9)/(1+Model!$B$18)^112))</f>
        <v/>
      </c>
      <c r="DW89" s="7">
        <f>IF(A89="","",IF((A89+113)&gt;Model!$B$4,0,MAX(0,Model!$B$6-IF((A89+113)&gt;=Model!$B$11,Model!$B$20,0)-IF(113&lt;Model!$B$15,Model!$B$22,0))/(1-Model!$B$9)/(1+Model!$B$18)^113))</f>
        <v/>
      </c>
      <c r="DX89" s="7">
        <f>IF(A89="","",IF((A89+114)&gt;Model!$B$4,0,MAX(0,Model!$B$6-IF((A89+114)&gt;=Model!$B$11,Model!$B$20,0)-IF(114&lt;Model!$B$15,Model!$B$22,0))/(1-Model!$B$9)/(1+Model!$B$18)^114))</f>
        <v/>
      </c>
      <c r="DY89" s="7">
        <f>IF(A89="","",IF((A89+115)&gt;Model!$B$4,0,MAX(0,Model!$B$6-IF((A89+115)&gt;=Model!$B$11,Model!$B$20,0)-IF(115&lt;Model!$B$15,Model!$B$22,0))/(1-Model!$B$9)/(1+Model!$B$18)^115))</f>
        <v/>
      </c>
      <c r="DZ89" s="7">
        <f>IF(A89="","",IF((A89+116)&gt;Model!$B$4,0,MAX(0,Model!$B$6-IF((A89+116)&gt;=Model!$B$11,Model!$B$20,0)-IF(116&lt;Model!$B$15,Model!$B$22,0))/(1-Model!$B$9)/(1+Model!$B$18)^116))</f>
        <v/>
      </c>
      <c r="EA89" s="7">
        <f>IF(A89="","",IF((A89+117)&gt;Model!$B$4,0,MAX(0,Model!$B$6-IF((A89+117)&gt;=Model!$B$11,Model!$B$20,0)-IF(117&lt;Model!$B$15,Model!$B$22,0))/(1-Model!$B$9)/(1+Model!$B$18)^117))</f>
        <v/>
      </c>
      <c r="EB89" s="7">
        <f>IF(A89="","",IF((A89+118)&gt;Model!$B$4,0,MAX(0,Model!$B$6-IF((A89+118)&gt;=Model!$B$11,Model!$B$20,0)-IF(118&lt;Model!$B$15,Model!$B$22,0))/(1-Model!$B$9)/(1+Model!$B$18)^118))</f>
        <v/>
      </c>
      <c r="EC89" s="7">
        <f>IF(A89="","",IF((A89+119)&gt;Model!$B$4,0,MAX(0,Model!$B$6-IF((A89+119)&gt;=Model!$B$11,Model!$B$20,0)-IF(119&lt;Model!$B$15,Model!$B$22,0))/(1-Model!$B$9)/(1+Model!$B$18)^119))</f>
        <v/>
      </c>
      <c r="ED89" s="7">
        <f>IF(A89="","",IF((A89+120)&gt;Model!$B$4,0,MAX(0,Model!$B$6-IF((A89+120)&gt;=Model!$B$11,Model!$B$20,0)-IF(120&lt;Model!$B$15,Model!$B$22,0))/(1-Model!$B$9)/(1+Model!$B$18)^120))</f>
        <v/>
      </c>
    </row>
    <row r="90">
      <c r="A90">
        <f>IF(Model!$B$10+ROW()-2&lt;=Model!$B$4,Model!$B$10+ROW()-2,"")</f>
        <v/>
      </c>
      <c r="B90">
        <f>IF(A90="","",A90-Model!$B$10)</f>
        <v/>
      </c>
      <c r="C90" s="7">
        <f>IF(A90="","",Model!$B$5*(1+Model!$B$18)^B90)</f>
        <v/>
      </c>
      <c r="D90" s="7">
        <f>IF(A90="","",SUM(N90:ED90))</f>
        <v/>
      </c>
      <c r="E90" s="7">
        <f>IF(A90="","",IF(A90&gt;=Model!$B$11,Model!$B$20,0))</f>
        <v/>
      </c>
      <c r="F90" s="7">
        <f>IF(A90="","",IF(Model!$B$15&gt;0,Model!$B$22,0))</f>
        <v/>
      </c>
      <c r="G90" s="7">
        <f>IF(A90="","",E90+F90)</f>
        <v/>
      </c>
      <c r="H90" s="7">
        <f>IF(A90="","",MAX(0,Model!$B$6-G90))</f>
        <v/>
      </c>
      <c r="I90" s="7">
        <f>IF(A90="","",H90/(1-Model!$B$9))</f>
        <v/>
      </c>
      <c r="J90" s="7">
        <f>IF(A90="","",C90-D90)</f>
        <v/>
      </c>
      <c r="K90">
        <f>IF(A90="","",C90&gt;=D90)</f>
        <v/>
      </c>
      <c r="L90" s="7">
        <f>IF(A90="","",IF(A90&gt;=Model!$B$11,Model!$B$19*(1+Model!$B$13)^B90,0))</f>
        <v/>
      </c>
      <c r="M90" s="7">
        <f>IF(A90="","",IF(Model!$B$15&gt;0,Model!$B$21*(1+Model!$B$13)^B90,0))</f>
        <v/>
      </c>
      <c r="N90" s="7">
        <f>IF(A90="","",IF((A90+0)&gt;Model!$B$4,0,MAX(0,Model!$B$6-IF((A90+0)&gt;=Model!$B$11,Model!$B$20,0)-IF(0&lt;Model!$B$15,Model!$B$22,0))/(1-Model!$B$9)/(1+Model!$B$18)^0))</f>
        <v/>
      </c>
      <c r="O90" s="7">
        <f>IF(A90="","",IF((A90+1)&gt;Model!$B$4,0,MAX(0,Model!$B$6-IF((A90+1)&gt;=Model!$B$11,Model!$B$20,0)-IF(1&lt;Model!$B$15,Model!$B$22,0))/(1-Model!$B$9)/(1+Model!$B$18)^1))</f>
        <v/>
      </c>
      <c r="P90" s="7">
        <f>IF(A90="","",IF((A90+2)&gt;Model!$B$4,0,MAX(0,Model!$B$6-IF((A90+2)&gt;=Model!$B$11,Model!$B$20,0)-IF(2&lt;Model!$B$15,Model!$B$22,0))/(1-Model!$B$9)/(1+Model!$B$18)^2))</f>
        <v/>
      </c>
      <c r="Q90" s="7">
        <f>IF(A90="","",IF((A90+3)&gt;Model!$B$4,0,MAX(0,Model!$B$6-IF((A90+3)&gt;=Model!$B$11,Model!$B$20,0)-IF(3&lt;Model!$B$15,Model!$B$22,0))/(1-Model!$B$9)/(1+Model!$B$18)^3))</f>
        <v/>
      </c>
      <c r="R90" s="7">
        <f>IF(A90="","",IF((A90+4)&gt;Model!$B$4,0,MAX(0,Model!$B$6-IF((A90+4)&gt;=Model!$B$11,Model!$B$20,0)-IF(4&lt;Model!$B$15,Model!$B$22,0))/(1-Model!$B$9)/(1+Model!$B$18)^4))</f>
        <v/>
      </c>
      <c r="S90" s="7">
        <f>IF(A90="","",IF((A90+5)&gt;Model!$B$4,0,MAX(0,Model!$B$6-IF((A90+5)&gt;=Model!$B$11,Model!$B$20,0)-IF(5&lt;Model!$B$15,Model!$B$22,0))/(1-Model!$B$9)/(1+Model!$B$18)^5))</f>
        <v/>
      </c>
      <c r="T90" s="7">
        <f>IF(A90="","",IF((A90+6)&gt;Model!$B$4,0,MAX(0,Model!$B$6-IF((A90+6)&gt;=Model!$B$11,Model!$B$20,0)-IF(6&lt;Model!$B$15,Model!$B$22,0))/(1-Model!$B$9)/(1+Model!$B$18)^6))</f>
        <v/>
      </c>
      <c r="U90" s="7">
        <f>IF(A90="","",IF((A90+7)&gt;Model!$B$4,0,MAX(0,Model!$B$6-IF((A90+7)&gt;=Model!$B$11,Model!$B$20,0)-IF(7&lt;Model!$B$15,Model!$B$22,0))/(1-Model!$B$9)/(1+Model!$B$18)^7))</f>
        <v/>
      </c>
      <c r="V90" s="7">
        <f>IF(A90="","",IF((A90+8)&gt;Model!$B$4,0,MAX(0,Model!$B$6-IF((A90+8)&gt;=Model!$B$11,Model!$B$20,0)-IF(8&lt;Model!$B$15,Model!$B$22,0))/(1-Model!$B$9)/(1+Model!$B$18)^8))</f>
        <v/>
      </c>
      <c r="W90" s="7">
        <f>IF(A90="","",IF((A90+9)&gt;Model!$B$4,0,MAX(0,Model!$B$6-IF((A90+9)&gt;=Model!$B$11,Model!$B$20,0)-IF(9&lt;Model!$B$15,Model!$B$22,0))/(1-Model!$B$9)/(1+Model!$B$18)^9))</f>
        <v/>
      </c>
      <c r="X90" s="7">
        <f>IF(A90="","",IF((A90+10)&gt;Model!$B$4,0,MAX(0,Model!$B$6-IF((A90+10)&gt;=Model!$B$11,Model!$B$20,0)-IF(10&lt;Model!$B$15,Model!$B$22,0))/(1-Model!$B$9)/(1+Model!$B$18)^10))</f>
        <v/>
      </c>
      <c r="Y90" s="7">
        <f>IF(A90="","",IF((A90+11)&gt;Model!$B$4,0,MAX(0,Model!$B$6-IF((A90+11)&gt;=Model!$B$11,Model!$B$20,0)-IF(11&lt;Model!$B$15,Model!$B$22,0))/(1-Model!$B$9)/(1+Model!$B$18)^11))</f>
        <v/>
      </c>
      <c r="Z90" s="7">
        <f>IF(A90="","",IF((A90+12)&gt;Model!$B$4,0,MAX(0,Model!$B$6-IF((A90+12)&gt;=Model!$B$11,Model!$B$20,0)-IF(12&lt;Model!$B$15,Model!$B$22,0))/(1-Model!$B$9)/(1+Model!$B$18)^12))</f>
        <v/>
      </c>
      <c r="AA90" s="7">
        <f>IF(A90="","",IF((A90+13)&gt;Model!$B$4,0,MAX(0,Model!$B$6-IF((A90+13)&gt;=Model!$B$11,Model!$B$20,0)-IF(13&lt;Model!$B$15,Model!$B$22,0))/(1-Model!$B$9)/(1+Model!$B$18)^13))</f>
        <v/>
      </c>
      <c r="AB90" s="7">
        <f>IF(A90="","",IF((A90+14)&gt;Model!$B$4,0,MAX(0,Model!$B$6-IF((A90+14)&gt;=Model!$B$11,Model!$B$20,0)-IF(14&lt;Model!$B$15,Model!$B$22,0))/(1-Model!$B$9)/(1+Model!$B$18)^14))</f>
        <v/>
      </c>
      <c r="AC90" s="7">
        <f>IF(A90="","",IF((A90+15)&gt;Model!$B$4,0,MAX(0,Model!$B$6-IF((A90+15)&gt;=Model!$B$11,Model!$B$20,0)-IF(15&lt;Model!$B$15,Model!$B$22,0))/(1-Model!$B$9)/(1+Model!$B$18)^15))</f>
        <v/>
      </c>
      <c r="AD90" s="7">
        <f>IF(A90="","",IF((A90+16)&gt;Model!$B$4,0,MAX(0,Model!$B$6-IF((A90+16)&gt;=Model!$B$11,Model!$B$20,0)-IF(16&lt;Model!$B$15,Model!$B$22,0))/(1-Model!$B$9)/(1+Model!$B$18)^16))</f>
        <v/>
      </c>
      <c r="AE90" s="7">
        <f>IF(A90="","",IF((A90+17)&gt;Model!$B$4,0,MAX(0,Model!$B$6-IF((A90+17)&gt;=Model!$B$11,Model!$B$20,0)-IF(17&lt;Model!$B$15,Model!$B$22,0))/(1-Model!$B$9)/(1+Model!$B$18)^17))</f>
        <v/>
      </c>
      <c r="AF90" s="7">
        <f>IF(A90="","",IF((A90+18)&gt;Model!$B$4,0,MAX(0,Model!$B$6-IF((A90+18)&gt;=Model!$B$11,Model!$B$20,0)-IF(18&lt;Model!$B$15,Model!$B$22,0))/(1-Model!$B$9)/(1+Model!$B$18)^18))</f>
        <v/>
      </c>
      <c r="AG90" s="7">
        <f>IF(A90="","",IF((A90+19)&gt;Model!$B$4,0,MAX(0,Model!$B$6-IF((A90+19)&gt;=Model!$B$11,Model!$B$20,0)-IF(19&lt;Model!$B$15,Model!$B$22,0))/(1-Model!$B$9)/(1+Model!$B$18)^19))</f>
        <v/>
      </c>
      <c r="AH90" s="7">
        <f>IF(A90="","",IF((A90+20)&gt;Model!$B$4,0,MAX(0,Model!$B$6-IF((A90+20)&gt;=Model!$B$11,Model!$B$20,0)-IF(20&lt;Model!$B$15,Model!$B$22,0))/(1-Model!$B$9)/(1+Model!$B$18)^20))</f>
        <v/>
      </c>
      <c r="AI90" s="7">
        <f>IF(A90="","",IF((A90+21)&gt;Model!$B$4,0,MAX(0,Model!$B$6-IF((A90+21)&gt;=Model!$B$11,Model!$B$20,0)-IF(21&lt;Model!$B$15,Model!$B$22,0))/(1-Model!$B$9)/(1+Model!$B$18)^21))</f>
        <v/>
      </c>
      <c r="AJ90" s="7">
        <f>IF(A90="","",IF((A90+22)&gt;Model!$B$4,0,MAX(0,Model!$B$6-IF((A90+22)&gt;=Model!$B$11,Model!$B$20,0)-IF(22&lt;Model!$B$15,Model!$B$22,0))/(1-Model!$B$9)/(1+Model!$B$18)^22))</f>
        <v/>
      </c>
      <c r="AK90" s="7">
        <f>IF(A90="","",IF((A90+23)&gt;Model!$B$4,0,MAX(0,Model!$B$6-IF((A90+23)&gt;=Model!$B$11,Model!$B$20,0)-IF(23&lt;Model!$B$15,Model!$B$22,0))/(1-Model!$B$9)/(1+Model!$B$18)^23))</f>
        <v/>
      </c>
      <c r="AL90" s="7">
        <f>IF(A90="","",IF((A90+24)&gt;Model!$B$4,0,MAX(0,Model!$B$6-IF((A90+24)&gt;=Model!$B$11,Model!$B$20,0)-IF(24&lt;Model!$B$15,Model!$B$22,0))/(1-Model!$B$9)/(1+Model!$B$18)^24))</f>
        <v/>
      </c>
      <c r="AM90" s="7">
        <f>IF(A90="","",IF((A90+25)&gt;Model!$B$4,0,MAX(0,Model!$B$6-IF((A90+25)&gt;=Model!$B$11,Model!$B$20,0)-IF(25&lt;Model!$B$15,Model!$B$22,0))/(1-Model!$B$9)/(1+Model!$B$18)^25))</f>
        <v/>
      </c>
      <c r="AN90" s="7">
        <f>IF(A90="","",IF((A90+26)&gt;Model!$B$4,0,MAX(0,Model!$B$6-IF((A90+26)&gt;=Model!$B$11,Model!$B$20,0)-IF(26&lt;Model!$B$15,Model!$B$22,0))/(1-Model!$B$9)/(1+Model!$B$18)^26))</f>
        <v/>
      </c>
      <c r="AO90" s="7">
        <f>IF(A90="","",IF((A90+27)&gt;Model!$B$4,0,MAX(0,Model!$B$6-IF((A90+27)&gt;=Model!$B$11,Model!$B$20,0)-IF(27&lt;Model!$B$15,Model!$B$22,0))/(1-Model!$B$9)/(1+Model!$B$18)^27))</f>
        <v/>
      </c>
      <c r="AP90" s="7">
        <f>IF(A90="","",IF((A90+28)&gt;Model!$B$4,0,MAX(0,Model!$B$6-IF((A90+28)&gt;=Model!$B$11,Model!$B$20,0)-IF(28&lt;Model!$B$15,Model!$B$22,0))/(1-Model!$B$9)/(1+Model!$B$18)^28))</f>
        <v/>
      </c>
      <c r="AQ90" s="7">
        <f>IF(A90="","",IF((A90+29)&gt;Model!$B$4,0,MAX(0,Model!$B$6-IF((A90+29)&gt;=Model!$B$11,Model!$B$20,0)-IF(29&lt;Model!$B$15,Model!$B$22,0))/(1-Model!$B$9)/(1+Model!$B$18)^29))</f>
        <v/>
      </c>
      <c r="AR90" s="7">
        <f>IF(A90="","",IF((A90+30)&gt;Model!$B$4,0,MAX(0,Model!$B$6-IF((A90+30)&gt;=Model!$B$11,Model!$B$20,0)-IF(30&lt;Model!$B$15,Model!$B$22,0))/(1-Model!$B$9)/(1+Model!$B$18)^30))</f>
        <v/>
      </c>
      <c r="AS90" s="7">
        <f>IF(A90="","",IF((A90+31)&gt;Model!$B$4,0,MAX(0,Model!$B$6-IF((A90+31)&gt;=Model!$B$11,Model!$B$20,0)-IF(31&lt;Model!$B$15,Model!$B$22,0))/(1-Model!$B$9)/(1+Model!$B$18)^31))</f>
        <v/>
      </c>
      <c r="AT90" s="7">
        <f>IF(A90="","",IF((A90+32)&gt;Model!$B$4,0,MAX(0,Model!$B$6-IF((A90+32)&gt;=Model!$B$11,Model!$B$20,0)-IF(32&lt;Model!$B$15,Model!$B$22,0))/(1-Model!$B$9)/(1+Model!$B$18)^32))</f>
        <v/>
      </c>
      <c r="AU90" s="7">
        <f>IF(A90="","",IF((A90+33)&gt;Model!$B$4,0,MAX(0,Model!$B$6-IF((A90+33)&gt;=Model!$B$11,Model!$B$20,0)-IF(33&lt;Model!$B$15,Model!$B$22,0))/(1-Model!$B$9)/(1+Model!$B$18)^33))</f>
        <v/>
      </c>
      <c r="AV90" s="7">
        <f>IF(A90="","",IF((A90+34)&gt;Model!$B$4,0,MAX(0,Model!$B$6-IF((A90+34)&gt;=Model!$B$11,Model!$B$20,0)-IF(34&lt;Model!$B$15,Model!$B$22,0))/(1-Model!$B$9)/(1+Model!$B$18)^34))</f>
        <v/>
      </c>
      <c r="AW90" s="7">
        <f>IF(A90="","",IF((A90+35)&gt;Model!$B$4,0,MAX(0,Model!$B$6-IF((A90+35)&gt;=Model!$B$11,Model!$B$20,0)-IF(35&lt;Model!$B$15,Model!$B$22,0))/(1-Model!$B$9)/(1+Model!$B$18)^35))</f>
        <v/>
      </c>
      <c r="AX90" s="7">
        <f>IF(A90="","",IF((A90+36)&gt;Model!$B$4,0,MAX(0,Model!$B$6-IF((A90+36)&gt;=Model!$B$11,Model!$B$20,0)-IF(36&lt;Model!$B$15,Model!$B$22,0))/(1-Model!$B$9)/(1+Model!$B$18)^36))</f>
        <v/>
      </c>
      <c r="AY90" s="7">
        <f>IF(A90="","",IF((A90+37)&gt;Model!$B$4,0,MAX(0,Model!$B$6-IF((A90+37)&gt;=Model!$B$11,Model!$B$20,0)-IF(37&lt;Model!$B$15,Model!$B$22,0))/(1-Model!$B$9)/(1+Model!$B$18)^37))</f>
        <v/>
      </c>
      <c r="AZ90" s="7">
        <f>IF(A90="","",IF((A90+38)&gt;Model!$B$4,0,MAX(0,Model!$B$6-IF((A90+38)&gt;=Model!$B$11,Model!$B$20,0)-IF(38&lt;Model!$B$15,Model!$B$22,0))/(1-Model!$B$9)/(1+Model!$B$18)^38))</f>
        <v/>
      </c>
      <c r="BA90" s="7">
        <f>IF(A90="","",IF((A90+39)&gt;Model!$B$4,0,MAX(0,Model!$B$6-IF((A90+39)&gt;=Model!$B$11,Model!$B$20,0)-IF(39&lt;Model!$B$15,Model!$B$22,0))/(1-Model!$B$9)/(1+Model!$B$18)^39))</f>
        <v/>
      </c>
      <c r="BB90" s="7">
        <f>IF(A90="","",IF((A90+40)&gt;Model!$B$4,0,MAX(0,Model!$B$6-IF((A90+40)&gt;=Model!$B$11,Model!$B$20,0)-IF(40&lt;Model!$B$15,Model!$B$22,0))/(1-Model!$B$9)/(1+Model!$B$18)^40))</f>
        <v/>
      </c>
      <c r="BC90" s="7">
        <f>IF(A90="","",IF((A90+41)&gt;Model!$B$4,0,MAX(0,Model!$B$6-IF((A90+41)&gt;=Model!$B$11,Model!$B$20,0)-IF(41&lt;Model!$B$15,Model!$B$22,0))/(1-Model!$B$9)/(1+Model!$B$18)^41))</f>
        <v/>
      </c>
      <c r="BD90" s="7">
        <f>IF(A90="","",IF((A90+42)&gt;Model!$B$4,0,MAX(0,Model!$B$6-IF((A90+42)&gt;=Model!$B$11,Model!$B$20,0)-IF(42&lt;Model!$B$15,Model!$B$22,0))/(1-Model!$B$9)/(1+Model!$B$18)^42))</f>
        <v/>
      </c>
      <c r="BE90" s="7">
        <f>IF(A90="","",IF((A90+43)&gt;Model!$B$4,0,MAX(0,Model!$B$6-IF((A90+43)&gt;=Model!$B$11,Model!$B$20,0)-IF(43&lt;Model!$B$15,Model!$B$22,0))/(1-Model!$B$9)/(1+Model!$B$18)^43))</f>
        <v/>
      </c>
      <c r="BF90" s="7">
        <f>IF(A90="","",IF((A90+44)&gt;Model!$B$4,0,MAX(0,Model!$B$6-IF((A90+44)&gt;=Model!$B$11,Model!$B$20,0)-IF(44&lt;Model!$B$15,Model!$B$22,0))/(1-Model!$B$9)/(1+Model!$B$18)^44))</f>
        <v/>
      </c>
      <c r="BG90" s="7">
        <f>IF(A90="","",IF((A90+45)&gt;Model!$B$4,0,MAX(0,Model!$B$6-IF((A90+45)&gt;=Model!$B$11,Model!$B$20,0)-IF(45&lt;Model!$B$15,Model!$B$22,0))/(1-Model!$B$9)/(1+Model!$B$18)^45))</f>
        <v/>
      </c>
      <c r="BH90" s="7">
        <f>IF(A90="","",IF((A90+46)&gt;Model!$B$4,0,MAX(0,Model!$B$6-IF((A90+46)&gt;=Model!$B$11,Model!$B$20,0)-IF(46&lt;Model!$B$15,Model!$B$22,0))/(1-Model!$B$9)/(1+Model!$B$18)^46))</f>
        <v/>
      </c>
      <c r="BI90" s="7">
        <f>IF(A90="","",IF((A90+47)&gt;Model!$B$4,0,MAX(0,Model!$B$6-IF((A90+47)&gt;=Model!$B$11,Model!$B$20,0)-IF(47&lt;Model!$B$15,Model!$B$22,0))/(1-Model!$B$9)/(1+Model!$B$18)^47))</f>
        <v/>
      </c>
      <c r="BJ90" s="7">
        <f>IF(A90="","",IF((A90+48)&gt;Model!$B$4,0,MAX(0,Model!$B$6-IF((A90+48)&gt;=Model!$B$11,Model!$B$20,0)-IF(48&lt;Model!$B$15,Model!$B$22,0))/(1-Model!$B$9)/(1+Model!$B$18)^48))</f>
        <v/>
      </c>
      <c r="BK90" s="7">
        <f>IF(A90="","",IF((A90+49)&gt;Model!$B$4,0,MAX(0,Model!$B$6-IF((A90+49)&gt;=Model!$B$11,Model!$B$20,0)-IF(49&lt;Model!$B$15,Model!$B$22,0))/(1-Model!$B$9)/(1+Model!$B$18)^49))</f>
        <v/>
      </c>
      <c r="BL90" s="7">
        <f>IF(A90="","",IF((A90+50)&gt;Model!$B$4,0,MAX(0,Model!$B$6-IF((A90+50)&gt;=Model!$B$11,Model!$B$20,0)-IF(50&lt;Model!$B$15,Model!$B$22,0))/(1-Model!$B$9)/(1+Model!$B$18)^50))</f>
        <v/>
      </c>
      <c r="BM90" s="7">
        <f>IF(A90="","",IF((A90+51)&gt;Model!$B$4,0,MAX(0,Model!$B$6-IF((A90+51)&gt;=Model!$B$11,Model!$B$20,0)-IF(51&lt;Model!$B$15,Model!$B$22,0))/(1-Model!$B$9)/(1+Model!$B$18)^51))</f>
        <v/>
      </c>
      <c r="BN90" s="7">
        <f>IF(A90="","",IF((A90+52)&gt;Model!$B$4,0,MAX(0,Model!$B$6-IF((A90+52)&gt;=Model!$B$11,Model!$B$20,0)-IF(52&lt;Model!$B$15,Model!$B$22,0))/(1-Model!$B$9)/(1+Model!$B$18)^52))</f>
        <v/>
      </c>
      <c r="BO90" s="7">
        <f>IF(A90="","",IF((A90+53)&gt;Model!$B$4,0,MAX(0,Model!$B$6-IF((A90+53)&gt;=Model!$B$11,Model!$B$20,0)-IF(53&lt;Model!$B$15,Model!$B$22,0))/(1-Model!$B$9)/(1+Model!$B$18)^53))</f>
        <v/>
      </c>
      <c r="BP90" s="7">
        <f>IF(A90="","",IF((A90+54)&gt;Model!$B$4,0,MAX(0,Model!$B$6-IF((A90+54)&gt;=Model!$B$11,Model!$B$20,0)-IF(54&lt;Model!$B$15,Model!$B$22,0))/(1-Model!$B$9)/(1+Model!$B$18)^54))</f>
        <v/>
      </c>
      <c r="BQ90" s="7">
        <f>IF(A90="","",IF((A90+55)&gt;Model!$B$4,0,MAX(0,Model!$B$6-IF((A90+55)&gt;=Model!$B$11,Model!$B$20,0)-IF(55&lt;Model!$B$15,Model!$B$22,0))/(1-Model!$B$9)/(1+Model!$B$18)^55))</f>
        <v/>
      </c>
      <c r="BR90" s="7">
        <f>IF(A90="","",IF((A90+56)&gt;Model!$B$4,0,MAX(0,Model!$B$6-IF((A90+56)&gt;=Model!$B$11,Model!$B$20,0)-IF(56&lt;Model!$B$15,Model!$B$22,0))/(1-Model!$B$9)/(1+Model!$B$18)^56))</f>
        <v/>
      </c>
      <c r="BS90" s="7">
        <f>IF(A90="","",IF((A90+57)&gt;Model!$B$4,0,MAX(0,Model!$B$6-IF((A90+57)&gt;=Model!$B$11,Model!$B$20,0)-IF(57&lt;Model!$B$15,Model!$B$22,0))/(1-Model!$B$9)/(1+Model!$B$18)^57))</f>
        <v/>
      </c>
      <c r="BT90" s="7">
        <f>IF(A90="","",IF((A90+58)&gt;Model!$B$4,0,MAX(0,Model!$B$6-IF((A90+58)&gt;=Model!$B$11,Model!$B$20,0)-IF(58&lt;Model!$B$15,Model!$B$22,0))/(1-Model!$B$9)/(1+Model!$B$18)^58))</f>
        <v/>
      </c>
      <c r="BU90" s="7">
        <f>IF(A90="","",IF((A90+59)&gt;Model!$B$4,0,MAX(0,Model!$B$6-IF((A90+59)&gt;=Model!$B$11,Model!$B$20,0)-IF(59&lt;Model!$B$15,Model!$B$22,0))/(1-Model!$B$9)/(1+Model!$B$18)^59))</f>
        <v/>
      </c>
      <c r="BV90" s="7">
        <f>IF(A90="","",IF((A90+60)&gt;Model!$B$4,0,MAX(0,Model!$B$6-IF((A90+60)&gt;=Model!$B$11,Model!$B$20,0)-IF(60&lt;Model!$B$15,Model!$B$22,0))/(1-Model!$B$9)/(1+Model!$B$18)^60))</f>
        <v/>
      </c>
      <c r="BW90" s="7">
        <f>IF(A90="","",IF((A90+61)&gt;Model!$B$4,0,MAX(0,Model!$B$6-IF((A90+61)&gt;=Model!$B$11,Model!$B$20,0)-IF(61&lt;Model!$B$15,Model!$B$22,0))/(1-Model!$B$9)/(1+Model!$B$18)^61))</f>
        <v/>
      </c>
      <c r="BX90" s="7">
        <f>IF(A90="","",IF((A90+62)&gt;Model!$B$4,0,MAX(0,Model!$B$6-IF((A90+62)&gt;=Model!$B$11,Model!$B$20,0)-IF(62&lt;Model!$B$15,Model!$B$22,0))/(1-Model!$B$9)/(1+Model!$B$18)^62))</f>
        <v/>
      </c>
      <c r="BY90" s="7">
        <f>IF(A90="","",IF((A90+63)&gt;Model!$B$4,0,MAX(0,Model!$B$6-IF((A90+63)&gt;=Model!$B$11,Model!$B$20,0)-IF(63&lt;Model!$B$15,Model!$B$22,0))/(1-Model!$B$9)/(1+Model!$B$18)^63))</f>
        <v/>
      </c>
      <c r="BZ90" s="7">
        <f>IF(A90="","",IF((A90+64)&gt;Model!$B$4,0,MAX(0,Model!$B$6-IF((A90+64)&gt;=Model!$B$11,Model!$B$20,0)-IF(64&lt;Model!$B$15,Model!$B$22,0))/(1-Model!$B$9)/(1+Model!$B$18)^64))</f>
        <v/>
      </c>
      <c r="CA90" s="7">
        <f>IF(A90="","",IF((A90+65)&gt;Model!$B$4,0,MAX(0,Model!$B$6-IF((A90+65)&gt;=Model!$B$11,Model!$B$20,0)-IF(65&lt;Model!$B$15,Model!$B$22,0))/(1-Model!$B$9)/(1+Model!$B$18)^65))</f>
        <v/>
      </c>
      <c r="CB90" s="7">
        <f>IF(A90="","",IF((A90+66)&gt;Model!$B$4,0,MAX(0,Model!$B$6-IF((A90+66)&gt;=Model!$B$11,Model!$B$20,0)-IF(66&lt;Model!$B$15,Model!$B$22,0))/(1-Model!$B$9)/(1+Model!$B$18)^66))</f>
        <v/>
      </c>
      <c r="CC90" s="7">
        <f>IF(A90="","",IF((A90+67)&gt;Model!$B$4,0,MAX(0,Model!$B$6-IF((A90+67)&gt;=Model!$B$11,Model!$B$20,0)-IF(67&lt;Model!$B$15,Model!$B$22,0))/(1-Model!$B$9)/(1+Model!$B$18)^67))</f>
        <v/>
      </c>
      <c r="CD90" s="7">
        <f>IF(A90="","",IF((A90+68)&gt;Model!$B$4,0,MAX(0,Model!$B$6-IF((A90+68)&gt;=Model!$B$11,Model!$B$20,0)-IF(68&lt;Model!$B$15,Model!$B$22,0))/(1-Model!$B$9)/(1+Model!$B$18)^68))</f>
        <v/>
      </c>
      <c r="CE90" s="7">
        <f>IF(A90="","",IF((A90+69)&gt;Model!$B$4,0,MAX(0,Model!$B$6-IF((A90+69)&gt;=Model!$B$11,Model!$B$20,0)-IF(69&lt;Model!$B$15,Model!$B$22,0))/(1-Model!$B$9)/(1+Model!$B$18)^69))</f>
        <v/>
      </c>
      <c r="CF90" s="7">
        <f>IF(A90="","",IF((A90+70)&gt;Model!$B$4,0,MAX(0,Model!$B$6-IF((A90+70)&gt;=Model!$B$11,Model!$B$20,0)-IF(70&lt;Model!$B$15,Model!$B$22,0))/(1-Model!$B$9)/(1+Model!$B$18)^70))</f>
        <v/>
      </c>
      <c r="CG90" s="7">
        <f>IF(A90="","",IF((A90+71)&gt;Model!$B$4,0,MAX(0,Model!$B$6-IF((A90+71)&gt;=Model!$B$11,Model!$B$20,0)-IF(71&lt;Model!$B$15,Model!$B$22,0))/(1-Model!$B$9)/(1+Model!$B$18)^71))</f>
        <v/>
      </c>
      <c r="CH90" s="7">
        <f>IF(A90="","",IF((A90+72)&gt;Model!$B$4,0,MAX(0,Model!$B$6-IF((A90+72)&gt;=Model!$B$11,Model!$B$20,0)-IF(72&lt;Model!$B$15,Model!$B$22,0))/(1-Model!$B$9)/(1+Model!$B$18)^72))</f>
        <v/>
      </c>
      <c r="CI90" s="7">
        <f>IF(A90="","",IF((A90+73)&gt;Model!$B$4,0,MAX(0,Model!$B$6-IF((A90+73)&gt;=Model!$B$11,Model!$B$20,0)-IF(73&lt;Model!$B$15,Model!$B$22,0))/(1-Model!$B$9)/(1+Model!$B$18)^73))</f>
        <v/>
      </c>
      <c r="CJ90" s="7">
        <f>IF(A90="","",IF((A90+74)&gt;Model!$B$4,0,MAX(0,Model!$B$6-IF((A90+74)&gt;=Model!$B$11,Model!$B$20,0)-IF(74&lt;Model!$B$15,Model!$B$22,0))/(1-Model!$B$9)/(1+Model!$B$18)^74))</f>
        <v/>
      </c>
      <c r="CK90" s="7">
        <f>IF(A90="","",IF((A90+75)&gt;Model!$B$4,0,MAX(0,Model!$B$6-IF((A90+75)&gt;=Model!$B$11,Model!$B$20,0)-IF(75&lt;Model!$B$15,Model!$B$22,0))/(1-Model!$B$9)/(1+Model!$B$18)^75))</f>
        <v/>
      </c>
      <c r="CL90" s="7">
        <f>IF(A90="","",IF((A90+76)&gt;Model!$B$4,0,MAX(0,Model!$B$6-IF((A90+76)&gt;=Model!$B$11,Model!$B$20,0)-IF(76&lt;Model!$B$15,Model!$B$22,0))/(1-Model!$B$9)/(1+Model!$B$18)^76))</f>
        <v/>
      </c>
      <c r="CM90" s="7">
        <f>IF(A90="","",IF((A90+77)&gt;Model!$B$4,0,MAX(0,Model!$B$6-IF((A90+77)&gt;=Model!$B$11,Model!$B$20,0)-IF(77&lt;Model!$B$15,Model!$B$22,0))/(1-Model!$B$9)/(1+Model!$B$18)^77))</f>
        <v/>
      </c>
      <c r="CN90" s="7">
        <f>IF(A90="","",IF((A90+78)&gt;Model!$B$4,0,MAX(0,Model!$B$6-IF((A90+78)&gt;=Model!$B$11,Model!$B$20,0)-IF(78&lt;Model!$B$15,Model!$B$22,0))/(1-Model!$B$9)/(1+Model!$B$18)^78))</f>
        <v/>
      </c>
      <c r="CO90" s="7">
        <f>IF(A90="","",IF((A90+79)&gt;Model!$B$4,0,MAX(0,Model!$B$6-IF((A90+79)&gt;=Model!$B$11,Model!$B$20,0)-IF(79&lt;Model!$B$15,Model!$B$22,0))/(1-Model!$B$9)/(1+Model!$B$18)^79))</f>
        <v/>
      </c>
      <c r="CP90" s="7">
        <f>IF(A90="","",IF((A90+80)&gt;Model!$B$4,0,MAX(0,Model!$B$6-IF((A90+80)&gt;=Model!$B$11,Model!$B$20,0)-IF(80&lt;Model!$B$15,Model!$B$22,0))/(1-Model!$B$9)/(1+Model!$B$18)^80))</f>
        <v/>
      </c>
      <c r="CQ90" s="7">
        <f>IF(A90="","",IF((A90+81)&gt;Model!$B$4,0,MAX(0,Model!$B$6-IF((A90+81)&gt;=Model!$B$11,Model!$B$20,0)-IF(81&lt;Model!$B$15,Model!$B$22,0))/(1-Model!$B$9)/(1+Model!$B$18)^81))</f>
        <v/>
      </c>
      <c r="CR90" s="7">
        <f>IF(A90="","",IF((A90+82)&gt;Model!$B$4,0,MAX(0,Model!$B$6-IF((A90+82)&gt;=Model!$B$11,Model!$B$20,0)-IF(82&lt;Model!$B$15,Model!$B$22,0))/(1-Model!$B$9)/(1+Model!$B$18)^82))</f>
        <v/>
      </c>
      <c r="CS90" s="7">
        <f>IF(A90="","",IF((A90+83)&gt;Model!$B$4,0,MAX(0,Model!$B$6-IF((A90+83)&gt;=Model!$B$11,Model!$B$20,0)-IF(83&lt;Model!$B$15,Model!$B$22,0))/(1-Model!$B$9)/(1+Model!$B$18)^83))</f>
        <v/>
      </c>
      <c r="CT90" s="7">
        <f>IF(A90="","",IF((A90+84)&gt;Model!$B$4,0,MAX(0,Model!$B$6-IF((A90+84)&gt;=Model!$B$11,Model!$B$20,0)-IF(84&lt;Model!$B$15,Model!$B$22,0))/(1-Model!$B$9)/(1+Model!$B$18)^84))</f>
        <v/>
      </c>
      <c r="CU90" s="7">
        <f>IF(A90="","",IF((A90+85)&gt;Model!$B$4,0,MAX(0,Model!$B$6-IF((A90+85)&gt;=Model!$B$11,Model!$B$20,0)-IF(85&lt;Model!$B$15,Model!$B$22,0))/(1-Model!$B$9)/(1+Model!$B$18)^85))</f>
        <v/>
      </c>
      <c r="CV90" s="7">
        <f>IF(A90="","",IF((A90+86)&gt;Model!$B$4,0,MAX(0,Model!$B$6-IF((A90+86)&gt;=Model!$B$11,Model!$B$20,0)-IF(86&lt;Model!$B$15,Model!$B$22,0))/(1-Model!$B$9)/(1+Model!$B$18)^86))</f>
        <v/>
      </c>
      <c r="CW90" s="7">
        <f>IF(A90="","",IF((A90+87)&gt;Model!$B$4,0,MAX(0,Model!$B$6-IF((A90+87)&gt;=Model!$B$11,Model!$B$20,0)-IF(87&lt;Model!$B$15,Model!$B$22,0))/(1-Model!$B$9)/(1+Model!$B$18)^87))</f>
        <v/>
      </c>
      <c r="CX90" s="7">
        <f>IF(A90="","",IF((A90+88)&gt;Model!$B$4,0,MAX(0,Model!$B$6-IF((A90+88)&gt;=Model!$B$11,Model!$B$20,0)-IF(88&lt;Model!$B$15,Model!$B$22,0))/(1-Model!$B$9)/(1+Model!$B$18)^88))</f>
        <v/>
      </c>
      <c r="CY90" s="7">
        <f>IF(A90="","",IF((A90+89)&gt;Model!$B$4,0,MAX(0,Model!$B$6-IF((A90+89)&gt;=Model!$B$11,Model!$B$20,0)-IF(89&lt;Model!$B$15,Model!$B$22,0))/(1-Model!$B$9)/(1+Model!$B$18)^89))</f>
        <v/>
      </c>
      <c r="CZ90" s="7">
        <f>IF(A90="","",IF((A90+90)&gt;Model!$B$4,0,MAX(0,Model!$B$6-IF((A90+90)&gt;=Model!$B$11,Model!$B$20,0)-IF(90&lt;Model!$B$15,Model!$B$22,0))/(1-Model!$B$9)/(1+Model!$B$18)^90))</f>
        <v/>
      </c>
      <c r="DA90" s="7">
        <f>IF(A90="","",IF((A90+91)&gt;Model!$B$4,0,MAX(0,Model!$B$6-IF((A90+91)&gt;=Model!$B$11,Model!$B$20,0)-IF(91&lt;Model!$B$15,Model!$B$22,0))/(1-Model!$B$9)/(1+Model!$B$18)^91))</f>
        <v/>
      </c>
      <c r="DB90" s="7">
        <f>IF(A90="","",IF((A90+92)&gt;Model!$B$4,0,MAX(0,Model!$B$6-IF((A90+92)&gt;=Model!$B$11,Model!$B$20,0)-IF(92&lt;Model!$B$15,Model!$B$22,0))/(1-Model!$B$9)/(1+Model!$B$18)^92))</f>
        <v/>
      </c>
      <c r="DC90" s="7">
        <f>IF(A90="","",IF((A90+93)&gt;Model!$B$4,0,MAX(0,Model!$B$6-IF((A90+93)&gt;=Model!$B$11,Model!$B$20,0)-IF(93&lt;Model!$B$15,Model!$B$22,0))/(1-Model!$B$9)/(1+Model!$B$18)^93))</f>
        <v/>
      </c>
      <c r="DD90" s="7">
        <f>IF(A90="","",IF((A90+94)&gt;Model!$B$4,0,MAX(0,Model!$B$6-IF((A90+94)&gt;=Model!$B$11,Model!$B$20,0)-IF(94&lt;Model!$B$15,Model!$B$22,0))/(1-Model!$B$9)/(1+Model!$B$18)^94))</f>
        <v/>
      </c>
      <c r="DE90" s="7">
        <f>IF(A90="","",IF((A90+95)&gt;Model!$B$4,0,MAX(0,Model!$B$6-IF((A90+95)&gt;=Model!$B$11,Model!$B$20,0)-IF(95&lt;Model!$B$15,Model!$B$22,0))/(1-Model!$B$9)/(1+Model!$B$18)^95))</f>
        <v/>
      </c>
      <c r="DF90" s="7">
        <f>IF(A90="","",IF((A90+96)&gt;Model!$B$4,0,MAX(0,Model!$B$6-IF((A90+96)&gt;=Model!$B$11,Model!$B$20,0)-IF(96&lt;Model!$B$15,Model!$B$22,0))/(1-Model!$B$9)/(1+Model!$B$18)^96))</f>
        <v/>
      </c>
      <c r="DG90" s="7">
        <f>IF(A90="","",IF((A90+97)&gt;Model!$B$4,0,MAX(0,Model!$B$6-IF((A90+97)&gt;=Model!$B$11,Model!$B$20,0)-IF(97&lt;Model!$B$15,Model!$B$22,0))/(1-Model!$B$9)/(1+Model!$B$18)^97))</f>
        <v/>
      </c>
      <c r="DH90" s="7">
        <f>IF(A90="","",IF((A90+98)&gt;Model!$B$4,0,MAX(0,Model!$B$6-IF((A90+98)&gt;=Model!$B$11,Model!$B$20,0)-IF(98&lt;Model!$B$15,Model!$B$22,0))/(1-Model!$B$9)/(1+Model!$B$18)^98))</f>
        <v/>
      </c>
      <c r="DI90" s="7">
        <f>IF(A90="","",IF((A90+99)&gt;Model!$B$4,0,MAX(0,Model!$B$6-IF((A90+99)&gt;=Model!$B$11,Model!$B$20,0)-IF(99&lt;Model!$B$15,Model!$B$22,0))/(1-Model!$B$9)/(1+Model!$B$18)^99))</f>
        <v/>
      </c>
      <c r="DJ90" s="7">
        <f>IF(A90="","",IF((A90+100)&gt;Model!$B$4,0,MAX(0,Model!$B$6-IF((A90+100)&gt;=Model!$B$11,Model!$B$20,0)-IF(100&lt;Model!$B$15,Model!$B$22,0))/(1-Model!$B$9)/(1+Model!$B$18)^100))</f>
        <v/>
      </c>
      <c r="DK90" s="7">
        <f>IF(A90="","",IF((A90+101)&gt;Model!$B$4,0,MAX(0,Model!$B$6-IF((A90+101)&gt;=Model!$B$11,Model!$B$20,0)-IF(101&lt;Model!$B$15,Model!$B$22,0))/(1-Model!$B$9)/(1+Model!$B$18)^101))</f>
        <v/>
      </c>
      <c r="DL90" s="7">
        <f>IF(A90="","",IF((A90+102)&gt;Model!$B$4,0,MAX(0,Model!$B$6-IF((A90+102)&gt;=Model!$B$11,Model!$B$20,0)-IF(102&lt;Model!$B$15,Model!$B$22,0))/(1-Model!$B$9)/(1+Model!$B$18)^102))</f>
        <v/>
      </c>
      <c r="DM90" s="7">
        <f>IF(A90="","",IF((A90+103)&gt;Model!$B$4,0,MAX(0,Model!$B$6-IF((A90+103)&gt;=Model!$B$11,Model!$B$20,0)-IF(103&lt;Model!$B$15,Model!$B$22,0))/(1-Model!$B$9)/(1+Model!$B$18)^103))</f>
        <v/>
      </c>
      <c r="DN90" s="7">
        <f>IF(A90="","",IF((A90+104)&gt;Model!$B$4,0,MAX(0,Model!$B$6-IF((A90+104)&gt;=Model!$B$11,Model!$B$20,0)-IF(104&lt;Model!$B$15,Model!$B$22,0))/(1-Model!$B$9)/(1+Model!$B$18)^104))</f>
        <v/>
      </c>
      <c r="DO90" s="7">
        <f>IF(A90="","",IF((A90+105)&gt;Model!$B$4,0,MAX(0,Model!$B$6-IF((A90+105)&gt;=Model!$B$11,Model!$B$20,0)-IF(105&lt;Model!$B$15,Model!$B$22,0))/(1-Model!$B$9)/(1+Model!$B$18)^105))</f>
        <v/>
      </c>
      <c r="DP90" s="7">
        <f>IF(A90="","",IF((A90+106)&gt;Model!$B$4,0,MAX(0,Model!$B$6-IF((A90+106)&gt;=Model!$B$11,Model!$B$20,0)-IF(106&lt;Model!$B$15,Model!$B$22,0))/(1-Model!$B$9)/(1+Model!$B$18)^106))</f>
        <v/>
      </c>
      <c r="DQ90" s="7">
        <f>IF(A90="","",IF((A90+107)&gt;Model!$B$4,0,MAX(0,Model!$B$6-IF((A90+107)&gt;=Model!$B$11,Model!$B$20,0)-IF(107&lt;Model!$B$15,Model!$B$22,0))/(1-Model!$B$9)/(1+Model!$B$18)^107))</f>
        <v/>
      </c>
      <c r="DR90" s="7">
        <f>IF(A90="","",IF((A90+108)&gt;Model!$B$4,0,MAX(0,Model!$B$6-IF((A90+108)&gt;=Model!$B$11,Model!$B$20,0)-IF(108&lt;Model!$B$15,Model!$B$22,0))/(1-Model!$B$9)/(1+Model!$B$18)^108))</f>
        <v/>
      </c>
      <c r="DS90" s="7">
        <f>IF(A90="","",IF((A90+109)&gt;Model!$B$4,0,MAX(0,Model!$B$6-IF((A90+109)&gt;=Model!$B$11,Model!$B$20,0)-IF(109&lt;Model!$B$15,Model!$B$22,0))/(1-Model!$B$9)/(1+Model!$B$18)^109))</f>
        <v/>
      </c>
      <c r="DT90" s="7">
        <f>IF(A90="","",IF((A90+110)&gt;Model!$B$4,0,MAX(0,Model!$B$6-IF((A90+110)&gt;=Model!$B$11,Model!$B$20,0)-IF(110&lt;Model!$B$15,Model!$B$22,0))/(1-Model!$B$9)/(1+Model!$B$18)^110))</f>
        <v/>
      </c>
      <c r="DU90" s="7">
        <f>IF(A90="","",IF((A90+111)&gt;Model!$B$4,0,MAX(0,Model!$B$6-IF((A90+111)&gt;=Model!$B$11,Model!$B$20,0)-IF(111&lt;Model!$B$15,Model!$B$22,0))/(1-Model!$B$9)/(1+Model!$B$18)^111))</f>
        <v/>
      </c>
      <c r="DV90" s="7">
        <f>IF(A90="","",IF((A90+112)&gt;Model!$B$4,0,MAX(0,Model!$B$6-IF((A90+112)&gt;=Model!$B$11,Model!$B$20,0)-IF(112&lt;Model!$B$15,Model!$B$22,0))/(1-Model!$B$9)/(1+Model!$B$18)^112))</f>
        <v/>
      </c>
      <c r="DW90" s="7">
        <f>IF(A90="","",IF((A90+113)&gt;Model!$B$4,0,MAX(0,Model!$B$6-IF((A90+113)&gt;=Model!$B$11,Model!$B$20,0)-IF(113&lt;Model!$B$15,Model!$B$22,0))/(1-Model!$B$9)/(1+Model!$B$18)^113))</f>
        <v/>
      </c>
      <c r="DX90" s="7">
        <f>IF(A90="","",IF((A90+114)&gt;Model!$B$4,0,MAX(0,Model!$B$6-IF((A90+114)&gt;=Model!$B$11,Model!$B$20,0)-IF(114&lt;Model!$B$15,Model!$B$22,0))/(1-Model!$B$9)/(1+Model!$B$18)^114))</f>
        <v/>
      </c>
      <c r="DY90" s="7">
        <f>IF(A90="","",IF((A90+115)&gt;Model!$B$4,0,MAX(0,Model!$B$6-IF((A90+115)&gt;=Model!$B$11,Model!$B$20,0)-IF(115&lt;Model!$B$15,Model!$B$22,0))/(1-Model!$B$9)/(1+Model!$B$18)^115))</f>
        <v/>
      </c>
      <c r="DZ90" s="7">
        <f>IF(A90="","",IF((A90+116)&gt;Model!$B$4,0,MAX(0,Model!$B$6-IF((A90+116)&gt;=Model!$B$11,Model!$B$20,0)-IF(116&lt;Model!$B$15,Model!$B$22,0))/(1-Model!$B$9)/(1+Model!$B$18)^116))</f>
        <v/>
      </c>
      <c r="EA90" s="7">
        <f>IF(A90="","",IF((A90+117)&gt;Model!$B$4,0,MAX(0,Model!$B$6-IF((A90+117)&gt;=Model!$B$11,Model!$B$20,0)-IF(117&lt;Model!$B$15,Model!$B$22,0))/(1-Model!$B$9)/(1+Model!$B$18)^117))</f>
        <v/>
      </c>
      <c r="EB90" s="7">
        <f>IF(A90="","",IF((A90+118)&gt;Model!$B$4,0,MAX(0,Model!$B$6-IF((A90+118)&gt;=Model!$B$11,Model!$B$20,0)-IF(118&lt;Model!$B$15,Model!$B$22,0))/(1-Model!$B$9)/(1+Model!$B$18)^118))</f>
        <v/>
      </c>
      <c r="EC90" s="7">
        <f>IF(A90="","",IF((A90+119)&gt;Model!$B$4,0,MAX(0,Model!$B$6-IF((A90+119)&gt;=Model!$B$11,Model!$B$20,0)-IF(119&lt;Model!$B$15,Model!$B$22,0))/(1-Model!$B$9)/(1+Model!$B$18)^119))</f>
        <v/>
      </c>
      <c r="ED90" s="7">
        <f>IF(A90="","",IF((A90+120)&gt;Model!$B$4,0,MAX(0,Model!$B$6-IF((A90+120)&gt;=Model!$B$11,Model!$B$20,0)-IF(120&lt;Model!$B$15,Model!$B$22,0))/(1-Model!$B$9)/(1+Model!$B$18)^120))</f>
        <v/>
      </c>
    </row>
    <row r="91">
      <c r="A91">
        <f>IF(Model!$B$10+ROW()-2&lt;=Model!$B$4,Model!$B$10+ROW()-2,"")</f>
        <v/>
      </c>
      <c r="B91">
        <f>IF(A91="","",A91-Model!$B$10)</f>
        <v/>
      </c>
      <c r="C91" s="7">
        <f>IF(A91="","",Model!$B$5*(1+Model!$B$18)^B91)</f>
        <v/>
      </c>
      <c r="D91" s="7">
        <f>IF(A91="","",SUM(N91:ED91))</f>
        <v/>
      </c>
      <c r="E91" s="7">
        <f>IF(A91="","",IF(A91&gt;=Model!$B$11,Model!$B$20,0))</f>
        <v/>
      </c>
      <c r="F91" s="7">
        <f>IF(A91="","",IF(Model!$B$15&gt;0,Model!$B$22,0))</f>
        <v/>
      </c>
      <c r="G91" s="7">
        <f>IF(A91="","",E91+F91)</f>
        <v/>
      </c>
      <c r="H91" s="7">
        <f>IF(A91="","",MAX(0,Model!$B$6-G91))</f>
        <v/>
      </c>
      <c r="I91" s="7">
        <f>IF(A91="","",H91/(1-Model!$B$9))</f>
        <v/>
      </c>
      <c r="J91" s="7">
        <f>IF(A91="","",C91-D91)</f>
        <v/>
      </c>
      <c r="K91">
        <f>IF(A91="","",C91&gt;=D91)</f>
        <v/>
      </c>
      <c r="L91" s="7">
        <f>IF(A91="","",IF(A91&gt;=Model!$B$11,Model!$B$19*(1+Model!$B$13)^B91,0))</f>
        <v/>
      </c>
      <c r="M91" s="7">
        <f>IF(A91="","",IF(Model!$B$15&gt;0,Model!$B$21*(1+Model!$B$13)^B91,0))</f>
        <v/>
      </c>
      <c r="N91" s="7">
        <f>IF(A91="","",IF((A91+0)&gt;Model!$B$4,0,MAX(0,Model!$B$6-IF((A91+0)&gt;=Model!$B$11,Model!$B$20,0)-IF(0&lt;Model!$B$15,Model!$B$22,0))/(1-Model!$B$9)/(1+Model!$B$18)^0))</f>
        <v/>
      </c>
      <c r="O91" s="7">
        <f>IF(A91="","",IF((A91+1)&gt;Model!$B$4,0,MAX(0,Model!$B$6-IF((A91+1)&gt;=Model!$B$11,Model!$B$20,0)-IF(1&lt;Model!$B$15,Model!$B$22,0))/(1-Model!$B$9)/(1+Model!$B$18)^1))</f>
        <v/>
      </c>
      <c r="P91" s="7">
        <f>IF(A91="","",IF((A91+2)&gt;Model!$B$4,0,MAX(0,Model!$B$6-IF((A91+2)&gt;=Model!$B$11,Model!$B$20,0)-IF(2&lt;Model!$B$15,Model!$B$22,0))/(1-Model!$B$9)/(1+Model!$B$18)^2))</f>
        <v/>
      </c>
      <c r="Q91" s="7">
        <f>IF(A91="","",IF((A91+3)&gt;Model!$B$4,0,MAX(0,Model!$B$6-IF((A91+3)&gt;=Model!$B$11,Model!$B$20,0)-IF(3&lt;Model!$B$15,Model!$B$22,0))/(1-Model!$B$9)/(1+Model!$B$18)^3))</f>
        <v/>
      </c>
      <c r="R91" s="7">
        <f>IF(A91="","",IF((A91+4)&gt;Model!$B$4,0,MAX(0,Model!$B$6-IF((A91+4)&gt;=Model!$B$11,Model!$B$20,0)-IF(4&lt;Model!$B$15,Model!$B$22,0))/(1-Model!$B$9)/(1+Model!$B$18)^4))</f>
        <v/>
      </c>
      <c r="S91" s="7">
        <f>IF(A91="","",IF((A91+5)&gt;Model!$B$4,0,MAX(0,Model!$B$6-IF((A91+5)&gt;=Model!$B$11,Model!$B$20,0)-IF(5&lt;Model!$B$15,Model!$B$22,0))/(1-Model!$B$9)/(1+Model!$B$18)^5))</f>
        <v/>
      </c>
      <c r="T91" s="7">
        <f>IF(A91="","",IF((A91+6)&gt;Model!$B$4,0,MAX(0,Model!$B$6-IF((A91+6)&gt;=Model!$B$11,Model!$B$20,0)-IF(6&lt;Model!$B$15,Model!$B$22,0))/(1-Model!$B$9)/(1+Model!$B$18)^6))</f>
        <v/>
      </c>
      <c r="U91" s="7">
        <f>IF(A91="","",IF((A91+7)&gt;Model!$B$4,0,MAX(0,Model!$B$6-IF((A91+7)&gt;=Model!$B$11,Model!$B$20,0)-IF(7&lt;Model!$B$15,Model!$B$22,0))/(1-Model!$B$9)/(1+Model!$B$18)^7))</f>
        <v/>
      </c>
      <c r="V91" s="7">
        <f>IF(A91="","",IF((A91+8)&gt;Model!$B$4,0,MAX(0,Model!$B$6-IF((A91+8)&gt;=Model!$B$11,Model!$B$20,0)-IF(8&lt;Model!$B$15,Model!$B$22,0))/(1-Model!$B$9)/(1+Model!$B$18)^8))</f>
        <v/>
      </c>
      <c r="W91" s="7">
        <f>IF(A91="","",IF((A91+9)&gt;Model!$B$4,0,MAX(0,Model!$B$6-IF((A91+9)&gt;=Model!$B$11,Model!$B$20,0)-IF(9&lt;Model!$B$15,Model!$B$22,0))/(1-Model!$B$9)/(1+Model!$B$18)^9))</f>
        <v/>
      </c>
      <c r="X91" s="7">
        <f>IF(A91="","",IF((A91+10)&gt;Model!$B$4,0,MAX(0,Model!$B$6-IF((A91+10)&gt;=Model!$B$11,Model!$B$20,0)-IF(10&lt;Model!$B$15,Model!$B$22,0))/(1-Model!$B$9)/(1+Model!$B$18)^10))</f>
        <v/>
      </c>
      <c r="Y91" s="7">
        <f>IF(A91="","",IF((A91+11)&gt;Model!$B$4,0,MAX(0,Model!$B$6-IF((A91+11)&gt;=Model!$B$11,Model!$B$20,0)-IF(11&lt;Model!$B$15,Model!$B$22,0))/(1-Model!$B$9)/(1+Model!$B$18)^11))</f>
        <v/>
      </c>
      <c r="Z91" s="7">
        <f>IF(A91="","",IF((A91+12)&gt;Model!$B$4,0,MAX(0,Model!$B$6-IF((A91+12)&gt;=Model!$B$11,Model!$B$20,0)-IF(12&lt;Model!$B$15,Model!$B$22,0))/(1-Model!$B$9)/(1+Model!$B$18)^12))</f>
        <v/>
      </c>
      <c r="AA91" s="7">
        <f>IF(A91="","",IF((A91+13)&gt;Model!$B$4,0,MAX(0,Model!$B$6-IF((A91+13)&gt;=Model!$B$11,Model!$B$20,0)-IF(13&lt;Model!$B$15,Model!$B$22,0))/(1-Model!$B$9)/(1+Model!$B$18)^13))</f>
        <v/>
      </c>
      <c r="AB91" s="7">
        <f>IF(A91="","",IF((A91+14)&gt;Model!$B$4,0,MAX(0,Model!$B$6-IF((A91+14)&gt;=Model!$B$11,Model!$B$20,0)-IF(14&lt;Model!$B$15,Model!$B$22,0))/(1-Model!$B$9)/(1+Model!$B$18)^14))</f>
        <v/>
      </c>
      <c r="AC91" s="7">
        <f>IF(A91="","",IF((A91+15)&gt;Model!$B$4,0,MAX(0,Model!$B$6-IF((A91+15)&gt;=Model!$B$11,Model!$B$20,0)-IF(15&lt;Model!$B$15,Model!$B$22,0))/(1-Model!$B$9)/(1+Model!$B$18)^15))</f>
        <v/>
      </c>
      <c r="AD91" s="7">
        <f>IF(A91="","",IF((A91+16)&gt;Model!$B$4,0,MAX(0,Model!$B$6-IF((A91+16)&gt;=Model!$B$11,Model!$B$20,0)-IF(16&lt;Model!$B$15,Model!$B$22,0))/(1-Model!$B$9)/(1+Model!$B$18)^16))</f>
        <v/>
      </c>
      <c r="AE91" s="7">
        <f>IF(A91="","",IF((A91+17)&gt;Model!$B$4,0,MAX(0,Model!$B$6-IF((A91+17)&gt;=Model!$B$11,Model!$B$20,0)-IF(17&lt;Model!$B$15,Model!$B$22,0))/(1-Model!$B$9)/(1+Model!$B$18)^17))</f>
        <v/>
      </c>
      <c r="AF91" s="7">
        <f>IF(A91="","",IF((A91+18)&gt;Model!$B$4,0,MAX(0,Model!$B$6-IF((A91+18)&gt;=Model!$B$11,Model!$B$20,0)-IF(18&lt;Model!$B$15,Model!$B$22,0))/(1-Model!$B$9)/(1+Model!$B$18)^18))</f>
        <v/>
      </c>
      <c r="AG91" s="7">
        <f>IF(A91="","",IF((A91+19)&gt;Model!$B$4,0,MAX(0,Model!$B$6-IF((A91+19)&gt;=Model!$B$11,Model!$B$20,0)-IF(19&lt;Model!$B$15,Model!$B$22,0))/(1-Model!$B$9)/(1+Model!$B$18)^19))</f>
        <v/>
      </c>
      <c r="AH91" s="7">
        <f>IF(A91="","",IF((A91+20)&gt;Model!$B$4,0,MAX(0,Model!$B$6-IF((A91+20)&gt;=Model!$B$11,Model!$B$20,0)-IF(20&lt;Model!$B$15,Model!$B$22,0))/(1-Model!$B$9)/(1+Model!$B$18)^20))</f>
        <v/>
      </c>
      <c r="AI91" s="7">
        <f>IF(A91="","",IF((A91+21)&gt;Model!$B$4,0,MAX(0,Model!$B$6-IF((A91+21)&gt;=Model!$B$11,Model!$B$20,0)-IF(21&lt;Model!$B$15,Model!$B$22,0))/(1-Model!$B$9)/(1+Model!$B$18)^21))</f>
        <v/>
      </c>
      <c r="AJ91" s="7">
        <f>IF(A91="","",IF((A91+22)&gt;Model!$B$4,0,MAX(0,Model!$B$6-IF((A91+22)&gt;=Model!$B$11,Model!$B$20,0)-IF(22&lt;Model!$B$15,Model!$B$22,0))/(1-Model!$B$9)/(1+Model!$B$18)^22))</f>
        <v/>
      </c>
      <c r="AK91" s="7">
        <f>IF(A91="","",IF((A91+23)&gt;Model!$B$4,0,MAX(0,Model!$B$6-IF((A91+23)&gt;=Model!$B$11,Model!$B$20,0)-IF(23&lt;Model!$B$15,Model!$B$22,0))/(1-Model!$B$9)/(1+Model!$B$18)^23))</f>
        <v/>
      </c>
      <c r="AL91" s="7">
        <f>IF(A91="","",IF((A91+24)&gt;Model!$B$4,0,MAX(0,Model!$B$6-IF((A91+24)&gt;=Model!$B$11,Model!$B$20,0)-IF(24&lt;Model!$B$15,Model!$B$22,0))/(1-Model!$B$9)/(1+Model!$B$18)^24))</f>
        <v/>
      </c>
      <c r="AM91" s="7">
        <f>IF(A91="","",IF((A91+25)&gt;Model!$B$4,0,MAX(0,Model!$B$6-IF((A91+25)&gt;=Model!$B$11,Model!$B$20,0)-IF(25&lt;Model!$B$15,Model!$B$22,0))/(1-Model!$B$9)/(1+Model!$B$18)^25))</f>
        <v/>
      </c>
      <c r="AN91" s="7">
        <f>IF(A91="","",IF((A91+26)&gt;Model!$B$4,0,MAX(0,Model!$B$6-IF((A91+26)&gt;=Model!$B$11,Model!$B$20,0)-IF(26&lt;Model!$B$15,Model!$B$22,0))/(1-Model!$B$9)/(1+Model!$B$18)^26))</f>
        <v/>
      </c>
      <c r="AO91" s="7">
        <f>IF(A91="","",IF((A91+27)&gt;Model!$B$4,0,MAX(0,Model!$B$6-IF((A91+27)&gt;=Model!$B$11,Model!$B$20,0)-IF(27&lt;Model!$B$15,Model!$B$22,0))/(1-Model!$B$9)/(1+Model!$B$18)^27))</f>
        <v/>
      </c>
      <c r="AP91" s="7">
        <f>IF(A91="","",IF((A91+28)&gt;Model!$B$4,0,MAX(0,Model!$B$6-IF((A91+28)&gt;=Model!$B$11,Model!$B$20,0)-IF(28&lt;Model!$B$15,Model!$B$22,0))/(1-Model!$B$9)/(1+Model!$B$18)^28))</f>
        <v/>
      </c>
      <c r="AQ91" s="7">
        <f>IF(A91="","",IF((A91+29)&gt;Model!$B$4,0,MAX(0,Model!$B$6-IF((A91+29)&gt;=Model!$B$11,Model!$B$20,0)-IF(29&lt;Model!$B$15,Model!$B$22,0))/(1-Model!$B$9)/(1+Model!$B$18)^29))</f>
        <v/>
      </c>
      <c r="AR91" s="7">
        <f>IF(A91="","",IF((A91+30)&gt;Model!$B$4,0,MAX(0,Model!$B$6-IF((A91+30)&gt;=Model!$B$11,Model!$B$20,0)-IF(30&lt;Model!$B$15,Model!$B$22,0))/(1-Model!$B$9)/(1+Model!$B$18)^30))</f>
        <v/>
      </c>
      <c r="AS91" s="7">
        <f>IF(A91="","",IF((A91+31)&gt;Model!$B$4,0,MAX(0,Model!$B$6-IF((A91+31)&gt;=Model!$B$11,Model!$B$20,0)-IF(31&lt;Model!$B$15,Model!$B$22,0))/(1-Model!$B$9)/(1+Model!$B$18)^31))</f>
        <v/>
      </c>
      <c r="AT91" s="7">
        <f>IF(A91="","",IF((A91+32)&gt;Model!$B$4,0,MAX(0,Model!$B$6-IF((A91+32)&gt;=Model!$B$11,Model!$B$20,0)-IF(32&lt;Model!$B$15,Model!$B$22,0))/(1-Model!$B$9)/(1+Model!$B$18)^32))</f>
        <v/>
      </c>
      <c r="AU91" s="7">
        <f>IF(A91="","",IF((A91+33)&gt;Model!$B$4,0,MAX(0,Model!$B$6-IF((A91+33)&gt;=Model!$B$11,Model!$B$20,0)-IF(33&lt;Model!$B$15,Model!$B$22,0))/(1-Model!$B$9)/(1+Model!$B$18)^33))</f>
        <v/>
      </c>
      <c r="AV91" s="7">
        <f>IF(A91="","",IF((A91+34)&gt;Model!$B$4,0,MAX(0,Model!$B$6-IF((A91+34)&gt;=Model!$B$11,Model!$B$20,0)-IF(34&lt;Model!$B$15,Model!$B$22,0))/(1-Model!$B$9)/(1+Model!$B$18)^34))</f>
        <v/>
      </c>
      <c r="AW91" s="7">
        <f>IF(A91="","",IF((A91+35)&gt;Model!$B$4,0,MAX(0,Model!$B$6-IF((A91+35)&gt;=Model!$B$11,Model!$B$20,0)-IF(35&lt;Model!$B$15,Model!$B$22,0))/(1-Model!$B$9)/(1+Model!$B$18)^35))</f>
        <v/>
      </c>
      <c r="AX91" s="7">
        <f>IF(A91="","",IF((A91+36)&gt;Model!$B$4,0,MAX(0,Model!$B$6-IF((A91+36)&gt;=Model!$B$11,Model!$B$20,0)-IF(36&lt;Model!$B$15,Model!$B$22,0))/(1-Model!$B$9)/(1+Model!$B$18)^36))</f>
        <v/>
      </c>
      <c r="AY91" s="7">
        <f>IF(A91="","",IF((A91+37)&gt;Model!$B$4,0,MAX(0,Model!$B$6-IF((A91+37)&gt;=Model!$B$11,Model!$B$20,0)-IF(37&lt;Model!$B$15,Model!$B$22,0))/(1-Model!$B$9)/(1+Model!$B$18)^37))</f>
        <v/>
      </c>
      <c r="AZ91" s="7">
        <f>IF(A91="","",IF((A91+38)&gt;Model!$B$4,0,MAX(0,Model!$B$6-IF((A91+38)&gt;=Model!$B$11,Model!$B$20,0)-IF(38&lt;Model!$B$15,Model!$B$22,0))/(1-Model!$B$9)/(1+Model!$B$18)^38))</f>
        <v/>
      </c>
      <c r="BA91" s="7">
        <f>IF(A91="","",IF((A91+39)&gt;Model!$B$4,0,MAX(0,Model!$B$6-IF((A91+39)&gt;=Model!$B$11,Model!$B$20,0)-IF(39&lt;Model!$B$15,Model!$B$22,0))/(1-Model!$B$9)/(1+Model!$B$18)^39))</f>
        <v/>
      </c>
      <c r="BB91" s="7">
        <f>IF(A91="","",IF((A91+40)&gt;Model!$B$4,0,MAX(0,Model!$B$6-IF((A91+40)&gt;=Model!$B$11,Model!$B$20,0)-IF(40&lt;Model!$B$15,Model!$B$22,0))/(1-Model!$B$9)/(1+Model!$B$18)^40))</f>
        <v/>
      </c>
      <c r="BC91" s="7">
        <f>IF(A91="","",IF((A91+41)&gt;Model!$B$4,0,MAX(0,Model!$B$6-IF((A91+41)&gt;=Model!$B$11,Model!$B$20,0)-IF(41&lt;Model!$B$15,Model!$B$22,0))/(1-Model!$B$9)/(1+Model!$B$18)^41))</f>
        <v/>
      </c>
      <c r="BD91" s="7">
        <f>IF(A91="","",IF((A91+42)&gt;Model!$B$4,0,MAX(0,Model!$B$6-IF((A91+42)&gt;=Model!$B$11,Model!$B$20,0)-IF(42&lt;Model!$B$15,Model!$B$22,0))/(1-Model!$B$9)/(1+Model!$B$18)^42))</f>
        <v/>
      </c>
      <c r="BE91" s="7">
        <f>IF(A91="","",IF((A91+43)&gt;Model!$B$4,0,MAX(0,Model!$B$6-IF((A91+43)&gt;=Model!$B$11,Model!$B$20,0)-IF(43&lt;Model!$B$15,Model!$B$22,0))/(1-Model!$B$9)/(1+Model!$B$18)^43))</f>
        <v/>
      </c>
      <c r="BF91" s="7">
        <f>IF(A91="","",IF((A91+44)&gt;Model!$B$4,0,MAX(0,Model!$B$6-IF((A91+44)&gt;=Model!$B$11,Model!$B$20,0)-IF(44&lt;Model!$B$15,Model!$B$22,0))/(1-Model!$B$9)/(1+Model!$B$18)^44))</f>
        <v/>
      </c>
      <c r="BG91" s="7">
        <f>IF(A91="","",IF((A91+45)&gt;Model!$B$4,0,MAX(0,Model!$B$6-IF((A91+45)&gt;=Model!$B$11,Model!$B$20,0)-IF(45&lt;Model!$B$15,Model!$B$22,0))/(1-Model!$B$9)/(1+Model!$B$18)^45))</f>
        <v/>
      </c>
      <c r="BH91" s="7">
        <f>IF(A91="","",IF((A91+46)&gt;Model!$B$4,0,MAX(0,Model!$B$6-IF((A91+46)&gt;=Model!$B$11,Model!$B$20,0)-IF(46&lt;Model!$B$15,Model!$B$22,0))/(1-Model!$B$9)/(1+Model!$B$18)^46))</f>
        <v/>
      </c>
      <c r="BI91" s="7">
        <f>IF(A91="","",IF((A91+47)&gt;Model!$B$4,0,MAX(0,Model!$B$6-IF((A91+47)&gt;=Model!$B$11,Model!$B$20,0)-IF(47&lt;Model!$B$15,Model!$B$22,0))/(1-Model!$B$9)/(1+Model!$B$18)^47))</f>
        <v/>
      </c>
      <c r="BJ91" s="7">
        <f>IF(A91="","",IF((A91+48)&gt;Model!$B$4,0,MAX(0,Model!$B$6-IF((A91+48)&gt;=Model!$B$11,Model!$B$20,0)-IF(48&lt;Model!$B$15,Model!$B$22,0))/(1-Model!$B$9)/(1+Model!$B$18)^48))</f>
        <v/>
      </c>
      <c r="BK91" s="7">
        <f>IF(A91="","",IF((A91+49)&gt;Model!$B$4,0,MAX(0,Model!$B$6-IF((A91+49)&gt;=Model!$B$11,Model!$B$20,0)-IF(49&lt;Model!$B$15,Model!$B$22,0))/(1-Model!$B$9)/(1+Model!$B$18)^49))</f>
        <v/>
      </c>
      <c r="BL91" s="7">
        <f>IF(A91="","",IF((A91+50)&gt;Model!$B$4,0,MAX(0,Model!$B$6-IF((A91+50)&gt;=Model!$B$11,Model!$B$20,0)-IF(50&lt;Model!$B$15,Model!$B$22,0))/(1-Model!$B$9)/(1+Model!$B$18)^50))</f>
        <v/>
      </c>
      <c r="BM91" s="7">
        <f>IF(A91="","",IF((A91+51)&gt;Model!$B$4,0,MAX(0,Model!$B$6-IF((A91+51)&gt;=Model!$B$11,Model!$B$20,0)-IF(51&lt;Model!$B$15,Model!$B$22,0))/(1-Model!$B$9)/(1+Model!$B$18)^51))</f>
        <v/>
      </c>
      <c r="BN91" s="7">
        <f>IF(A91="","",IF((A91+52)&gt;Model!$B$4,0,MAX(0,Model!$B$6-IF((A91+52)&gt;=Model!$B$11,Model!$B$20,0)-IF(52&lt;Model!$B$15,Model!$B$22,0))/(1-Model!$B$9)/(1+Model!$B$18)^52))</f>
        <v/>
      </c>
      <c r="BO91" s="7">
        <f>IF(A91="","",IF((A91+53)&gt;Model!$B$4,0,MAX(0,Model!$B$6-IF((A91+53)&gt;=Model!$B$11,Model!$B$20,0)-IF(53&lt;Model!$B$15,Model!$B$22,0))/(1-Model!$B$9)/(1+Model!$B$18)^53))</f>
        <v/>
      </c>
      <c r="BP91" s="7">
        <f>IF(A91="","",IF((A91+54)&gt;Model!$B$4,0,MAX(0,Model!$B$6-IF((A91+54)&gt;=Model!$B$11,Model!$B$20,0)-IF(54&lt;Model!$B$15,Model!$B$22,0))/(1-Model!$B$9)/(1+Model!$B$18)^54))</f>
        <v/>
      </c>
      <c r="BQ91" s="7">
        <f>IF(A91="","",IF((A91+55)&gt;Model!$B$4,0,MAX(0,Model!$B$6-IF((A91+55)&gt;=Model!$B$11,Model!$B$20,0)-IF(55&lt;Model!$B$15,Model!$B$22,0))/(1-Model!$B$9)/(1+Model!$B$18)^55))</f>
        <v/>
      </c>
      <c r="BR91" s="7">
        <f>IF(A91="","",IF((A91+56)&gt;Model!$B$4,0,MAX(0,Model!$B$6-IF((A91+56)&gt;=Model!$B$11,Model!$B$20,0)-IF(56&lt;Model!$B$15,Model!$B$22,0))/(1-Model!$B$9)/(1+Model!$B$18)^56))</f>
        <v/>
      </c>
      <c r="BS91" s="7">
        <f>IF(A91="","",IF((A91+57)&gt;Model!$B$4,0,MAX(0,Model!$B$6-IF((A91+57)&gt;=Model!$B$11,Model!$B$20,0)-IF(57&lt;Model!$B$15,Model!$B$22,0))/(1-Model!$B$9)/(1+Model!$B$18)^57))</f>
        <v/>
      </c>
      <c r="BT91" s="7">
        <f>IF(A91="","",IF((A91+58)&gt;Model!$B$4,0,MAX(0,Model!$B$6-IF((A91+58)&gt;=Model!$B$11,Model!$B$20,0)-IF(58&lt;Model!$B$15,Model!$B$22,0))/(1-Model!$B$9)/(1+Model!$B$18)^58))</f>
        <v/>
      </c>
      <c r="BU91" s="7">
        <f>IF(A91="","",IF((A91+59)&gt;Model!$B$4,0,MAX(0,Model!$B$6-IF((A91+59)&gt;=Model!$B$11,Model!$B$20,0)-IF(59&lt;Model!$B$15,Model!$B$22,0))/(1-Model!$B$9)/(1+Model!$B$18)^59))</f>
        <v/>
      </c>
      <c r="BV91" s="7">
        <f>IF(A91="","",IF((A91+60)&gt;Model!$B$4,0,MAX(0,Model!$B$6-IF((A91+60)&gt;=Model!$B$11,Model!$B$20,0)-IF(60&lt;Model!$B$15,Model!$B$22,0))/(1-Model!$B$9)/(1+Model!$B$18)^60))</f>
        <v/>
      </c>
      <c r="BW91" s="7">
        <f>IF(A91="","",IF((A91+61)&gt;Model!$B$4,0,MAX(0,Model!$B$6-IF((A91+61)&gt;=Model!$B$11,Model!$B$20,0)-IF(61&lt;Model!$B$15,Model!$B$22,0))/(1-Model!$B$9)/(1+Model!$B$18)^61))</f>
        <v/>
      </c>
      <c r="BX91" s="7">
        <f>IF(A91="","",IF((A91+62)&gt;Model!$B$4,0,MAX(0,Model!$B$6-IF((A91+62)&gt;=Model!$B$11,Model!$B$20,0)-IF(62&lt;Model!$B$15,Model!$B$22,0))/(1-Model!$B$9)/(1+Model!$B$18)^62))</f>
        <v/>
      </c>
      <c r="BY91" s="7">
        <f>IF(A91="","",IF((A91+63)&gt;Model!$B$4,0,MAX(0,Model!$B$6-IF((A91+63)&gt;=Model!$B$11,Model!$B$20,0)-IF(63&lt;Model!$B$15,Model!$B$22,0))/(1-Model!$B$9)/(1+Model!$B$18)^63))</f>
        <v/>
      </c>
      <c r="BZ91" s="7">
        <f>IF(A91="","",IF((A91+64)&gt;Model!$B$4,0,MAX(0,Model!$B$6-IF((A91+64)&gt;=Model!$B$11,Model!$B$20,0)-IF(64&lt;Model!$B$15,Model!$B$22,0))/(1-Model!$B$9)/(1+Model!$B$18)^64))</f>
        <v/>
      </c>
      <c r="CA91" s="7">
        <f>IF(A91="","",IF((A91+65)&gt;Model!$B$4,0,MAX(0,Model!$B$6-IF((A91+65)&gt;=Model!$B$11,Model!$B$20,0)-IF(65&lt;Model!$B$15,Model!$B$22,0))/(1-Model!$B$9)/(1+Model!$B$18)^65))</f>
        <v/>
      </c>
      <c r="CB91" s="7">
        <f>IF(A91="","",IF((A91+66)&gt;Model!$B$4,0,MAX(0,Model!$B$6-IF((A91+66)&gt;=Model!$B$11,Model!$B$20,0)-IF(66&lt;Model!$B$15,Model!$B$22,0))/(1-Model!$B$9)/(1+Model!$B$18)^66))</f>
        <v/>
      </c>
      <c r="CC91" s="7">
        <f>IF(A91="","",IF((A91+67)&gt;Model!$B$4,0,MAX(0,Model!$B$6-IF((A91+67)&gt;=Model!$B$11,Model!$B$20,0)-IF(67&lt;Model!$B$15,Model!$B$22,0))/(1-Model!$B$9)/(1+Model!$B$18)^67))</f>
        <v/>
      </c>
      <c r="CD91" s="7">
        <f>IF(A91="","",IF((A91+68)&gt;Model!$B$4,0,MAX(0,Model!$B$6-IF((A91+68)&gt;=Model!$B$11,Model!$B$20,0)-IF(68&lt;Model!$B$15,Model!$B$22,0))/(1-Model!$B$9)/(1+Model!$B$18)^68))</f>
        <v/>
      </c>
      <c r="CE91" s="7">
        <f>IF(A91="","",IF((A91+69)&gt;Model!$B$4,0,MAX(0,Model!$B$6-IF((A91+69)&gt;=Model!$B$11,Model!$B$20,0)-IF(69&lt;Model!$B$15,Model!$B$22,0))/(1-Model!$B$9)/(1+Model!$B$18)^69))</f>
        <v/>
      </c>
      <c r="CF91" s="7">
        <f>IF(A91="","",IF((A91+70)&gt;Model!$B$4,0,MAX(0,Model!$B$6-IF((A91+70)&gt;=Model!$B$11,Model!$B$20,0)-IF(70&lt;Model!$B$15,Model!$B$22,0))/(1-Model!$B$9)/(1+Model!$B$18)^70))</f>
        <v/>
      </c>
      <c r="CG91" s="7">
        <f>IF(A91="","",IF((A91+71)&gt;Model!$B$4,0,MAX(0,Model!$B$6-IF((A91+71)&gt;=Model!$B$11,Model!$B$20,0)-IF(71&lt;Model!$B$15,Model!$B$22,0))/(1-Model!$B$9)/(1+Model!$B$18)^71))</f>
        <v/>
      </c>
      <c r="CH91" s="7">
        <f>IF(A91="","",IF((A91+72)&gt;Model!$B$4,0,MAX(0,Model!$B$6-IF((A91+72)&gt;=Model!$B$11,Model!$B$20,0)-IF(72&lt;Model!$B$15,Model!$B$22,0))/(1-Model!$B$9)/(1+Model!$B$18)^72))</f>
        <v/>
      </c>
      <c r="CI91" s="7">
        <f>IF(A91="","",IF((A91+73)&gt;Model!$B$4,0,MAX(0,Model!$B$6-IF((A91+73)&gt;=Model!$B$11,Model!$B$20,0)-IF(73&lt;Model!$B$15,Model!$B$22,0))/(1-Model!$B$9)/(1+Model!$B$18)^73))</f>
        <v/>
      </c>
      <c r="CJ91" s="7">
        <f>IF(A91="","",IF((A91+74)&gt;Model!$B$4,0,MAX(0,Model!$B$6-IF((A91+74)&gt;=Model!$B$11,Model!$B$20,0)-IF(74&lt;Model!$B$15,Model!$B$22,0))/(1-Model!$B$9)/(1+Model!$B$18)^74))</f>
        <v/>
      </c>
      <c r="CK91" s="7">
        <f>IF(A91="","",IF((A91+75)&gt;Model!$B$4,0,MAX(0,Model!$B$6-IF((A91+75)&gt;=Model!$B$11,Model!$B$20,0)-IF(75&lt;Model!$B$15,Model!$B$22,0))/(1-Model!$B$9)/(1+Model!$B$18)^75))</f>
        <v/>
      </c>
      <c r="CL91" s="7">
        <f>IF(A91="","",IF((A91+76)&gt;Model!$B$4,0,MAX(0,Model!$B$6-IF((A91+76)&gt;=Model!$B$11,Model!$B$20,0)-IF(76&lt;Model!$B$15,Model!$B$22,0))/(1-Model!$B$9)/(1+Model!$B$18)^76))</f>
        <v/>
      </c>
      <c r="CM91" s="7">
        <f>IF(A91="","",IF((A91+77)&gt;Model!$B$4,0,MAX(0,Model!$B$6-IF((A91+77)&gt;=Model!$B$11,Model!$B$20,0)-IF(77&lt;Model!$B$15,Model!$B$22,0))/(1-Model!$B$9)/(1+Model!$B$18)^77))</f>
        <v/>
      </c>
      <c r="CN91" s="7">
        <f>IF(A91="","",IF((A91+78)&gt;Model!$B$4,0,MAX(0,Model!$B$6-IF((A91+78)&gt;=Model!$B$11,Model!$B$20,0)-IF(78&lt;Model!$B$15,Model!$B$22,0))/(1-Model!$B$9)/(1+Model!$B$18)^78))</f>
        <v/>
      </c>
      <c r="CO91" s="7">
        <f>IF(A91="","",IF((A91+79)&gt;Model!$B$4,0,MAX(0,Model!$B$6-IF((A91+79)&gt;=Model!$B$11,Model!$B$20,0)-IF(79&lt;Model!$B$15,Model!$B$22,0))/(1-Model!$B$9)/(1+Model!$B$18)^79))</f>
        <v/>
      </c>
      <c r="CP91" s="7">
        <f>IF(A91="","",IF((A91+80)&gt;Model!$B$4,0,MAX(0,Model!$B$6-IF((A91+80)&gt;=Model!$B$11,Model!$B$20,0)-IF(80&lt;Model!$B$15,Model!$B$22,0))/(1-Model!$B$9)/(1+Model!$B$18)^80))</f>
        <v/>
      </c>
      <c r="CQ91" s="7">
        <f>IF(A91="","",IF((A91+81)&gt;Model!$B$4,0,MAX(0,Model!$B$6-IF((A91+81)&gt;=Model!$B$11,Model!$B$20,0)-IF(81&lt;Model!$B$15,Model!$B$22,0))/(1-Model!$B$9)/(1+Model!$B$18)^81))</f>
        <v/>
      </c>
      <c r="CR91" s="7">
        <f>IF(A91="","",IF((A91+82)&gt;Model!$B$4,0,MAX(0,Model!$B$6-IF((A91+82)&gt;=Model!$B$11,Model!$B$20,0)-IF(82&lt;Model!$B$15,Model!$B$22,0))/(1-Model!$B$9)/(1+Model!$B$18)^82))</f>
        <v/>
      </c>
      <c r="CS91" s="7">
        <f>IF(A91="","",IF((A91+83)&gt;Model!$B$4,0,MAX(0,Model!$B$6-IF((A91+83)&gt;=Model!$B$11,Model!$B$20,0)-IF(83&lt;Model!$B$15,Model!$B$22,0))/(1-Model!$B$9)/(1+Model!$B$18)^83))</f>
        <v/>
      </c>
      <c r="CT91" s="7">
        <f>IF(A91="","",IF((A91+84)&gt;Model!$B$4,0,MAX(0,Model!$B$6-IF((A91+84)&gt;=Model!$B$11,Model!$B$20,0)-IF(84&lt;Model!$B$15,Model!$B$22,0))/(1-Model!$B$9)/(1+Model!$B$18)^84))</f>
        <v/>
      </c>
      <c r="CU91" s="7">
        <f>IF(A91="","",IF((A91+85)&gt;Model!$B$4,0,MAX(0,Model!$B$6-IF((A91+85)&gt;=Model!$B$11,Model!$B$20,0)-IF(85&lt;Model!$B$15,Model!$B$22,0))/(1-Model!$B$9)/(1+Model!$B$18)^85))</f>
        <v/>
      </c>
      <c r="CV91" s="7">
        <f>IF(A91="","",IF((A91+86)&gt;Model!$B$4,0,MAX(0,Model!$B$6-IF((A91+86)&gt;=Model!$B$11,Model!$B$20,0)-IF(86&lt;Model!$B$15,Model!$B$22,0))/(1-Model!$B$9)/(1+Model!$B$18)^86))</f>
        <v/>
      </c>
      <c r="CW91" s="7">
        <f>IF(A91="","",IF((A91+87)&gt;Model!$B$4,0,MAX(0,Model!$B$6-IF((A91+87)&gt;=Model!$B$11,Model!$B$20,0)-IF(87&lt;Model!$B$15,Model!$B$22,0))/(1-Model!$B$9)/(1+Model!$B$18)^87))</f>
        <v/>
      </c>
      <c r="CX91" s="7">
        <f>IF(A91="","",IF((A91+88)&gt;Model!$B$4,0,MAX(0,Model!$B$6-IF((A91+88)&gt;=Model!$B$11,Model!$B$20,0)-IF(88&lt;Model!$B$15,Model!$B$22,0))/(1-Model!$B$9)/(1+Model!$B$18)^88))</f>
        <v/>
      </c>
      <c r="CY91" s="7">
        <f>IF(A91="","",IF((A91+89)&gt;Model!$B$4,0,MAX(0,Model!$B$6-IF((A91+89)&gt;=Model!$B$11,Model!$B$20,0)-IF(89&lt;Model!$B$15,Model!$B$22,0))/(1-Model!$B$9)/(1+Model!$B$18)^89))</f>
        <v/>
      </c>
      <c r="CZ91" s="7">
        <f>IF(A91="","",IF((A91+90)&gt;Model!$B$4,0,MAX(0,Model!$B$6-IF((A91+90)&gt;=Model!$B$11,Model!$B$20,0)-IF(90&lt;Model!$B$15,Model!$B$22,0))/(1-Model!$B$9)/(1+Model!$B$18)^90))</f>
        <v/>
      </c>
      <c r="DA91" s="7">
        <f>IF(A91="","",IF((A91+91)&gt;Model!$B$4,0,MAX(0,Model!$B$6-IF((A91+91)&gt;=Model!$B$11,Model!$B$20,0)-IF(91&lt;Model!$B$15,Model!$B$22,0))/(1-Model!$B$9)/(1+Model!$B$18)^91))</f>
        <v/>
      </c>
      <c r="DB91" s="7">
        <f>IF(A91="","",IF((A91+92)&gt;Model!$B$4,0,MAX(0,Model!$B$6-IF((A91+92)&gt;=Model!$B$11,Model!$B$20,0)-IF(92&lt;Model!$B$15,Model!$B$22,0))/(1-Model!$B$9)/(1+Model!$B$18)^92))</f>
        <v/>
      </c>
      <c r="DC91" s="7">
        <f>IF(A91="","",IF((A91+93)&gt;Model!$B$4,0,MAX(0,Model!$B$6-IF((A91+93)&gt;=Model!$B$11,Model!$B$20,0)-IF(93&lt;Model!$B$15,Model!$B$22,0))/(1-Model!$B$9)/(1+Model!$B$18)^93))</f>
        <v/>
      </c>
      <c r="DD91" s="7">
        <f>IF(A91="","",IF((A91+94)&gt;Model!$B$4,0,MAX(0,Model!$B$6-IF((A91+94)&gt;=Model!$B$11,Model!$B$20,0)-IF(94&lt;Model!$B$15,Model!$B$22,0))/(1-Model!$B$9)/(1+Model!$B$18)^94))</f>
        <v/>
      </c>
      <c r="DE91" s="7">
        <f>IF(A91="","",IF((A91+95)&gt;Model!$B$4,0,MAX(0,Model!$B$6-IF((A91+95)&gt;=Model!$B$11,Model!$B$20,0)-IF(95&lt;Model!$B$15,Model!$B$22,0))/(1-Model!$B$9)/(1+Model!$B$18)^95))</f>
        <v/>
      </c>
      <c r="DF91" s="7">
        <f>IF(A91="","",IF((A91+96)&gt;Model!$B$4,0,MAX(0,Model!$B$6-IF((A91+96)&gt;=Model!$B$11,Model!$B$20,0)-IF(96&lt;Model!$B$15,Model!$B$22,0))/(1-Model!$B$9)/(1+Model!$B$18)^96))</f>
        <v/>
      </c>
      <c r="DG91" s="7">
        <f>IF(A91="","",IF((A91+97)&gt;Model!$B$4,0,MAX(0,Model!$B$6-IF((A91+97)&gt;=Model!$B$11,Model!$B$20,0)-IF(97&lt;Model!$B$15,Model!$B$22,0))/(1-Model!$B$9)/(1+Model!$B$18)^97))</f>
        <v/>
      </c>
      <c r="DH91" s="7">
        <f>IF(A91="","",IF((A91+98)&gt;Model!$B$4,0,MAX(0,Model!$B$6-IF((A91+98)&gt;=Model!$B$11,Model!$B$20,0)-IF(98&lt;Model!$B$15,Model!$B$22,0))/(1-Model!$B$9)/(1+Model!$B$18)^98))</f>
        <v/>
      </c>
      <c r="DI91" s="7">
        <f>IF(A91="","",IF((A91+99)&gt;Model!$B$4,0,MAX(0,Model!$B$6-IF((A91+99)&gt;=Model!$B$11,Model!$B$20,0)-IF(99&lt;Model!$B$15,Model!$B$22,0))/(1-Model!$B$9)/(1+Model!$B$18)^99))</f>
        <v/>
      </c>
      <c r="DJ91" s="7">
        <f>IF(A91="","",IF((A91+100)&gt;Model!$B$4,0,MAX(0,Model!$B$6-IF((A91+100)&gt;=Model!$B$11,Model!$B$20,0)-IF(100&lt;Model!$B$15,Model!$B$22,0))/(1-Model!$B$9)/(1+Model!$B$18)^100))</f>
        <v/>
      </c>
      <c r="DK91" s="7">
        <f>IF(A91="","",IF((A91+101)&gt;Model!$B$4,0,MAX(0,Model!$B$6-IF((A91+101)&gt;=Model!$B$11,Model!$B$20,0)-IF(101&lt;Model!$B$15,Model!$B$22,0))/(1-Model!$B$9)/(1+Model!$B$18)^101))</f>
        <v/>
      </c>
      <c r="DL91" s="7">
        <f>IF(A91="","",IF((A91+102)&gt;Model!$B$4,0,MAX(0,Model!$B$6-IF((A91+102)&gt;=Model!$B$11,Model!$B$20,0)-IF(102&lt;Model!$B$15,Model!$B$22,0))/(1-Model!$B$9)/(1+Model!$B$18)^102))</f>
        <v/>
      </c>
      <c r="DM91" s="7">
        <f>IF(A91="","",IF((A91+103)&gt;Model!$B$4,0,MAX(0,Model!$B$6-IF((A91+103)&gt;=Model!$B$11,Model!$B$20,0)-IF(103&lt;Model!$B$15,Model!$B$22,0))/(1-Model!$B$9)/(1+Model!$B$18)^103))</f>
        <v/>
      </c>
      <c r="DN91" s="7">
        <f>IF(A91="","",IF((A91+104)&gt;Model!$B$4,0,MAX(0,Model!$B$6-IF((A91+104)&gt;=Model!$B$11,Model!$B$20,0)-IF(104&lt;Model!$B$15,Model!$B$22,0))/(1-Model!$B$9)/(1+Model!$B$18)^104))</f>
        <v/>
      </c>
      <c r="DO91" s="7">
        <f>IF(A91="","",IF((A91+105)&gt;Model!$B$4,0,MAX(0,Model!$B$6-IF((A91+105)&gt;=Model!$B$11,Model!$B$20,0)-IF(105&lt;Model!$B$15,Model!$B$22,0))/(1-Model!$B$9)/(1+Model!$B$18)^105))</f>
        <v/>
      </c>
      <c r="DP91" s="7">
        <f>IF(A91="","",IF((A91+106)&gt;Model!$B$4,0,MAX(0,Model!$B$6-IF((A91+106)&gt;=Model!$B$11,Model!$B$20,0)-IF(106&lt;Model!$B$15,Model!$B$22,0))/(1-Model!$B$9)/(1+Model!$B$18)^106))</f>
        <v/>
      </c>
      <c r="DQ91" s="7">
        <f>IF(A91="","",IF((A91+107)&gt;Model!$B$4,0,MAX(0,Model!$B$6-IF((A91+107)&gt;=Model!$B$11,Model!$B$20,0)-IF(107&lt;Model!$B$15,Model!$B$22,0))/(1-Model!$B$9)/(1+Model!$B$18)^107))</f>
        <v/>
      </c>
      <c r="DR91" s="7">
        <f>IF(A91="","",IF((A91+108)&gt;Model!$B$4,0,MAX(0,Model!$B$6-IF((A91+108)&gt;=Model!$B$11,Model!$B$20,0)-IF(108&lt;Model!$B$15,Model!$B$22,0))/(1-Model!$B$9)/(1+Model!$B$18)^108))</f>
        <v/>
      </c>
      <c r="DS91" s="7">
        <f>IF(A91="","",IF((A91+109)&gt;Model!$B$4,0,MAX(0,Model!$B$6-IF((A91+109)&gt;=Model!$B$11,Model!$B$20,0)-IF(109&lt;Model!$B$15,Model!$B$22,0))/(1-Model!$B$9)/(1+Model!$B$18)^109))</f>
        <v/>
      </c>
      <c r="DT91" s="7">
        <f>IF(A91="","",IF((A91+110)&gt;Model!$B$4,0,MAX(0,Model!$B$6-IF((A91+110)&gt;=Model!$B$11,Model!$B$20,0)-IF(110&lt;Model!$B$15,Model!$B$22,0))/(1-Model!$B$9)/(1+Model!$B$18)^110))</f>
        <v/>
      </c>
      <c r="DU91" s="7">
        <f>IF(A91="","",IF((A91+111)&gt;Model!$B$4,0,MAX(0,Model!$B$6-IF((A91+111)&gt;=Model!$B$11,Model!$B$20,0)-IF(111&lt;Model!$B$15,Model!$B$22,0))/(1-Model!$B$9)/(1+Model!$B$18)^111))</f>
        <v/>
      </c>
      <c r="DV91" s="7">
        <f>IF(A91="","",IF((A91+112)&gt;Model!$B$4,0,MAX(0,Model!$B$6-IF((A91+112)&gt;=Model!$B$11,Model!$B$20,0)-IF(112&lt;Model!$B$15,Model!$B$22,0))/(1-Model!$B$9)/(1+Model!$B$18)^112))</f>
        <v/>
      </c>
      <c r="DW91" s="7">
        <f>IF(A91="","",IF((A91+113)&gt;Model!$B$4,0,MAX(0,Model!$B$6-IF((A91+113)&gt;=Model!$B$11,Model!$B$20,0)-IF(113&lt;Model!$B$15,Model!$B$22,0))/(1-Model!$B$9)/(1+Model!$B$18)^113))</f>
        <v/>
      </c>
      <c r="DX91" s="7">
        <f>IF(A91="","",IF((A91+114)&gt;Model!$B$4,0,MAX(0,Model!$B$6-IF((A91+114)&gt;=Model!$B$11,Model!$B$20,0)-IF(114&lt;Model!$B$15,Model!$B$22,0))/(1-Model!$B$9)/(1+Model!$B$18)^114))</f>
        <v/>
      </c>
      <c r="DY91" s="7">
        <f>IF(A91="","",IF((A91+115)&gt;Model!$B$4,0,MAX(0,Model!$B$6-IF((A91+115)&gt;=Model!$B$11,Model!$B$20,0)-IF(115&lt;Model!$B$15,Model!$B$22,0))/(1-Model!$B$9)/(1+Model!$B$18)^115))</f>
        <v/>
      </c>
      <c r="DZ91" s="7">
        <f>IF(A91="","",IF((A91+116)&gt;Model!$B$4,0,MAX(0,Model!$B$6-IF((A91+116)&gt;=Model!$B$11,Model!$B$20,0)-IF(116&lt;Model!$B$15,Model!$B$22,0))/(1-Model!$B$9)/(1+Model!$B$18)^116))</f>
        <v/>
      </c>
      <c r="EA91" s="7">
        <f>IF(A91="","",IF((A91+117)&gt;Model!$B$4,0,MAX(0,Model!$B$6-IF((A91+117)&gt;=Model!$B$11,Model!$B$20,0)-IF(117&lt;Model!$B$15,Model!$B$22,0))/(1-Model!$B$9)/(1+Model!$B$18)^117))</f>
        <v/>
      </c>
      <c r="EB91" s="7">
        <f>IF(A91="","",IF((A91+118)&gt;Model!$B$4,0,MAX(0,Model!$B$6-IF((A91+118)&gt;=Model!$B$11,Model!$B$20,0)-IF(118&lt;Model!$B$15,Model!$B$22,0))/(1-Model!$B$9)/(1+Model!$B$18)^118))</f>
        <v/>
      </c>
      <c r="EC91" s="7">
        <f>IF(A91="","",IF((A91+119)&gt;Model!$B$4,0,MAX(0,Model!$B$6-IF((A91+119)&gt;=Model!$B$11,Model!$B$20,0)-IF(119&lt;Model!$B$15,Model!$B$22,0))/(1-Model!$B$9)/(1+Model!$B$18)^119))</f>
        <v/>
      </c>
      <c r="ED91" s="7">
        <f>IF(A91="","",IF((A91+120)&gt;Model!$B$4,0,MAX(0,Model!$B$6-IF((A91+120)&gt;=Model!$B$11,Model!$B$20,0)-IF(120&lt;Model!$B$15,Model!$B$22,0))/(1-Model!$B$9)/(1+Model!$B$18)^120))</f>
        <v/>
      </c>
    </row>
    <row r="92">
      <c r="A92">
        <f>IF(Model!$B$10+ROW()-2&lt;=Model!$B$4,Model!$B$10+ROW()-2,"")</f>
        <v/>
      </c>
      <c r="B92">
        <f>IF(A92="","",A92-Model!$B$10)</f>
        <v/>
      </c>
      <c r="C92" s="7">
        <f>IF(A92="","",Model!$B$5*(1+Model!$B$18)^B92)</f>
        <v/>
      </c>
      <c r="D92" s="7">
        <f>IF(A92="","",SUM(N92:ED92))</f>
        <v/>
      </c>
      <c r="E92" s="7">
        <f>IF(A92="","",IF(A92&gt;=Model!$B$11,Model!$B$20,0))</f>
        <v/>
      </c>
      <c r="F92" s="7">
        <f>IF(A92="","",IF(Model!$B$15&gt;0,Model!$B$22,0))</f>
        <v/>
      </c>
      <c r="G92" s="7">
        <f>IF(A92="","",E92+F92)</f>
        <v/>
      </c>
      <c r="H92" s="7">
        <f>IF(A92="","",MAX(0,Model!$B$6-G92))</f>
        <v/>
      </c>
      <c r="I92" s="7">
        <f>IF(A92="","",H92/(1-Model!$B$9))</f>
        <v/>
      </c>
      <c r="J92" s="7">
        <f>IF(A92="","",C92-D92)</f>
        <v/>
      </c>
      <c r="K92">
        <f>IF(A92="","",C92&gt;=D92)</f>
        <v/>
      </c>
      <c r="L92" s="7">
        <f>IF(A92="","",IF(A92&gt;=Model!$B$11,Model!$B$19*(1+Model!$B$13)^B92,0))</f>
        <v/>
      </c>
      <c r="M92" s="7">
        <f>IF(A92="","",IF(Model!$B$15&gt;0,Model!$B$21*(1+Model!$B$13)^B92,0))</f>
        <v/>
      </c>
      <c r="N92" s="7">
        <f>IF(A92="","",IF((A92+0)&gt;Model!$B$4,0,MAX(0,Model!$B$6-IF((A92+0)&gt;=Model!$B$11,Model!$B$20,0)-IF(0&lt;Model!$B$15,Model!$B$22,0))/(1-Model!$B$9)/(1+Model!$B$18)^0))</f>
        <v/>
      </c>
      <c r="O92" s="7">
        <f>IF(A92="","",IF((A92+1)&gt;Model!$B$4,0,MAX(0,Model!$B$6-IF((A92+1)&gt;=Model!$B$11,Model!$B$20,0)-IF(1&lt;Model!$B$15,Model!$B$22,0))/(1-Model!$B$9)/(1+Model!$B$18)^1))</f>
        <v/>
      </c>
      <c r="P92" s="7">
        <f>IF(A92="","",IF((A92+2)&gt;Model!$B$4,0,MAX(0,Model!$B$6-IF((A92+2)&gt;=Model!$B$11,Model!$B$20,0)-IF(2&lt;Model!$B$15,Model!$B$22,0))/(1-Model!$B$9)/(1+Model!$B$18)^2))</f>
        <v/>
      </c>
      <c r="Q92" s="7">
        <f>IF(A92="","",IF((A92+3)&gt;Model!$B$4,0,MAX(0,Model!$B$6-IF((A92+3)&gt;=Model!$B$11,Model!$B$20,0)-IF(3&lt;Model!$B$15,Model!$B$22,0))/(1-Model!$B$9)/(1+Model!$B$18)^3))</f>
        <v/>
      </c>
      <c r="R92" s="7">
        <f>IF(A92="","",IF((A92+4)&gt;Model!$B$4,0,MAX(0,Model!$B$6-IF((A92+4)&gt;=Model!$B$11,Model!$B$20,0)-IF(4&lt;Model!$B$15,Model!$B$22,0))/(1-Model!$B$9)/(1+Model!$B$18)^4))</f>
        <v/>
      </c>
      <c r="S92" s="7">
        <f>IF(A92="","",IF((A92+5)&gt;Model!$B$4,0,MAX(0,Model!$B$6-IF((A92+5)&gt;=Model!$B$11,Model!$B$20,0)-IF(5&lt;Model!$B$15,Model!$B$22,0))/(1-Model!$B$9)/(1+Model!$B$18)^5))</f>
        <v/>
      </c>
      <c r="T92" s="7">
        <f>IF(A92="","",IF((A92+6)&gt;Model!$B$4,0,MAX(0,Model!$B$6-IF((A92+6)&gt;=Model!$B$11,Model!$B$20,0)-IF(6&lt;Model!$B$15,Model!$B$22,0))/(1-Model!$B$9)/(1+Model!$B$18)^6))</f>
        <v/>
      </c>
      <c r="U92" s="7">
        <f>IF(A92="","",IF((A92+7)&gt;Model!$B$4,0,MAX(0,Model!$B$6-IF((A92+7)&gt;=Model!$B$11,Model!$B$20,0)-IF(7&lt;Model!$B$15,Model!$B$22,0))/(1-Model!$B$9)/(1+Model!$B$18)^7))</f>
        <v/>
      </c>
      <c r="V92" s="7">
        <f>IF(A92="","",IF((A92+8)&gt;Model!$B$4,0,MAX(0,Model!$B$6-IF((A92+8)&gt;=Model!$B$11,Model!$B$20,0)-IF(8&lt;Model!$B$15,Model!$B$22,0))/(1-Model!$B$9)/(1+Model!$B$18)^8))</f>
        <v/>
      </c>
      <c r="W92" s="7">
        <f>IF(A92="","",IF((A92+9)&gt;Model!$B$4,0,MAX(0,Model!$B$6-IF((A92+9)&gt;=Model!$B$11,Model!$B$20,0)-IF(9&lt;Model!$B$15,Model!$B$22,0))/(1-Model!$B$9)/(1+Model!$B$18)^9))</f>
        <v/>
      </c>
      <c r="X92" s="7">
        <f>IF(A92="","",IF((A92+10)&gt;Model!$B$4,0,MAX(0,Model!$B$6-IF((A92+10)&gt;=Model!$B$11,Model!$B$20,0)-IF(10&lt;Model!$B$15,Model!$B$22,0))/(1-Model!$B$9)/(1+Model!$B$18)^10))</f>
        <v/>
      </c>
      <c r="Y92" s="7">
        <f>IF(A92="","",IF((A92+11)&gt;Model!$B$4,0,MAX(0,Model!$B$6-IF((A92+11)&gt;=Model!$B$11,Model!$B$20,0)-IF(11&lt;Model!$B$15,Model!$B$22,0))/(1-Model!$B$9)/(1+Model!$B$18)^11))</f>
        <v/>
      </c>
      <c r="Z92" s="7">
        <f>IF(A92="","",IF((A92+12)&gt;Model!$B$4,0,MAX(0,Model!$B$6-IF((A92+12)&gt;=Model!$B$11,Model!$B$20,0)-IF(12&lt;Model!$B$15,Model!$B$22,0))/(1-Model!$B$9)/(1+Model!$B$18)^12))</f>
        <v/>
      </c>
      <c r="AA92" s="7">
        <f>IF(A92="","",IF((A92+13)&gt;Model!$B$4,0,MAX(0,Model!$B$6-IF((A92+13)&gt;=Model!$B$11,Model!$B$20,0)-IF(13&lt;Model!$B$15,Model!$B$22,0))/(1-Model!$B$9)/(1+Model!$B$18)^13))</f>
        <v/>
      </c>
      <c r="AB92" s="7">
        <f>IF(A92="","",IF((A92+14)&gt;Model!$B$4,0,MAX(0,Model!$B$6-IF((A92+14)&gt;=Model!$B$11,Model!$B$20,0)-IF(14&lt;Model!$B$15,Model!$B$22,0))/(1-Model!$B$9)/(1+Model!$B$18)^14))</f>
        <v/>
      </c>
      <c r="AC92" s="7">
        <f>IF(A92="","",IF((A92+15)&gt;Model!$B$4,0,MAX(0,Model!$B$6-IF((A92+15)&gt;=Model!$B$11,Model!$B$20,0)-IF(15&lt;Model!$B$15,Model!$B$22,0))/(1-Model!$B$9)/(1+Model!$B$18)^15))</f>
        <v/>
      </c>
      <c r="AD92" s="7">
        <f>IF(A92="","",IF((A92+16)&gt;Model!$B$4,0,MAX(0,Model!$B$6-IF((A92+16)&gt;=Model!$B$11,Model!$B$20,0)-IF(16&lt;Model!$B$15,Model!$B$22,0))/(1-Model!$B$9)/(1+Model!$B$18)^16))</f>
        <v/>
      </c>
      <c r="AE92" s="7">
        <f>IF(A92="","",IF((A92+17)&gt;Model!$B$4,0,MAX(0,Model!$B$6-IF((A92+17)&gt;=Model!$B$11,Model!$B$20,0)-IF(17&lt;Model!$B$15,Model!$B$22,0))/(1-Model!$B$9)/(1+Model!$B$18)^17))</f>
        <v/>
      </c>
      <c r="AF92" s="7">
        <f>IF(A92="","",IF((A92+18)&gt;Model!$B$4,0,MAX(0,Model!$B$6-IF((A92+18)&gt;=Model!$B$11,Model!$B$20,0)-IF(18&lt;Model!$B$15,Model!$B$22,0))/(1-Model!$B$9)/(1+Model!$B$18)^18))</f>
        <v/>
      </c>
      <c r="AG92" s="7">
        <f>IF(A92="","",IF((A92+19)&gt;Model!$B$4,0,MAX(0,Model!$B$6-IF((A92+19)&gt;=Model!$B$11,Model!$B$20,0)-IF(19&lt;Model!$B$15,Model!$B$22,0))/(1-Model!$B$9)/(1+Model!$B$18)^19))</f>
        <v/>
      </c>
      <c r="AH92" s="7">
        <f>IF(A92="","",IF((A92+20)&gt;Model!$B$4,0,MAX(0,Model!$B$6-IF((A92+20)&gt;=Model!$B$11,Model!$B$20,0)-IF(20&lt;Model!$B$15,Model!$B$22,0))/(1-Model!$B$9)/(1+Model!$B$18)^20))</f>
        <v/>
      </c>
      <c r="AI92" s="7">
        <f>IF(A92="","",IF((A92+21)&gt;Model!$B$4,0,MAX(0,Model!$B$6-IF((A92+21)&gt;=Model!$B$11,Model!$B$20,0)-IF(21&lt;Model!$B$15,Model!$B$22,0))/(1-Model!$B$9)/(1+Model!$B$18)^21))</f>
        <v/>
      </c>
      <c r="AJ92" s="7">
        <f>IF(A92="","",IF((A92+22)&gt;Model!$B$4,0,MAX(0,Model!$B$6-IF((A92+22)&gt;=Model!$B$11,Model!$B$20,0)-IF(22&lt;Model!$B$15,Model!$B$22,0))/(1-Model!$B$9)/(1+Model!$B$18)^22))</f>
        <v/>
      </c>
      <c r="AK92" s="7">
        <f>IF(A92="","",IF((A92+23)&gt;Model!$B$4,0,MAX(0,Model!$B$6-IF((A92+23)&gt;=Model!$B$11,Model!$B$20,0)-IF(23&lt;Model!$B$15,Model!$B$22,0))/(1-Model!$B$9)/(1+Model!$B$18)^23))</f>
        <v/>
      </c>
      <c r="AL92" s="7">
        <f>IF(A92="","",IF((A92+24)&gt;Model!$B$4,0,MAX(0,Model!$B$6-IF((A92+24)&gt;=Model!$B$11,Model!$B$20,0)-IF(24&lt;Model!$B$15,Model!$B$22,0))/(1-Model!$B$9)/(1+Model!$B$18)^24))</f>
        <v/>
      </c>
      <c r="AM92" s="7">
        <f>IF(A92="","",IF((A92+25)&gt;Model!$B$4,0,MAX(0,Model!$B$6-IF((A92+25)&gt;=Model!$B$11,Model!$B$20,0)-IF(25&lt;Model!$B$15,Model!$B$22,0))/(1-Model!$B$9)/(1+Model!$B$18)^25))</f>
        <v/>
      </c>
      <c r="AN92" s="7">
        <f>IF(A92="","",IF((A92+26)&gt;Model!$B$4,0,MAX(0,Model!$B$6-IF((A92+26)&gt;=Model!$B$11,Model!$B$20,0)-IF(26&lt;Model!$B$15,Model!$B$22,0))/(1-Model!$B$9)/(1+Model!$B$18)^26))</f>
        <v/>
      </c>
      <c r="AO92" s="7">
        <f>IF(A92="","",IF((A92+27)&gt;Model!$B$4,0,MAX(0,Model!$B$6-IF((A92+27)&gt;=Model!$B$11,Model!$B$20,0)-IF(27&lt;Model!$B$15,Model!$B$22,0))/(1-Model!$B$9)/(1+Model!$B$18)^27))</f>
        <v/>
      </c>
      <c r="AP92" s="7">
        <f>IF(A92="","",IF((A92+28)&gt;Model!$B$4,0,MAX(0,Model!$B$6-IF((A92+28)&gt;=Model!$B$11,Model!$B$20,0)-IF(28&lt;Model!$B$15,Model!$B$22,0))/(1-Model!$B$9)/(1+Model!$B$18)^28))</f>
        <v/>
      </c>
      <c r="AQ92" s="7">
        <f>IF(A92="","",IF((A92+29)&gt;Model!$B$4,0,MAX(0,Model!$B$6-IF((A92+29)&gt;=Model!$B$11,Model!$B$20,0)-IF(29&lt;Model!$B$15,Model!$B$22,0))/(1-Model!$B$9)/(1+Model!$B$18)^29))</f>
        <v/>
      </c>
      <c r="AR92" s="7">
        <f>IF(A92="","",IF((A92+30)&gt;Model!$B$4,0,MAX(0,Model!$B$6-IF((A92+30)&gt;=Model!$B$11,Model!$B$20,0)-IF(30&lt;Model!$B$15,Model!$B$22,0))/(1-Model!$B$9)/(1+Model!$B$18)^30))</f>
        <v/>
      </c>
      <c r="AS92" s="7">
        <f>IF(A92="","",IF((A92+31)&gt;Model!$B$4,0,MAX(0,Model!$B$6-IF((A92+31)&gt;=Model!$B$11,Model!$B$20,0)-IF(31&lt;Model!$B$15,Model!$B$22,0))/(1-Model!$B$9)/(1+Model!$B$18)^31))</f>
        <v/>
      </c>
      <c r="AT92" s="7">
        <f>IF(A92="","",IF((A92+32)&gt;Model!$B$4,0,MAX(0,Model!$B$6-IF((A92+32)&gt;=Model!$B$11,Model!$B$20,0)-IF(32&lt;Model!$B$15,Model!$B$22,0))/(1-Model!$B$9)/(1+Model!$B$18)^32))</f>
        <v/>
      </c>
      <c r="AU92" s="7">
        <f>IF(A92="","",IF((A92+33)&gt;Model!$B$4,0,MAX(0,Model!$B$6-IF((A92+33)&gt;=Model!$B$11,Model!$B$20,0)-IF(33&lt;Model!$B$15,Model!$B$22,0))/(1-Model!$B$9)/(1+Model!$B$18)^33))</f>
        <v/>
      </c>
      <c r="AV92" s="7">
        <f>IF(A92="","",IF((A92+34)&gt;Model!$B$4,0,MAX(0,Model!$B$6-IF((A92+34)&gt;=Model!$B$11,Model!$B$20,0)-IF(34&lt;Model!$B$15,Model!$B$22,0))/(1-Model!$B$9)/(1+Model!$B$18)^34))</f>
        <v/>
      </c>
      <c r="AW92" s="7">
        <f>IF(A92="","",IF((A92+35)&gt;Model!$B$4,0,MAX(0,Model!$B$6-IF((A92+35)&gt;=Model!$B$11,Model!$B$20,0)-IF(35&lt;Model!$B$15,Model!$B$22,0))/(1-Model!$B$9)/(1+Model!$B$18)^35))</f>
        <v/>
      </c>
      <c r="AX92" s="7">
        <f>IF(A92="","",IF((A92+36)&gt;Model!$B$4,0,MAX(0,Model!$B$6-IF((A92+36)&gt;=Model!$B$11,Model!$B$20,0)-IF(36&lt;Model!$B$15,Model!$B$22,0))/(1-Model!$B$9)/(1+Model!$B$18)^36))</f>
        <v/>
      </c>
      <c r="AY92" s="7">
        <f>IF(A92="","",IF((A92+37)&gt;Model!$B$4,0,MAX(0,Model!$B$6-IF((A92+37)&gt;=Model!$B$11,Model!$B$20,0)-IF(37&lt;Model!$B$15,Model!$B$22,0))/(1-Model!$B$9)/(1+Model!$B$18)^37))</f>
        <v/>
      </c>
      <c r="AZ92" s="7">
        <f>IF(A92="","",IF((A92+38)&gt;Model!$B$4,0,MAX(0,Model!$B$6-IF((A92+38)&gt;=Model!$B$11,Model!$B$20,0)-IF(38&lt;Model!$B$15,Model!$B$22,0))/(1-Model!$B$9)/(1+Model!$B$18)^38))</f>
        <v/>
      </c>
      <c r="BA92" s="7">
        <f>IF(A92="","",IF((A92+39)&gt;Model!$B$4,0,MAX(0,Model!$B$6-IF((A92+39)&gt;=Model!$B$11,Model!$B$20,0)-IF(39&lt;Model!$B$15,Model!$B$22,0))/(1-Model!$B$9)/(1+Model!$B$18)^39))</f>
        <v/>
      </c>
      <c r="BB92" s="7">
        <f>IF(A92="","",IF((A92+40)&gt;Model!$B$4,0,MAX(0,Model!$B$6-IF((A92+40)&gt;=Model!$B$11,Model!$B$20,0)-IF(40&lt;Model!$B$15,Model!$B$22,0))/(1-Model!$B$9)/(1+Model!$B$18)^40))</f>
        <v/>
      </c>
      <c r="BC92" s="7">
        <f>IF(A92="","",IF((A92+41)&gt;Model!$B$4,0,MAX(0,Model!$B$6-IF((A92+41)&gt;=Model!$B$11,Model!$B$20,0)-IF(41&lt;Model!$B$15,Model!$B$22,0))/(1-Model!$B$9)/(1+Model!$B$18)^41))</f>
        <v/>
      </c>
      <c r="BD92" s="7">
        <f>IF(A92="","",IF((A92+42)&gt;Model!$B$4,0,MAX(0,Model!$B$6-IF((A92+42)&gt;=Model!$B$11,Model!$B$20,0)-IF(42&lt;Model!$B$15,Model!$B$22,0))/(1-Model!$B$9)/(1+Model!$B$18)^42))</f>
        <v/>
      </c>
      <c r="BE92" s="7">
        <f>IF(A92="","",IF((A92+43)&gt;Model!$B$4,0,MAX(0,Model!$B$6-IF((A92+43)&gt;=Model!$B$11,Model!$B$20,0)-IF(43&lt;Model!$B$15,Model!$B$22,0))/(1-Model!$B$9)/(1+Model!$B$18)^43))</f>
        <v/>
      </c>
      <c r="BF92" s="7">
        <f>IF(A92="","",IF((A92+44)&gt;Model!$B$4,0,MAX(0,Model!$B$6-IF((A92+44)&gt;=Model!$B$11,Model!$B$20,0)-IF(44&lt;Model!$B$15,Model!$B$22,0))/(1-Model!$B$9)/(1+Model!$B$18)^44))</f>
        <v/>
      </c>
      <c r="BG92" s="7">
        <f>IF(A92="","",IF((A92+45)&gt;Model!$B$4,0,MAX(0,Model!$B$6-IF((A92+45)&gt;=Model!$B$11,Model!$B$20,0)-IF(45&lt;Model!$B$15,Model!$B$22,0))/(1-Model!$B$9)/(1+Model!$B$18)^45))</f>
        <v/>
      </c>
      <c r="BH92" s="7">
        <f>IF(A92="","",IF((A92+46)&gt;Model!$B$4,0,MAX(0,Model!$B$6-IF((A92+46)&gt;=Model!$B$11,Model!$B$20,0)-IF(46&lt;Model!$B$15,Model!$B$22,0))/(1-Model!$B$9)/(1+Model!$B$18)^46))</f>
        <v/>
      </c>
      <c r="BI92" s="7">
        <f>IF(A92="","",IF((A92+47)&gt;Model!$B$4,0,MAX(0,Model!$B$6-IF((A92+47)&gt;=Model!$B$11,Model!$B$20,0)-IF(47&lt;Model!$B$15,Model!$B$22,0))/(1-Model!$B$9)/(1+Model!$B$18)^47))</f>
        <v/>
      </c>
      <c r="BJ92" s="7">
        <f>IF(A92="","",IF((A92+48)&gt;Model!$B$4,0,MAX(0,Model!$B$6-IF((A92+48)&gt;=Model!$B$11,Model!$B$20,0)-IF(48&lt;Model!$B$15,Model!$B$22,0))/(1-Model!$B$9)/(1+Model!$B$18)^48))</f>
        <v/>
      </c>
      <c r="BK92" s="7">
        <f>IF(A92="","",IF((A92+49)&gt;Model!$B$4,0,MAX(0,Model!$B$6-IF((A92+49)&gt;=Model!$B$11,Model!$B$20,0)-IF(49&lt;Model!$B$15,Model!$B$22,0))/(1-Model!$B$9)/(1+Model!$B$18)^49))</f>
        <v/>
      </c>
      <c r="BL92" s="7">
        <f>IF(A92="","",IF((A92+50)&gt;Model!$B$4,0,MAX(0,Model!$B$6-IF((A92+50)&gt;=Model!$B$11,Model!$B$20,0)-IF(50&lt;Model!$B$15,Model!$B$22,0))/(1-Model!$B$9)/(1+Model!$B$18)^50))</f>
        <v/>
      </c>
      <c r="BM92" s="7">
        <f>IF(A92="","",IF((A92+51)&gt;Model!$B$4,0,MAX(0,Model!$B$6-IF((A92+51)&gt;=Model!$B$11,Model!$B$20,0)-IF(51&lt;Model!$B$15,Model!$B$22,0))/(1-Model!$B$9)/(1+Model!$B$18)^51))</f>
        <v/>
      </c>
      <c r="BN92" s="7">
        <f>IF(A92="","",IF((A92+52)&gt;Model!$B$4,0,MAX(0,Model!$B$6-IF((A92+52)&gt;=Model!$B$11,Model!$B$20,0)-IF(52&lt;Model!$B$15,Model!$B$22,0))/(1-Model!$B$9)/(1+Model!$B$18)^52))</f>
        <v/>
      </c>
      <c r="BO92" s="7">
        <f>IF(A92="","",IF((A92+53)&gt;Model!$B$4,0,MAX(0,Model!$B$6-IF((A92+53)&gt;=Model!$B$11,Model!$B$20,0)-IF(53&lt;Model!$B$15,Model!$B$22,0))/(1-Model!$B$9)/(1+Model!$B$18)^53))</f>
        <v/>
      </c>
      <c r="BP92" s="7">
        <f>IF(A92="","",IF((A92+54)&gt;Model!$B$4,0,MAX(0,Model!$B$6-IF((A92+54)&gt;=Model!$B$11,Model!$B$20,0)-IF(54&lt;Model!$B$15,Model!$B$22,0))/(1-Model!$B$9)/(1+Model!$B$18)^54))</f>
        <v/>
      </c>
      <c r="BQ92" s="7">
        <f>IF(A92="","",IF((A92+55)&gt;Model!$B$4,0,MAX(0,Model!$B$6-IF((A92+55)&gt;=Model!$B$11,Model!$B$20,0)-IF(55&lt;Model!$B$15,Model!$B$22,0))/(1-Model!$B$9)/(1+Model!$B$18)^55))</f>
        <v/>
      </c>
      <c r="BR92" s="7">
        <f>IF(A92="","",IF((A92+56)&gt;Model!$B$4,0,MAX(0,Model!$B$6-IF((A92+56)&gt;=Model!$B$11,Model!$B$20,0)-IF(56&lt;Model!$B$15,Model!$B$22,0))/(1-Model!$B$9)/(1+Model!$B$18)^56))</f>
        <v/>
      </c>
      <c r="BS92" s="7">
        <f>IF(A92="","",IF((A92+57)&gt;Model!$B$4,0,MAX(0,Model!$B$6-IF((A92+57)&gt;=Model!$B$11,Model!$B$20,0)-IF(57&lt;Model!$B$15,Model!$B$22,0))/(1-Model!$B$9)/(1+Model!$B$18)^57))</f>
        <v/>
      </c>
      <c r="BT92" s="7">
        <f>IF(A92="","",IF((A92+58)&gt;Model!$B$4,0,MAX(0,Model!$B$6-IF((A92+58)&gt;=Model!$B$11,Model!$B$20,0)-IF(58&lt;Model!$B$15,Model!$B$22,0))/(1-Model!$B$9)/(1+Model!$B$18)^58))</f>
        <v/>
      </c>
      <c r="BU92" s="7">
        <f>IF(A92="","",IF((A92+59)&gt;Model!$B$4,0,MAX(0,Model!$B$6-IF((A92+59)&gt;=Model!$B$11,Model!$B$20,0)-IF(59&lt;Model!$B$15,Model!$B$22,0))/(1-Model!$B$9)/(1+Model!$B$18)^59))</f>
        <v/>
      </c>
      <c r="BV92" s="7">
        <f>IF(A92="","",IF((A92+60)&gt;Model!$B$4,0,MAX(0,Model!$B$6-IF((A92+60)&gt;=Model!$B$11,Model!$B$20,0)-IF(60&lt;Model!$B$15,Model!$B$22,0))/(1-Model!$B$9)/(1+Model!$B$18)^60))</f>
        <v/>
      </c>
      <c r="BW92" s="7">
        <f>IF(A92="","",IF((A92+61)&gt;Model!$B$4,0,MAX(0,Model!$B$6-IF((A92+61)&gt;=Model!$B$11,Model!$B$20,0)-IF(61&lt;Model!$B$15,Model!$B$22,0))/(1-Model!$B$9)/(1+Model!$B$18)^61))</f>
        <v/>
      </c>
      <c r="BX92" s="7">
        <f>IF(A92="","",IF((A92+62)&gt;Model!$B$4,0,MAX(0,Model!$B$6-IF((A92+62)&gt;=Model!$B$11,Model!$B$20,0)-IF(62&lt;Model!$B$15,Model!$B$22,0))/(1-Model!$B$9)/(1+Model!$B$18)^62))</f>
        <v/>
      </c>
      <c r="BY92" s="7">
        <f>IF(A92="","",IF((A92+63)&gt;Model!$B$4,0,MAX(0,Model!$B$6-IF((A92+63)&gt;=Model!$B$11,Model!$B$20,0)-IF(63&lt;Model!$B$15,Model!$B$22,0))/(1-Model!$B$9)/(1+Model!$B$18)^63))</f>
        <v/>
      </c>
      <c r="BZ92" s="7">
        <f>IF(A92="","",IF((A92+64)&gt;Model!$B$4,0,MAX(0,Model!$B$6-IF((A92+64)&gt;=Model!$B$11,Model!$B$20,0)-IF(64&lt;Model!$B$15,Model!$B$22,0))/(1-Model!$B$9)/(1+Model!$B$18)^64))</f>
        <v/>
      </c>
      <c r="CA92" s="7">
        <f>IF(A92="","",IF((A92+65)&gt;Model!$B$4,0,MAX(0,Model!$B$6-IF((A92+65)&gt;=Model!$B$11,Model!$B$20,0)-IF(65&lt;Model!$B$15,Model!$B$22,0))/(1-Model!$B$9)/(1+Model!$B$18)^65))</f>
        <v/>
      </c>
      <c r="CB92" s="7">
        <f>IF(A92="","",IF((A92+66)&gt;Model!$B$4,0,MAX(0,Model!$B$6-IF((A92+66)&gt;=Model!$B$11,Model!$B$20,0)-IF(66&lt;Model!$B$15,Model!$B$22,0))/(1-Model!$B$9)/(1+Model!$B$18)^66))</f>
        <v/>
      </c>
      <c r="CC92" s="7">
        <f>IF(A92="","",IF((A92+67)&gt;Model!$B$4,0,MAX(0,Model!$B$6-IF((A92+67)&gt;=Model!$B$11,Model!$B$20,0)-IF(67&lt;Model!$B$15,Model!$B$22,0))/(1-Model!$B$9)/(1+Model!$B$18)^67))</f>
        <v/>
      </c>
      <c r="CD92" s="7">
        <f>IF(A92="","",IF((A92+68)&gt;Model!$B$4,0,MAX(0,Model!$B$6-IF((A92+68)&gt;=Model!$B$11,Model!$B$20,0)-IF(68&lt;Model!$B$15,Model!$B$22,0))/(1-Model!$B$9)/(1+Model!$B$18)^68))</f>
        <v/>
      </c>
      <c r="CE92" s="7">
        <f>IF(A92="","",IF((A92+69)&gt;Model!$B$4,0,MAX(0,Model!$B$6-IF((A92+69)&gt;=Model!$B$11,Model!$B$20,0)-IF(69&lt;Model!$B$15,Model!$B$22,0))/(1-Model!$B$9)/(1+Model!$B$18)^69))</f>
        <v/>
      </c>
      <c r="CF92" s="7">
        <f>IF(A92="","",IF((A92+70)&gt;Model!$B$4,0,MAX(0,Model!$B$6-IF((A92+70)&gt;=Model!$B$11,Model!$B$20,0)-IF(70&lt;Model!$B$15,Model!$B$22,0))/(1-Model!$B$9)/(1+Model!$B$18)^70))</f>
        <v/>
      </c>
      <c r="CG92" s="7">
        <f>IF(A92="","",IF((A92+71)&gt;Model!$B$4,0,MAX(0,Model!$B$6-IF((A92+71)&gt;=Model!$B$11,Model!$B$20,0)-IF(71&lt;Model!$B$15,Model!$B$22,0))/(1-Model!$B$9)/(1+Model!$B$18)^71))</f>
        <v/>
      </c>
      <c r="CH92" s="7">
        <f>IF(A92="","",IF((A92+72)&gt;Model!$B$4,0,MAX(0,Model!$B$6-IF((A92+72)&gt;=Model!$B$11,Model!$B$20,0)-IF(72&lt;Model!$B$15,Model!$B$22,0))/(1-Model!$B$9)/(1+Model!$B$18)^72))</f>
        <v/>
      </c>
      <c r="CI92" s="7">
        <f>IF(A92="","",IF((A92+73)&gt;Model!$B$4,0,MAX(0,Model!$B$6-IF((A92+73)&gt;=Model!$B$11,Model!$B$20,0)-IF(73&lt;Model!$B$15,Model!$B$22,0))/(1-Model!$B$9)/(1+Model!$B$18)^73))</f>
        <v/>
      </c>
      <c r="CJ92" s="7">
        <f>IF(A92="","",IF((A92+74)&gt;Model!$B$4,0,MAX(0,Model!$B$6-IF((A92+74)&gt;=Model!$B$11,Model!$B$20,0)-IF(74&lt;Model!$B$15,Model!$B$22,0))/(1-Model!$B$9)/(1+Model!$B$18)^74))</f>
        <v/>
      </c>
      <c r="CK92" s="7">
        <f>IF(A92="","",IF((A92+75)&gt;Model!$B$4,0,MAX(0,Model!$B$6-IF((A92+75)&gt;=Model!$B$11,Model!$B$20,0)-IF(75&lt;Model!$B$15,Model!$B$22,0))/(1-Model!$B$9)/(1+Model!$B$18)^75))</f>
        <v/>
      </c>
      <c r="CL92" s="7">
        <f>IF(A92="","",IF((A92+76)&gt;Model!$B$4,0,MAX(0,Model!$B$6-IF((A92+76)&gt;=Model!$B$11,Model!$B$20,0)-IF(76&lt;Model!$B$15,Model!$B$22,0))/(1-Model!$B$9)/(1+Model!$B$18)^76))</f>
        <v/>
      </c>
      <c r="CM92" s="7">
        <f>IF(A92="","",IF((A92+77)&gt;Model!$B$4,0,MAX(0,Model!$B$6-IF((A92+77)&gt;=Model!$B$11,Model!$B$20,0)-IF(77&lt;Model!$B$15,Model!$B$22,0))/(1-Model!$B$9)/(1+Model!$B$18)^77))</f>
        <v/>
      </c>
      <c r="CN92" s="7">
        <f>IF(A92="","",IF((A92+78)&gt;Model!$B$4,0,MAX(0,Model!$B$6-IF((A92+78)&gt;=Model!$B$11,Model!$B$20,0)-IF(78&lt;Model!$B$15,Model!$B$22,0))/(1-Model!$B$9)/(1+Model!$B$18)^78))</f>
        <v/>
      </c>
      <c r="CO92" s="7">
        <f>IF(A92="","",IF((A92+79)&gt;Model!$B$4,0,MAX(0,Model!$B$6-IF((A92+79)&gt;=Model!$B$11,Model!$B$20,0)-IF(79&lt;Model!$B$15,Model!$B$22,0))/(1-Model!$B$9)/(1+Model!$B$18)^79))</f>
        <v/>
      </c>
      <c r="CP92" s="7">
        <f>IF(A92="","",IF((A92+80)&gt;Model!$B$4,0,MAX(0,Model!$B$6-IF((A92+80)&gt;=Model!$B$11,Model!$B$20,0)-IF(80&lt;Model!$B$15,Model!$B$22,0))/(1-Model!$B$9)/(1+Model!$B$18)^80))</f>
        <v/>
      </c>
      <c r="CQ92" s="7">
        <f>IF(A92="","",IF((A92+81)&gt;Model!$B$4,0,MAX(0,Model!$B$6-IF((A92+81)&gt;=Model!$B$11,Model!$B$20,0)-IF(81&lt;Model!$B$15,Model!$B$22,0))/(1-Model!$B$9)/(1+Model!$B$18)^81))</f>
        <v/>
      </c>
      <c r="CR92" s="7">
        <f>IF(A92="","",IF((A92+82)&gt;Model!$B$4,0,MAX(0,Model!$B$6-IF((A92+82)&gt;=Model!$B$11,Model!$B$20,0)-IF(82&lt;Model!$B$15,Model!$B$22,0))/(1-Model!$B$9)/(1+Model!$B$18)^82))</f>
        <v/>
      </c>
      <c r="CS92" s="7">
        <f>IF(A92="","",IF((A92+83)&gt;Model!$B$4,0,MAX(0,Model!$B$6-IF((A92+83)&gt;=Model!$B$11,Model!$B$20,0)-IF(83&lt;Model!$B$15,Model!$B$22,0))/(1-Model!$B$9)/(1+Model!$B$18)^83))</f>
        <v/>
      </c>
      <c r="CT92" s="7">
        <f>IF(A92="","",IF((A92+84)&gt;Model!$B$4,0,MAX(0,Model!$B$6-IF((A92+84)&gt;=Model!$B$11,Model!$B$20,0)-IF(84&lt;Model!$B$15,Model!$B$22,0))/(1-Model!$B$9)/(1+Model!$B$18)^84))</f>
        <v/>
      </c>
      <c r="CU92" s="7">
        <f>IF(A92="","",IF((A92+85)&gt;Model!$B$4,0,MAX(0,Model!$B$6-IF((A92+85)&gt;=Model!$B$11,Model!$B$20,0)-IF(85&lt;Model!$B$15,Model!$B$22,0))/(1-Model!$B$9)/(1+Model!$B$18)^85))</f>
        <v/>
      </c>
      <c r="CV92" s="7">
        <f>IF(A92="","",IF((A92+86)&gt;Model!$B$4,0,MAX(0,Model!$B$6-IF((A92+86)&gt;=Model!$B$11,Model!$B$20,0)-IF(86&lt;Model!$B$15,Model!$B$22,0))/(1-Model!$B$9)/(1+Model!$B$18)^86))</f>
        <v/>
      </c>
      <c r="CW92" s="7">
        <f>IF(A92="","",IF((A92+87)&gt;Model!$B$4,0,MAX(0,Model!$B$6-IF((A92+87)&gt;=Model!$B$11,Model!$B$20,0)-IF(87&lt;Model!$B$15,Model!$B$22,0))/(1-Model!$B$9)/(1+Model!$B$18)^87))</f>
        <v/>
      </c>
      <c r="CX92" s="7">
        <f>IF(A92="","",IF((A92+88)&gt;Model!$B$4,0,MAX(0,Model!$B$6-IF((A92+88)&gt;=Model!$B$11,Model!$B$20,0)-IF(88&lt;Model!$B$15,Model!$B$22,0))/(1-Model!$B$9)/(1+Model!$B$18)^88))</f>
        <v/>
      </c>
      <c r="CY92" s="7">
        <f>IF(A92="","",IF((A92+89)&gt;Model!$B$4,0,MAX(0,Model!$B$6-IF((A92+89)&gt;=Model!$B$11,Model!$B$20,0)-IF(89&lt;Model!$B$15,Model!$B$22,0))/(1-Model!$B$9)/(1+Model!$B$18)^89))</f>
        <v/>
      </c>
      <c r="CZ92" s="7">
        <f>IF(A92="","",IF((A92+90)&gt;Model!$B$4,0,MAX(0,Model!$B$6-IF((A92+90)&gt;=Model!$B$11,Model!$B$20,0)-IF(90&lt;Model!$B$15,Model!$B$22,0))/(1-Model!$B$9)/(1+Model!$B$18)^90))</f>
        <v/>
      </c>
      <c r="DA92" s="7">
        <f>IF(A92="","",IF((A92+91)&gt;Model!$B$4,0,MAX(0,Model!$B$6-IF((A92+91)&gt;=Model!$B$11,Model!$B$20,0)-IF(91&lt;Model!$B$15,Model!$B$22,0))/(1-Model!$B$9)/(1+Model!$B$18)^91))</f>
        <v/>
      </c>
      <c r="DB92" s="7">
        <f>IF(A92="","",IF((A92+92)&gt;Model!$B$4,0,MAX(0,Model!$B$6-IF((A92+92)&gt;=Model!$B$11,Model!$B$20,0)-IF(92&lt;Model!$B$15,Model!$B$22,0))/(1-Model!$B$9)/(1+Model!$B$18)^92))</f>
        <v/>
      </c>
      <c r="DC92" s="7">
        <f>IF(A92="","",IF((A92+93)&gt;Model!$B$4,0,MAX(0,Model!$B$6-IF((A92+93)&gt;=Model!$B$11,Model!$B$20,0)-IF(93&lt;Model!$B$15,Model!$B$22,0))/(1-Model!$B$9)/(1+Model!$B$18)^93))</f>
        <v/>
      </c>
      <c r="DD92" s="7">
        <f>IF(A92="","",IF((A92+94)&gt;Model!$B$4,0,MAX(0,Model!$B$6-IF((A92+94)&gt;=Model!$B$11,Model!$B$20,0)-IF(94&lt;Model!$B$15,Model!$B$22,0))/(1-Model!$B$9)/(1+Model!$B$18)^94))</f>
        <v/>
      </c>
      <c r="DE92" s="7">
        <f>IF(A92="","",IF((A92+95)&gt;Model!$B$4,0,MAX(0,Model!$B$6-IF((A92+95)&gt;=Model!$B$11,Model!$B$20,0)-IF(95&lt;Model!$B$15,Model!$B$22,0))/(1-Model!$B$9)/(1+Model!$B$18)^95))</f>
        <v/>
      </c>
      <c r="DF92" s="7">
        <f>IF(A92="","",IF((A92+96)&gt;Model!$B$4,0,MAX(0,Model!$B$6-IF((A92+96)&gt;=Model!$B$11,Model!$B$20,0)-IF(96&lt;Model!$B$15,Model!$B$22,0))/(1-Model!$B$9)/(1+Model!$B$18)^96))</f>
        <v/>
      </c>
      <c r="DG92" s="7">
        <f>IF(A92="","",IF((A92+97)&gt;Model!$B$4,0,MAX(0,Model!$B$6-IF((A92+97)&gt;=Model!$B$11,Model!$B$20,0)-IF(97&lt;Model!$B$15,Model!$B$22,0))/(1-Model!$B$9)/(1+Model!$B$18)^97))</f>
        <v/>
      </c>
      <c r="DH92" s="7">
        <f>IF(A92="","",IF((A92+98)&gt;Model!$B$4,0,MAX(0,Model!$B$6-IF((A92+98)&gt;=Model!$B$11,Model!$B$20,0)-IF(98&lt;Model!$B$15,Model!$B$22,0))/(1-Model!$B$9)/(1+Model!$B$18)^98))</f>
        <v/>
      </c>
      <c r="DI92" s="7">
        <f>IF(A92="","",IF((A92+99)&gt;Model!$B$4,0,MAX(0,Model!$B$6-IF((A92+99)&gt;=Model!$B$11,Model!$B$20,0)-IF(99&lt;Model!$B$15,Model!$B$22,0))/(1-Model!$B$9)/(1+Model!$B$18)^99))</f>
        <v/>
      </c>
      <c r="DJ92" s="7">
        <f>IF(A92="","",IF((A92+100)&gt;Model!$B$4,0,MAX(0,Model!$B$6-IF((A92+100)&gt;=Model!$B$11,Model!$B$20,0)-IF(100&lt;Model!$B$15,Model!$B$22,0))/(1-Model!$B$9)/(1+Model!$B$18)^100))</f>
        <v/>
      </c>
      <c r="DK92" s="7">
        <f>IF(A92="","",IF((A92+101)&gt;Model!$B$4,0,MAX(0,Model!$B$6-IF((A92+101)&gt;=Model!$B$11,Model!$B$20,0)-IF(101&lt;Model!$B$15,Model!$B$22,0))/(1-Model!$B$9)/(1+Model!$B$18)^101))</f>
        <v/>
      </c>
      <c r="DL92" s="7">
        <f>IF(A92="","",IF((A92+102)&gt;Model!$B$4,0,MAX(0,Model!$B$6-IF((A92+102)&gt;=Model!$B$11,Model!$B$20,0)-IF(102&lt;Model!$B$15,Model!$B$22,0))/(1-Model!$B$9)/(1+Model!$B$18)^102))</f>
        <v/>
      </c>
      <c r="DM92" s="7">
        <f>IF(A92="","",IF((A92+103)&gt;Model!$B$4,0,MAX(0,Model!$B$6-IF((A92+103)&gt;=Model!$B$11,Model!$B$20,0)-IF(103&lt;Model!$B$15,Model!$B$22,0))/(1-Model!$B$9)/(1+Model!$B$18)^103))</f>
        <v/>
      </c>
      <c r="DN92" s="7">
        <f>IF(A92="","",IF((A92+104)&gt;Model!$B$4,0,MAX(0,Model!$B$6-IF((A92+104)&gt;=Model!$B$11,Model!$B$20,0)-IF(104&lt;Model!$B$15,Model!$B$22,0))/(1-Model!$B$9)/(1+Model!$B$18)^104))</f>
        <v/>
      </c>
      <c r="DO92" s="7">
        <f>IF(A92="","",IF((A92+105)&gt;Model!$B$4,0,MAX(0,Model!$B$6-IF((A92+105)&gt;=Model!$B$11,Model!$B$20,0)-IF(105&lt;Model!$B$15,Model!$B$22,0))/(1-Model!$B$9)/(1+Model!$B$18)^105))</f>
        <v/>
      </c>
      <c r="DP92" s="7">
        <f>IF(A92="","",IF((A92+106)&gt;Model!$B$4,0,MAX(0,Model!$B$6-IF((A92+106)&gt;=Model!$B$11,Model!$B$20,0)-IF(106&lt;Model!$B$15,Model!$B$22,0))/(1-Model!$B$9)/(1+Model!$B$18)^106))</f>
        <v/>
      </c>
      <c r="DQ92" s="7">
        <f>IF(A92="","",IF((A92+107)&gt;Model!$B$4,0,MAX(0,Model!$B$6-IF((A92+107)&gt;=Model!$B$11,Model!$B$20,0)-IF(107&lt;Model!$B$15,Model!$B$22,0))/(1-Model!$B$9)/(1+Model!$B$18)^107))</f>
        <v/>
      </c>
      <c r="DR92" s="7">
        <f>IF(A92="","",IF((A92+108)&gt;Model!$B$4,0,MAX(0,Model!$B$6-IF((A92+108)&gt;=Model!$B$11,Model!$B$20,0)-IF(108&lt;Model!$B$15,Model!$B$22,0))/(1-Model!$B$9)/(1+Model!$B$18)^108))</f>
        <v/>
      </c>
      <c r="DS92" s="7">
        <f>IF(A92="","",IF((A92+109)&gt;Model!$B$4,0,MAX(0,Model!$B$6-IF((A92+109)&gt;=Model!$B$11,Model!$B$20,0)-IF(109&lt;Model!$B$15,Model!$B$22,0))/(1-Model!$B$9)/(1+Model!$B$18)^109))</f>
        <v/>
      </c>
      <c r="DT92" s="7">
        <f>IF(A92="","",IF((A92+110)&gt;Model!$B$4,0,MAX(0,Model!$B$6-IF((A92+110)&gt;=Model!$B$11,Model!$B$20,0)-IF(110&lt;Model!$B$15,Model!$B$22,0))/(1-Model!$B$9)/(1+Model!$B$18)^110))</f>
        <v/>
      </c>
      <c r="DU92" s="7">
        <f>IF(A92="","",IF((A92+111)&gt;Model!$B$4,0,MAX(0,Model!$B$6-IF((A92+111)&gt;=Model!$B$11,Model!$B$20,0)-IF(111&lt;Model!$B$15,Model!$B$22,0))/(1-Model!$B$9)/(1+Model!$B$18)^111))</f>
        <v/>
      </c>
      <c r="DV92" s="7">
        <f>IF(A92="","",IF((A92+112)&gt;Model!$B$4,0,MAX(0,Model!$B$6-IF((A92+112)&gt;=Model!$B$11,Model!$B$20,0)-IF(112&lt;Model!$B$15,Model!$B$22,0))/(1-Model!$B$9)/(1+Model!$B$18)^112))</f>
        <v/>
      </c>
      <c r="DW92" s="7">
        <f>IF(A92="","",IF((A92+113)&gt;Model!$B$4,0,MAX(0,Model!$B$6-IF((A92+113)&gt;=Model!$B$11,Model!$B$20,0)-IF(113&lt;Model!$B$15,Model!$B$22,0))/(1-Model!$B$9)/(1+Model!$B$18)^113))</f>
        <v/>
      </c>
      <c r="DX92" s="7">
        <f>IF(A92="","",IF((A92+114)&gt;Model!$B$4,0,MAX(0,Model!$B$6-IF((A92+114)&gt;=Model!$B$11,Model!$B$20,0)-IF(114&lt;Model!$B$15,Model!$B$22,0))/(1-Model!$B$9)/(1+Model!$B$18)^114))</f>
        <v/>
      </c>
      <c r="DY92" s="7">
        <f>IF(A92="","",IF((A92+115)&gt;Model!$B$4,0,MAX(0,Model!$B$6-IF((A92+115)&gt;=Model!$B$11,Model!$B$20,0)-IF(115&lt;Model!$B$15,Model!$B$22,0))/(1-Model!$B$9)/(1+Model!$B$18)^115))</f>
        <v/>
      </c>
      <c r="DZ92" s="7">
        <f>IF(A92="","",IF((A92+116)&gt;Model!$B$4,0,MAX(0,Model!$B$6-IF((A92+116)&gt;=Model!$B$11,Model!$B$20,0)-IF(116&lt;Model!$B$15,Model!$B$22,0))/(1-Model!$B$9)/(1+Model!$B$18)^116))</f>
        <v/>
      </c>
      <c r="EA92" s="7">
        <f>IF(A92="","",IF((A92+117)&gt;Model!$B$4,0,MAX(0,Model!$B$6-IF((A92+117)&gt;=Model!$B$11,Model!$B$20,0)-IF(117&lt;Model!$B$15,Model!$B$22,0))/(1-Model!$B$9)/(1+Model!$B$18)^117))</f>
        <v/>
      </c>
      <c r="EB92" s="7">
        <f>IF(A92="","",IF((A92+118)&gt;Model!$B$4,0,MAX(0,Model!$B$6-IF((A92+118)&gt;=Model!$B$11,Model!$B$20,0)-IF(118&lt;Model!$B$15,Model!$B$22,0))/(1-Model!$B$9)/(1+Model!$B$18)^118))</f>
        <v/>
      </c>
      <c r="EC92" s="7">
        <f>IF(A92="","",IF((A92+119)&gt;Model!$B$4,0,MAX(0,Model!$B$6-IF((A92+119)&gt;=Model!$B$11,Model!$B$20,0)-IF(119&lt;Model!$B$15,Model!$B$22,0))/(1-Model!$B$9)/(1+Model!$B$18)^119))</f>
        <v/>
      </c>
      <c r="ED92" s="7">
        <f>IF(A92="","",IF((A92+120)&gt;Model!$B$4,0,MAX(0,Model!$B$6-IF((A92+120)&gt;=Model!$B$11,Model!$B$20,0)-IF(120&lt;Model!$B$15,Model!$B$22,0))/(1-Model!$B$9)/(1+Model!$B$18)^120))</f>
        <v/>
      </c>
    </row>
    <row r="93">
      <c r="A93">
        <f>IF(Model!$B$10+ROW()-2&lt;=Model!$B$4,Model!$B$10+ROW()-2,"")</f>
        <v/>
      </c>
      <c r="B93">
        <f>IF(A93="","",A93-Model!$B$10)</f>
        <v/>
      </c>
      <c r="C93" s="7">
        <f>IF(A93="","",Model!$B$5*(1+Model!$B$18)^B93)</f>
        <v/>
      </c>
      <c r="D93" s="7">
        <f>IF(A93="","",SUM(N93:ED93))</f>
        <v/>
      </c>
      <c r="E93" s="7">
        <f>IF(A93="","",IF(A93&gt;=Model!$B$11,Model!$B$20,0))</f>
        <v/>
      </c>
      <c r="F93" s="7">
        <f>IF(A93="","",IF(Model!$B$15&gt;0,Model!$B$22,0))</f>
        <v/>
      </c>
      <c r="G93" s="7">
        <f>IF(A93="","",E93+F93)</f>
        <v/>
      </c>
      <c r="H93" s="7">
        <f>IF(A93="","",MAX(0,Model!$B$6-G93))</f>
        <v/>
      </c>
      <c r="I93" s="7">
        <f>IF(A93="","",H93/(1-Model!$B$9))</f>
        <v/>
      </c>
      <c r="J93" s="7">
        <f>IF(A93="","",C93-D93)</f>
        <v/>
      </c>
      <c r="K93">
        <f>IF(A93="","",C93&gt;=D93)</f>
        <v/>
      </c>
      <c r="L93" s="7">
        <f>IF(A93="","",IF(A93&gt;=Model!$B$11,Model!$B$19*(1+Model!$B$13)^B93,0))</f>
        <v/>
      </c>
      <c r="M93" s="7">
        <f>IF(A93="","",IF(Model!$B$15&gt;0,Model!$B$21*(1+Model!$B$13)^B93,0))</f>
        <v/>
      </c>
      <c r="N93" s="7">
        <f>IF(A93="","",IF((A93+0)&gt;Model!$B$4,0,MAX(0,Model!$B$6-IF((A93+0)&gt;=Model!$B$11,Model!$B$20,0)-IF(0&lt;Model!$B$15,Model!$B$22,0))/(1-Model!$B$9)/(1+Model!$B$18)^0))</f>
        <v/>
      </c>
      <c r="O93" s="7">
        <f>IF(A93="","",IF((A93+1)&gt;Model!$B$4,0,MAX(0,Model!$B$6-IF((A93+1)&gt;=Model!$B$11,Model!$B$20,0)-IF(1&lt;Model!$B$15,Model!$B$22,0))/(1-Model!$B$9)/(1+Model!$B$18)^1))</f>
        <v/>
      </c>
      <c r="P93" s="7">
        <f>IF(A93="","",IF((A93+2)&gt;Model!$B$4,0,MAX(0,Model!$B$6-IF((A93+2)&gt;=Model!$B$11,Model!$B$20,0)-IF(2&lt;Model!$B$15,Model!$B$22,0))/(1-Model!$B$9)/(1+Model!$B$18)^2))</f>
        <v/>
      </c>
      <c r="Q93" s="7">
        <f>IF(A93="","",IF((A93+3)&gt;Model!$B$4,0,MAX(0,Model!$B$6-IF((A93+3)&gt;=Model!$B$11,Model!$B$20,0)-IF(3&lt;Model!$B$15,Model!$B$22,0))/(1-Model!$B$9)/(1+Model!$B$18)^3))</f>
        <v/>
      </c>
      <c r="R93" s="7">
        <f>IF(A93="","",IF((A93+4)&gt;Model!$B$4,0,MAX(0,Model!$B$6-IF((A93+4)&gt;=Model!$B$11,Model!$B$20,0)-IF(4&lt;Model!$B$15,Model!$B$22,0))/(1-Model!$B$9)/(1+Model!$B$18)^4))</f>
        <v/>
      </c>
      <c r="S93" s="7">
        <f>IF(A93="","",IF((A93+5)&gt;Model!$B$4,0,MAX(0,Model!$B$6-IF((A93+5)&gt;=Model!$B$11,Model!$B$20,0)-IF(5&lt;Model!$B$15,Model!$B$22,0))/(1-Model!$B$9)/(1+Model!$B$18)^5))</f>
        <v/>
      </c>
      <c r="T93" s="7">
        <f>IF(A93="","",IF((A93+6)&gt;Model!$B$4,0,MAX(0,Model!$B$6-IF((A93+6)&gt;=Model!$B$11,Model!$B$20,0)-IF(6&lt;Model!$B$15,Model!$B$22,0))/(1-Model!$B$9)/(1+Model!$B$18)^6))</f>
        <v/>
      </c>
      <c r="U93" s="7">
        <f>IF(A93="","",IF((A93+7)&gt;Model!$B$4,0,MAX(0,Model!$B$6-IF((A93+7)&gt;=Model!$B$11,Model!$B$20,0)-IF(7&lt;Model!$B$15,Model!$B$22,0))/(1-Model!$B$9)/(1+Model!$B$18)^7))</f>
        <v/>
      </c>
      <c r="V93" s="7">
        <f>IF(A93="","",IF((A93+8)&gt;Model!$B$4,0,MAX(0,Model!$B$6-IF((A93+8)&gt;=Model!$B$11,Model!$B$20,0)-IF(8&lt;Model!$B$15,Model!$B$22,0))/(1-Model!$B$9)/(1+Model!$B$18)^8))</f>
        <v/>
      </c>
      <c r="W93" s="7">
        <f>IF(A93="","",IF((A93+9)&gt;Model!$B$4,0,MAX(0,Model!$B$6-IF((A93+9)&gt;=Model!$B$11,Model!$B$20,0)-IF(9&lt;Model!$B$15,Model!$B$22,0))/(1-Model!$B$9)/(1+Model!$B$18)^9))</f>
        <v/>
      </c>
      <c r="X93" s="7">
        <f>IF(A93="","",IF((A93+10)&gt;Model!$B$4,0,MAX(0,Model!$B$6-IF((A93+10)&gt;=Model!$B$11,Model!$B$20,0)-IF(10&lt;Model!$B$15,Model!$B$22,0))/(1-Model!$B$9)/(1+Model!$B$18)^10))</f>
        <v/>
      </c>
      <c r="Y93" s="7">
        <f>IF(A93="","",IF((A93+11)&gt;Model!$B$4,0,MAX(0,Model!$B$6-IF((A93+11)&gt;=Model!$B$11,Model!$B$20,0)-IF(11&lt;Model!$B$15,Model!$B$22,0))/(1-Model!$B$9)/(1+Model!$B$18)^11))</f>
        <v/>
      </c>
      <c r="Z93" s="7">
        <f>IF(A93="","",IF((A93+12)&gt;Model!$B$4,0,MAX(0,Model!$B$6-IF((A93+12)&gt;=Model!$B$11,Model!$B$20,0)-IF(12&lt;Model!$B$15,Model!$B$22,0))/(1-Model!$B$9)/(1+Model!$B$18)^12))</f>
        <v/>
      </c>
      <c r="AA93" s="7">
        <f>IF(A93="","",IF((A93+13)&gt;Model!$B$4,0,MAX(0,Model!$B$6-IF((A93+13)&gt;=Model!$B$11,Model!$B$20,0)-IF(13&lt;Model!$B$15,Model!$B$22,0))/(1-Model!$B$9)/(1+Model!$B$18)^13))</f>
        <v/>
      </c>
      <c r="AB93" s="7">
        <f>IF(A93="","",IF((A93+14)&gt;Model!$B$4,0,MAX(0,Model!$B$6-IF((A93+14)&gt;=Model!$B$11,Model!$B$20,0)-IF(14&lt;Model!$B$15,Model!$B$22,0))/(1-Model!$B$9)/(1+Model!$B$18)^14))</f>
        <v/>
      </c>
      <c r="AC93" s="7">
        <f>IF(A93="","",IF((A93+15)&gt;Model!$B$4,0,MAX(0,Model!$B$6-IF((A93+15)&gt;=Model!$B$11,Model!$B$20,0)-IF(15&lt;Model!$B$15,Model!$B$22,0))/(1-Model!$B$9)/(1+Model!$B$18)^15))</f>
        <v/>
      </c>
      <c r="AD93" s="7">
        <f>IF(A93="","",IF((A93+16)&gt;Model!$B$4,0,MAX(0,Model!$B$6-IF((A93+16)&gt;=Model!$B$11,Model!$B$20,0)-IF(16&lt;Model!$B$15,Model!$B$22,0))/(1-Model!$B$9)/(1+Model!$B$18)^16))</f>
        <v/>
      </c>
      <c r="AE93" s="7">
        <f>IF(A93="","",IF((A93+17)&gt;Model!$B$4,0,MAX(0,Model!$B$6-IF((A93+17)&gt;=Model!$B$11,Model!$B$20,0)-IF(17&lt;Model!$B$15,Model!$B$22,0))/(1-Model!$B$9)/(1+Model!$B$18)^17))</f>
        <v/>
      </c>
      <c r="AF93" s="7">
        <f>IF(A93="","",IF((A93+18)&gt;Model!$B$4,0,MAX(0,Model!$B$6-IF((A93+18)&gt;=Model!$B$11,Model!$B$20,0)-IF(18&lt;Model!$B$15,Model!$B$22,0))/(1-Model!$B$9)/(1+Model!$B$18)^18))</f>
        <v/>
      </c>
      <c r="AG93" s="7">
        <f>IF(A93="","",IF((A93+19)&gt;Model!$B$4,0,MAX(0,Model!$B$6-IF((A93+19)&gt;=Model!$B$11,Model!$B$20,0)-IF(19&lt;Model!$B$15,Model!$B$22,0))/(1-Model!$B$9)/(1+Model!$B$18)^19))</f>
        <v/>
      </c>
      <c r="AH93" s="7">
        <f>IF(A93="","",IF((A93+20)&gt;Model!$B$4,0,MAX(0,Model!$B$6-IF((A93+20)&gt;=Model!$B$11,Model!$B$20,0)-IF(20&lt;Model!$B$15,Model!$B$22,0))/(1-Model!$B$9)/(1+Model!$B$18)^20))</f>
        <v/>
      </c>
      <c r="AI93" s="7">
        <f>IF(A93="","",IF((A93+21)&gt;Model!$B$4,0,MAX(0,Model!$B$6-IF((A93+21)&gt;=Model!$B$11,Model!$B$20,0)-IF(21&lt;Model!$B$15,Model!$B$22,0))/(1-Model!$B$9)/(1+Model!$B$18)^21))</f>
        <v/>
      </c>
      <c r="AJ93" s="7">
        <f>IF(A93="","",IF((A93+22)&gt;Model!$B$4,0,MAX(0,Model!$B$6-IF((A93+22)&gt;=Model!$B$11,Model!$B$20,0)-IF(22&lt;Model!$B$15,Model!$B$22,0))/(1-Model!$B$9)/(1+Model!$B$18)^22))</f>
        <v/>
      </c>
      <c r="AK93" s="7">
        <f>IF(A93="","",IF((A93+23)&gt;Model!$B$4,0,MAX(0,Model!$B$6-IF((A93+23)&gt;=Model!$B$11,Model!$B$20,0)-IF(23&lt;Model!$B$15,Model!$B$22,0))/(1-Model!$B$9)/(1+Model!$B$18)^23))</f>
        <v/>
      </c>
      <c r="AL93" s="7">
        <f>IF(A93="","",IF((A93+24)&gt;Model!$B$4,0,MAX(0,Model!$B$6-IF((A93+24)&gt;=Model!$B$11,Model!$B$20,0)-IF(24&lt;Model!$B$15,Model!$B$22,0))/(1-Model!$B$9)/(1+Model!$B$18)^24))</f>
        <v/>
      </c>
      <c r="AM93" s="7">
        <f>IF(A93="","",IF((A93+25)&gt;Model!$B$4,0,MAX(0,Model!$B$6-IF((A93+25)&gt;=Model!$B$11,Model!$B$20,0)-IF(25&lt;Model!$B$15,Model!$B$22,0))/(1-Model!$B$9)/(1+Model!$B$18)^25))</f>
        <v/>
      </c>
      <c r="AN93" s="7">
        <f>IF(A93="","",IF((A93+26)&gt;Model!$B$4,0,MAX(0,Model!$B$6-IF((A93+26)&gt;=Model!$B$11,Model!$B$20,0)-IF(26&lt;Model!$B$15,Model!$B$22,0))/(1-Model!$B$9)/(1+Model!$B$18)^26))</f>
        <v/>
      </c>
      <c r="AO93" s="7">
        <f>IF(A93="","",IF((A93+27)&gt;Model!$B$4,0,MAX(0,Model!$B$6-IF((A93+27)&gt;=Model!$B$11,Model!$B$20,0)-IF(27&lt;Model!$B$15,Model!$B$22,0))/(1-Model!$B$9)/(1+Model!$B$18)^27))</f>
        <v/>
      </c>
      <c r="AP93" s="7">
        <f>IF(A93="","",IF((A93+28)&gt;Model!$B$4,0,MAX(0,Model!$B$6-IF((A93+28)&gt;=Model!$B$11,Model!$B$20,0)-IF(28&lt;Model!$B$15,Model!$B$22,0))/(1-Model!$B$9)/(1+Model!$B$18)^28))</f>
        <v/>
      </c>
      <c r="AQ93" s="7">
        <f>IF(A93="","",IF((A93+29)&gt;Model!$B$4,0,MAX(0,Model!$B$6-IF((A93+29)&gt;=Model!$B$11,Model!$B$20,0)-IF(29&lt;Model!$B$15,Model!$B$22,0))/(1-Model!$B$9)/(1+Model!$B$18)^29))</f>
        <v/>
      </c>
      <c r="AR93" s="7">
        <f>IF(A93="","",IF((A93+30)&gt;Model!$B$4,0,MAX(0,Model!$B$6-IF((A93+30)&gt;=Model!$B$11,Model!$B$20,0)-IF(30&lt;Model!$B$15,Model!$B$22,0))/(1-Model!$B$9)/(1+Model!$B$18)^30))</f>
        <v/>
      </c>
      <c r="AS93" s="7">
        <f>IF(A93="","",IF((A93+31)&gt;Model!$B$4,0,MAX(0,Model!$B$6-IF((A93+31)&gt;=Model!$B$11,Model!$B$20,0)-IF(31&lt;Model!$B$15,Model!$B$22,0))/(1-Model!$B$9)/(1+Model!$B$18)^31))</f>
        <v/>
      </c>
      <c r="AT93" s="7">
        <f>IF(A93="","",IF((A93+32)&gt;Model!$B$4,0,MAX(0,Model!$B$6-IF((A93+32)&gt;=Model!$B$11,Model!$B$20,0)-IF(32&lt;Model!$B$15,Model!$B$22,0))/(1-Model!$B$9)/(1+Model!$B$18)^32))</f>
        <v/>
      </c>
      <c r="AU93" s="7">
        <f>IF(A93="","",IF((A93+33)&gt;Model!$B$4,0,MAX(0,Model!$B$6-IF((A93+33)&gt;=Model!$B$11,Model!$B$20,0)-IF(33&lt;Model!$B$15,Model!$B$22,0))/(1-Model!$B$9)/(1+Model!$B$18)^33))</f>
        <v/>
      </c>
      <c r="AV93" s="7">
        <f>IF(A93="","",IF((A93+34)&gt;Model!$B$4,0,MAX(0,Model!$B$6-IF((A93+34)&gt;=Model!$B$11,Model!$B$20,0)-IF(34&lt;Model!$B$15,Model!$B$22,0))/(1-Model!$B$9)/(1+Model!$B$18)^34))</f>
        <v/>
      </c>
      <c r="AW93" s="7">
        <f>IF(A93="","",IF((A93+35)&gt;Model!$B$4,0,MAX(0,Model!$B$6-IF((A93+35)&gt;=Model!$B$11,Model!$B$20,0)-IF(35&lt;Model!$B$15,Model!$B$22,0))/(1-Model!$B$9)/(1+Model!$B$18)^35))</f>
        <v/>
      </c>
      <c r="AX93" s="7">
        <f>IF(A93="","",IF((A93+36)&gt;Model!$B$4,0,MAX(0,Model!$B$6-IF((A93+36)&gt;=Model!$B$11,Model!$B$20,0)-IF(36&lt;Model!$B$15,Model!$B$22,0))/(1-Model!$B$9)/(1+Model!$B$18)^36))</f>
        <v/>
      </c>
      <c r="AY93" s="7">
        <f>IF(A93="","",IF((A93+37)&gt;Model!$B$4,0,MAX(0,Model!$B$6-IF((A93+37)&gt;=Model!$B$11,Model!$B$20,0)-IF(37&lt;Model!$B$15,Model!$B$22,0))/(1-Model!$B$9)/(1+Model!$B$18)^37))</f>
        <v/>
      </c>
      <c r="AZ93" s="7">
        <f>IF(A93="","",IF((A93+38)&gt;Model!$B$4,0,MAX(0,Model!$B$6-IF((A93+38)&gt;=Model!$B$11,Model!$B$20,0)-IF(38&lt;Model!$B$15,Model!$B$22,0))/(1-Model!$B$9)/(1+Model!$B$18)^38))</f>
        <v/>
      </c>
      <c r="BA93" s="7">
        <f>IF(A93="","",IF((A93+39)&gt;Model!$B$4,0,MAX(0,Model!$B$6-IF((A93+39)&gt;=Model!$B$11,Model!$B$20,0)-IF(39&lt;Model!$B$15,Model!$B$22,0))/(1-Model!$B$9)/(1+Model!$B$18)^39))</f>
        <v/>
      </c>
      <c r="BB93" s="7">
        <f>IF(A93="","",IF((A93+40)&gt;Model!$B$4,0,MAX(0,Model!$B$6-IF((A93+40)&gt;=Model!$B$11,Model!$B$20,0)-IF(40&lt;Model!$B$15,Model!$B$22,0))/(1-Model!$B$9)/(1+Model!$B$18)^40))</f>
        <v/>
      </c>
      <c r="BC93" s="7">
        <f>IF(A93="","",IF((A93+41)&gt;Model!$B$4,0,MAX(0,Model!$B$6-IF((A93+41)&gt;=Model!$B$11,Model!$B$20,0)-IF(41&lt;Model!$B$15,Model!$B$22,0))/(1-Model!$B$9)/(1+Model!$B$18)^41))</f>
        <v/>
      </c>
      <c r="BD93" s="7">
        <f>IF(A93="","",IF((A93+42)&gt;Model!$B$4,0,MAX(0,Model!$B$6-IF((A93+42)&gt;=Model!$B$11,Model!$B$20,0)-IF(42&lt;Model!$B$15,Model!$B$22,0))/(1-Model!$B$9)/(1+Model!$B$18)^42))</f>
        <v/>
      </c>
      <c r="BE93" s="7">
        <f>IF(A93="","",IF((A93+43)&gt;Model!$B$4,0,MAX(0,Model!$B$6-IF((A93+43)&gt;=Model!$B$11,Model!$B$20,0)-IF(43&lt;Model!$B$15,Model!$B$22,0))/(1-Model!$B$9)/(1+Model!$B$18)^43))</f>
        <v/>
      </c>
      <c r="BF93" s="7">
        <f>IF(A93="","",IF((A93+44)&gt;Model!$B$4,0,MAX(0,Model!$B$6-IF((A93+44)&gt;=Model!$B$11,Model!$B$20,0)-IF(44&lt;Model!$B$15,Model!$B$22,0))/(1-Model!$B$9)/(1+Model!$B$18)^44))</f>
        <v/>
      </c>
      <c r="BG93" s="7">
        <f>IF(A93="","",IF((A93+45)&gt;Model!$B$4,0,MAX(0,Model!$B$6-IF((A93+45)&gt;=Model!$B$11,Model!$B$20,0)-IF(45&lt;Model!$B$15,Model!$B$22,0))/(1-Model!$B$9)/(1+Model!$B$18)^45))</f>
        <v/>
      </c>
      <c r="BH93" s="7">
        <f>IF(A93="","",IF((A93+46)&gt;Model!$B$4,0,MAX(0,Model!$B$6-IF((A93+46)&gt;=Model!$B$11,Model!$B$20,0)-IF(46&lt;Model!$B$15,Model!$B$22,0))/(1-Model!$B$9)/(1+Model!$B$18)^46))</f>
        <v/>
      </c>
      <c r="BI93" s="7">
        <f>IF(A93="","",IF((A93+47)&gt;Model!$B$4,0,MAX(0,Model!$B$6-IF((A93+47)&gt;=Model!$B$11,Model!$B$20,0)-IF(47&lt;Model!$B$15,Model!$B$22,0))/(1-Model!$B$9)/(1+Model!$B$18)^47))</f>
        <v/>
      </c>
      <c r="BJ93" s="7">
        <f>IF(A93="","",IF((A93+48)&gt;Model!$B$4,0,MAX(0,Model!$B$6-IF((A93+48)&gt;=Model!$B$11,Model!$B$20,0)-IF(48&lt;Model!$B$15,Model!$B$22,0))/(1-Model!$B$9)/(1+Model!$B$18)^48))</f>
        <v/>
      </c>
      <c r="BK93" s="7">
        <f>IF(A93="","",IF((A93+49)&gt;Model!$B$4,0,MAX(0,Model!$B$6-IF((A93+49)&gt;=Model!$B$11,Model!$B$20,0)-IF(49&lt;Model!$B$15,Model!$B$22,0))/(1-Model!$B$9)/(1+Model!$B$18)^49))</f>
        <v/>
      </c>
      <c r="BL93" s="7">
        <f>IF(A93="","",IF((A93+50)&gt;Model!$B$4,0,MAX(0,Model!$B$6-IF((A93+50)&gt;=Model!$B$11,Model!$B$20,0)-IF(50&lt;Model!$B$15,Model!$B$22,0))/(1-Model!$B$9)/(1+Model!$B$18)^50))</f>
        <v/>
      </c>
      <c r="BM93" s="7">
        <f>IF(A93="","",IF((A93+51)&gt;Model!$B$4,0,MAX(0,Model!$B$6-IF((A93+51)&gt;=Model!$B$11,Model!$B$20,0)-IF(51&lt;Model!$B$15,Model!$B$22,0))/(1-Model!$B$9)/(1+Model!$B$18)^51))</f>
        <v/>
      </c>
      <c r="BN93" s="7">
        <f>IF(A93="","",IF((A93+52)&gt;Model!$B$4,0,MAX(0,Model!$B$6-IF((A93+52)&gt;=Model!$B$11,Model!$B$20,0)-IF(52&lt;Model!$B$15,Model!$B$22,0))/(1-Model!$B$9)/(1+Model!$B$18)^52))</f>
        <v/>
      </c>
      <c r="BO93" s="7">
        <f>IF(A93="","",IF((A93+53)&gt;Model!$B$4,0,MAX(0,Model!$B$6-IF((A93+53)&gt;=Model!$B$11,Model!$B$20,0)-IF(53&lt;Model!$B$15,Model!$B$22,0))/(1-Model!$B$9)/(1+Model!$B$18)^53))</f>
        <v/>
      </c>
      <c r="BP93" s="7">
        <f>IF(A93="","",IF((A93+54)&gt;Model!$B$4,0,MAX(0,Model!$B$6-IF((A93+54)&gt;=Model!$B$11,Model!$B$20,0)-IF(54&lt;Model!$B$15,Model!$B$22,0))/(1-Model!$B$9)/(1+Model!$B$18)^54))</f>
        <v/>
      </c>
      <c r="BQ93" s="7">
        <f>IF(A93="","",IF((A93+55)&gt;Model!$B$4,0,MAX(0,Model!$B$6-IF((A93+55)&gt;=Model!$B$11,Model!$B$20,0)-IF(55&lt;Model!$B$15,Model!$B$22,0))/(1-Model!$B$9)/(1+Model!$B$18)^55))</f>
        <v/>
      </c>
      <c r="BR93" s="7">
        <f>IF(A93="","",IF((A93+56)&gt;Model!$B$4,0,MAX(0,Model!$B$6-IF((A93+56)&gt;=Model!$B$11,Model!$B$20,0)-IF(56&lt;Model!$B$15,Model!$B$22,0))/(1-Model!$B$9)/(1+Model!$B$18)^56))</f>
        <v/>
      </c>
      <c r="BS93" s="7">
        <f>IF(A93="","",IF((A93+57)&gt;Model!$B$4,0,MAX(0,Model!$B$6-IF((A93+57)&gt;=Model!$B$11,Model!$B$20,0)-IF(57&lt;Model!$B$15,Model!$B$22,0))/(1-Model!$B$9)/(1+Model!$B$18)^57))</f>
        <v/>
      </c>
      <c r="BT93" s="7">
        <f>IF(A93="","",IF((A93+58)&gt;Model!$B$4,0,MAX(0,Model!$B$6-IF((A93+58)&gt;=Model!$B$11,Model!$B$20,0)-IF(58&lt;Model!$B$15,Model!$B$22,0))/(1-Model!$B$9)/(1+Model!$B$18)^58))</f>
        <v/>
      </c>
      <c r="BU93" s="7">
        <f>IF(A93="","",IF((A93+59)&gt;Model!$B$4,0,MAX(0,Model!$B$6-IF((A93+59)&gt;=Model!$B$11,Model!$B$20,0)-IF(59&lt;Model!$B$15,Model!$B$22,0))/(1-Model!$B$9)/(1+Model!$B$18)^59))</f>
        <v/>
      </c>
      <c r="BV93" s="7">
        <f>IF(A93="","",IF((A93+60)&gt;Model!$B$4,0,MAX(0,Model!$B$6-IF((A93+60)&gt;=Model!$B$11,Model!$B$20,0)-IF(60&lt;Model!$B$15,Model!$B$22,0))/(1-Model!$B$9)/(1+Model!$B$18)^60))</f>
        <v/>
      </c>
      <c r="BW93" s="7">
        <f>IF(A93="","",IF((A93+61)&gt;Model!$B$4,0,MAX(0,Model!$B$6-IF((A93+61)&gt;=Model!$B$11,Model!$B$20,0)-IF(61&lt;Model!$B$15,Model!$B$22,0))/(1-Model!$B$9)/(1+Model!$B$18)^61))</f>
        <v/>
      </c>
      <c r="BX93" s="7">
        <f>IF(A93="","",IF((A93+62)&gt;Model!$B$4,0,MAX(0,Model!$B$6-IF((A93+62)&gt;=Model!$B$11,Model!$B$20,0)-IF(62&lt;Model!$B$15,Model!$B$22,0))/(1-Model!$B$9)/(1+Model!$B$18)^62))</f>
        <v/>
      </c>
      <c r="BY93" s="7">
        <f>IF(A93="","",IF((A93+63)&gt;Model!$B$4,0,MAX(0,Model!$B$6-IF((A93+63)&gt;=Model!$B$11,Model!$B$20,0)-IF(63&lt;Model!$B$15,Model!$B$22,0))/(1-Model!$B$9)/(1+Model!$B$18)^63))</f>
        <v/>
      </c>
      <c r="BZ93" s="7">
        <f>IF(A93="","",IF((A93+64)&gt;Model!$B$4,0,MAX(0,Model!$B$6-IF((A93+64)&gt;=Model!$B$11,Model!$B$20,0)-IF(64&lt;Model!$B$15,Model!$B$22,0))/(1-Model!$B$9)/(1+Model!$B$18)^64))</f>
        <v/>
      </c>
      <c r="CA93" s="7">
        <f>IF(A93="","",IF((A93+65)&gt;Model!$B$4,0,MAX(0,Model!$B$6-IF((A93+65)&gt;=Model!$B$11,Model!$B$20,0)-IF(65&lt;Model!$B$15,Model!$B$22,0))/(1-Model!$B$9)/(1+Model!$B$18)^65))</f>
        <v/>
      </c>
      <c r="CB93" s="7">
        <f>IF(A93="","",IF((A93+66)&gt;Model!$B$4,0,MAX(0,Model!$B$6-IF((A93+66)&gt;=Model!$B$11,Model!$B$20,0)-IF(66&lt;Model!$B$15,Model!$B$22,0))/(1-Model!$B$9)/(1+Model!$B$18)^66))</f>
        <v/>
      </c>
      <c r="CC93" s="7">
        <f>IF(A93="","",IF((A93+67)&gt;Model!$B$4,0,MAX(0,Model!$B$6-IF((A93+67)&gt;=Model!$B$11,Model!$B$20,0)-IF(67&lt;Model!$B$15,Model!$B$22,0))/(1-Model!$B$9)/(1+Model!$B$18)^67))</f>
        <v/>
      </c>
      <c r="CD93" s="7">
        <f>IF(A93="","",IF((A93+68)&gt;Model!$B$4,0,MAX(0,Model!$B$6-IF((A93+68)&gt;=Model!$B$11,Model!$B$20,0)-IF(68&lt;Model!$B$15,Model!$B$22,0))/(1-Model!$B$9)/(1+Model!$B$18)^68))</f>
        <v/>
      </c>
      <c r="CE93" s="7">
        <f>IF(A93="","",IF((A93+69)&gt;Model!$B$4,0,MAX(0,Model!$B$6-IF((A93+69)&gt;=Model!$B$11,Model!$B$20,0)-IF(69&lt;Model!$B$15,Model!$B$22,0))/(1-Model!$B$9)/(1+Model!$B$18)^69))</f>
        <v/>
      </c>
      <c r="CF93" s="7">
        <f>IF(A93="","",IF((A93+70)&gt;Model!$B$4,0,MAX(0,Model!$B$6-IF((A93+70)&gt;=Model!$B$11,Model!$B$20,0)-IF(70&lt;Model!$B$15,Model!$B$22,0))/(1-Model!$B$9)/(1+Model!$B$18)^70))</f>
        <v/>
      </c>
      <c r="CG93" s="7">
        <f>IF(A93="","",IF((A93+71)&gt;Model!$B$4,0,MAX(0,Model!$B$6-IF((A93+71)&gt;=Model!$B$11,Model!$B$20,0)-IF(71&lt;Model!$B$15,Model!$B$22,0))/(1-Model!$B$9)/(1+Model!$B$18)^71))</f>
        <v/>
      </c>
      <c r="CH93" s="7">
        <f>IF(A93="","",IF((A93+72)&gt;Model!$B$4,0,MAX(0,Model!$B$6-IF((A93+72)&gt;=Model!$B$11,Model!$B$20,0)-IF(72&lt;Model!$B$15,Model!$B$22,0))/(1-Model!$B$9)/(1+Model!$B$18)^72))</f>
        <v/>
      </c>
      <c r="CI93" s="7">
        <f>IF(A93="","",IF((A93+73)&gt;Model!$B$4,0,MAX(0,Model!$B$6-IF((A93+73)&gt;=Model!$B$11,Model!$B$20,0)-IF(73&lt;Model!$B$15,Model!$B$22,0))/(1-Model!$B$9)/(1+Model!$B$18)^73))</f>
        <v/>
      </c>
      <c r="CJ93" s="7">
        <f>IF(A93="","",IF((A93+74)&gt;Model!$B$4,0,MAX(0,Model!$B$6-IF((A93+74)&gt;=Model!$B$11,Model!$B$20,0)-IF(74&lt;Model!$B$15,Model!$B$22,0))/(1-Model!$B$9)/(1+Model!$B$18)^74))</f>
        <v/>
      </c>
      <c r="CK93" s="7">
        <f>IF(A93="","",IF((A93+75)&gt;Model!$B$4,0,MAX(0,Model!$B$6-IF((A93+75)&gt;=Model!$B$11,Model!$B$20,0)-IF(75&lt;Model!$B$15,Model!$B$22,0))/(1-Model!$B$9)/(1+Model!$B$18)^75))</f>
        <v/>
      </c>
      <c r="CL93" s="7">
        <f>IF(A93="","",IF((A93+76)&gt;Model!$B$4,0,MAX(0,Model!$B$6-IF((A93+76)&gt;=Model!$B$11,Model!$B$20,0)-IF(76&lt;Model!$B$15,Model!$B$22,0))/(1-Model!$B$9)/(1+Model!$B$18)^76))</f>
        <v/>
      </c>
      <c r="CM93" s="7">
        <f>IF(A93="","",IF((A93+77)&gt;Model!$B$4,0,MAX(0,Model!$B$6-IF((A93+77)&gt;=Model!$B$11,Model!$B$20,0)-IF(77&lt;Model!$B$15,Model!$B$22,0))/(1-Model!$B$9)/(1+Model!$B$18)^77))</f>
        <v/>
      </c>
      <c r="CN93" s="7">
        <f>IF(A93="","",IF((A93+78)&gt;Model!$B$4,0,MAX(0,Model!$B$6-IF((A93+78)&gt;=Model!$B$11,Model!$B$20,0)-IF(78&lt;Model!$B$15,Model!$B$22,0))/(1-Model!$B$9)/(1+Model!$B$18)^78))</f>
        <v/>
      </c>
      <c r="CO93" s="7">
        <f>IF(A93="","",IF((A93+79)&gt;Model!$B$4,0,MAX(0,Model!$B$6-IF((A93+79)&gt;=Model!$B$11,Model!$B$20,0)-IF(79&lt;Model!$B$15,Model!$B$22,0))/(1-Model!$B$9)/(1+Model!$B$18)^79))</f>
        <v/>
      </c>
      <c r="CP93" s="7">
        <f>IF(A93="","",IF((A93+80)&gt;Model!$B$4,0,MAX(0,Model!$B$6-IF((A93+80)&gt;=Model!$B$11,Model!$B$20,0)-IF(80&lt;Model!$B$15,Model!$B$22,0))/(1-Model!$B$9)/(1+Model!$B$18)^80))</f>
        <v/>
      </c>
      <c r="CQ93" s="7">
        <f>IF(A93="","",IF((A93+81)&gt;Model!$B$4,0,MAX(0,Model!$B$6-IF((A93+81)&gt;=Model!$B$11,Model!$B$20,0)-IF(81&lt;Model!$B$15,Model!$B$22,0))/(1-Model!$B$9)/(1+Model!$B$18)^81))</f>
        <v/>
      </c>
      <c r="CR93" s="7">
        <f>IF(A93="","",IF((A93+82)&gt;Model!$B$4,0,MAX(0,Model!$B$6-IF((A93+82)&gt;=Model!$B$11,Model!$B$20,0)-IF(82&lt;Model!$B$15,Model!$B$22,0))/(1-Model!$B$9)/(1+Model!$B$18)^82))</f>
        <v/>
      </c>
      <c r="CS93" s="7">
        <f>IF(A93="","",IF((A93+83)&gt;Model!$B$4,0,MAX(0,Model!$B$6-IF((A93+83)&gt;=Model!$B$11,Model!$B$20,0)-IF(83&lt;Model!$B$15,Model!$B$22,0))/(1-Model!$B$9)/(1+Model!$B$18)^83))</f>
        <v/>
      </c>
      <c r="CT93" s="7">
        <f>IF(A93="","",IF((A93+84)&gt;Model!$B$4,0,MAX(0,Model!$B$6-IF((A93+84)&gt;=Model!$B$11,Model!$B$20,0)-IF(84&lt;Model!$B$15,Model!$B$22,0))/(1-Model!$B$9)/(1+Model!$B$18)^84))</f>
        <v/>
      </c>
      <c r="CU93" s="7">
        <f>IF(A93="","",IF((A93+85)&gt;Model!$B$4,0,MAX(0,Model!$B$6-IF((A93+85)&gt;=Model!$B$11,Model!$B$20,0)-IF(85&lt;Model!$B$15,Model!$B$22,0))/(1-Model!$B$9)/(1+Model!$B$18)^85))</f>
        <v/>
      </c>
      <c r="CV93" s="7">
        <f>IF(A93="","",IF((A93+86)&gt;Model!$B$4,0,MAX(0,Model!$B$6-IF((A93+86)&gt;=Model!$B$11,Model!$B$20,0)-IF(86&lt;Model!$B$15,Model!$B$22,0))/(1-Model!$B$9)/(1+Model!$B$18)^86))</f>
        <v/>
      </c>
      <c r="CW93" s="7">
        <f>IF(A93="","",IF((A93+87)&gt;Model!$B$4,0,MAX(0,Model!$B$6-IF((A93+87)&gt;=Model!$B$11,Model!$B$20,0)-IF(87&lt;Model!$B$15,Model!$B$22,0))/(1-Model!$B$9)/(1+Model!$B$18)^87))</f>
        <v/>
      </c>
      <c r="CX93" s="7">
        <f>IF(A93="","",IF((A93+88)&gt;Model!$B$4,0,MAX(0,Model!$B$6-IF((A93+88)&gt;=Model!$B$11,Model!$B$20,0)-IF(88&lt;Model!$B$15,Model!$B$22,0))/(1-Model!$B$9)/(1+Model!$B$18)^88))</f>
        <v/>
      </c>
      <c r="CY93" s="7">
        <f>IF(A93="","",IF((A93+89)&gt;Model!$B$4,0,MAX(0,Model!$B$6-IF((A93+89)&gt;=Model!$B$11,Model!$B$20,0)-IF(89&lt;Model!$B$15,Model!$B$22,0))/(1-Model!$B$9)/(1+Model!$B$18)^89))</f>
        <v/>
      </c>
      <c r="CZ93" s="7">
        <f>IF(A93="","",IF((A93+90)&gt;Model!$B$4,0,MAX(0,Model!$B$6-IF((A93+90)&gt;=Model!$B$11,Model!$B$20,0)-IF(90&lt;Model!$B$15,Model!$B$22,0))/(1-Model!$B$9)/(1+Model!$B$18)^90))</f>
        <v/>
      </c>
      <c r="DA93" s="7">
        <f>IF(A93="","",IF((A93+91)&gt;Model!$B$4,0,MAX(0,Model!$B$6-IF((A93+91)&gt;=Model!$B$11,Model!$B$20,0)-IF(91&lt;Model!$B$15,Model!$B$22,0))/(1-Model!$B$9)/(1+Model!$B$18)^91))</f>
        <v/>
      </c>
      <c r="DB93" s="7">
        <f>IF(A93="","",IF((A93+92)&gt;Model!$B$4,0,MAX(0,Model!$B$6-IF((A93+92)&gt;=Model!$B$11,Model!$B$20,0)-IF(92&lt;Model!$B$15,Model!$B$22,0))/(1-Model!$B$9)/(1+Model!$B$18)^92))</f>
        <v/>
      </c>
      <c r="DC93" s="7">
        <f>IF(A93="","",IF((A93+93)&gt;Model!$B$4,0,MAX(0,Model!$B$6-IF((A93+93)&gt;=Model!$B$11,Model!$B$20,0)-IF(93&lt;Model!$B$15,Model!$B$22,0))/(1-Model!$B$9)/(1+Model!$B$18)^93))</f>
        <v/>
      </c>
      <c r="DD93" s="7">
        <f>IF(A93="","",IF((A93+94)&gt;Model!$B$4,0,MAX(0,Model!$B$6-IF((A93+94)&gt;=Model!$B$11,Model!$B$20,0)-IF(94&lt;Model!$B$15,Model!$B$22,0))/(1-Model!$B$9)/(1+Model!$B$18)^94))</f>
        <v/>
      </c>
      <c r="DE93" s="7">
        <f>IF(A93="","",IF((A93+95)&gt;Model!$B$4,0,MAX(0,Model!$B$6-IF((A93+95)&gt;=Model!$B$11,Model!$B$20,0)-IF(95&lt;Model!$B$15,Model!$B$22,0))/(1-Model!$B$9)/(1+Model!$B$18)^95))</f>
        <v/>
      </c>
      <c r="DF93" s="7">
        <f>IF(A93="","",IF((A93+96)&gt;Model!$B$4,0,MAX(0,Model!$B$6-IF((A93+96)&gt;=Model!$B$11,Model!$B$20,0)-IF(96&lt;Model!$B$15,Model!$B$22,0))/(1-Model!$B$9)/(1+Model!$B$18)^96))</f>
        <v/>
      </c>
      <c r="DG93" s="7">
        <f>IF(A93="","",IF((A93+97)&gt;Model!$B$4,0,MAX(0,Model!$B$6-IF((A93+97)&gt;=Model!$B$11,Model!$B$20,0)-IF(97&lt;Model!$B$15,Model!$B$22,0))/(1-Model!$B$9)/(1+Model!$B$18)^97))</f>
        <v/>
      </c>
      <c r="DH93" s="7">
        <f>IF(A93="","",IF((A93+98)&gt;Model!$B$4,0,MAX(0,Model!$B$6-IF((A93+98)&gt;=Model!$B$11,Model!$B$20,0)-IF(98&lt;Model!$B$15,Model!$B$22,0))/(1-Model!$B$9)/(1+Model!$B$18)^98))</f>
        <v/>
      </c>
      <c r="DI93" s="7">
        <f>IF(A93="","",IF((A93+99)&gt;Model!$B$4,0,MAX(0,Model!$B$6-IF((A93+99)&gt;=Model!$B$11,Model!$B$20,0)-IF(99&lt;Model!$B$15,Model!$B$22,0))/(1-Model!$B$9)/(1+Model!$B$18)^99))</f>
        <v/>
      </c>
      <c r="DJ93" s="7">
        <f>IF(A93="","",IF((A93+100)&gt;Model!$B$4,0,MAX(0,Model!$B$6-IF((A93+100)&gt;=Model!$B$11,Model!$B$20,0)-IF(100&lt;Model!$B$15,Model!$B$22,0))/(1-Model!$B$9)/(1+Model!$B$18)^100))</f>
        <v/>
      </c>
      <c r="DK93" s="7">
        <f>IF(A93="","",IF((A93+101)&gt;Model!$B$4,0,MAX(0,Model!$B$6-IF((A93+101)&gt;=Model!$B$11,Model!$B$20,0)-IF(101&lt;Model!$B$15,Model!$B$22,0))/(1-Model!$B$9)/(1+Model!$B$18)^101))</f>
        <v/>
      </c>
      <c r="DL93" s="7">
        <f>IF(A93="","",IF((A93+102)&gt;Model!$B$4,0,MAX(0,Model!$B$6-IF((A93+102)&gt;=Model!$B$11,Model!$B$20,0)-IF(102&lt;Model!$B$15,Model!$B$22,0))/(1-Model!$B$9)/(1+Model!$B$18)^102))</f>
        <v/>
      </c>
      <c r="DM93" s="7">
        <f>IF(A93="","",IF((A93+103)&gt;Model!$B$4,0,MAX(0,Model!$B$6-IF((A93+103)&gt;=Model!$B$11,Model!$B$20,0)-IF(103&lt;Model!$B$15,Model!$B$22,0))/(1-Model!$B$9)/(1+Model!$B$18)^103))</f>
        <v/>
      </c>
      <c r="DN93" s="7">
        <f>IF(A93="","",IF((A93+104)&gt;Model!$B$4,0,MAX(0,Model!$B$6-IF((A93+104)&gt;=Model!$B$11,Model!$B$20,0)-IF(104&lt;Model!$B$15,Model!$B$22,0))/(1-Model!$B$9)/(1+Model!$B$18)^104))</f>
        <v/>
      </c>
      <c r="DO93" s="7">
        <f>IF(A93="","",IF((A93+105)&gt;Model!$B$4,0,MAX(0,Model!$B$6-IF((A93+105)&gt;=Model!$B$11,Model!$B$20,0)-IF(105&lt;Model!$B$15,Model!$B$22,0))/(1-Model!$B$9)/(1+Model!$B$18)^105))</f>
        <v/>
      </c>
      <c r="DP93" s="7">
        <f>IF(A93="","",IF((A93+106)&gt;Model!$B$4,0,MAX(0,Model!$B$6-IF((A93+106)&gt;=Model!$B$11,Model!$B$20,0)-IF(106&lt;Model!$B$15,Model!$B$22,0))/(1-Model!$B$9)/(1+Model!$B$18)^106))</f>
        <v/>
      </c>
      <c r="DQ93" s="7">
        <f>IF(A93="","",IF((A93+107)&gt;Model!$B$4,0,MAX(0,Model!$B$6-IF((A93+107)&gt;=Model!$B$11,Model!$B$20,0)-IF(107&lt;Model!$B$15,Model!$B$22,0))/(1-Model!$B$9)/(1+Model!$B$18)^107))</f>
        <v/>
      </c>
      <c r="DR93" s="7">
        <f>IF(A93="","",IF((A93+108)&gt;Model!$B$4,0,MAX(0,Model!$B$6-IF((A93+108)&gt;=Model!$B$11,Model!$B$20,0)-IF(108&lt;Model!$B$15,Model!$B$22,0))/(1-Model!$B$9)/(1+Model!$B$18)^108))</f>
        <v/>
      </c>
      <c r="DS93" s="7">
        <f>IF(A93="","",IF((A93+109)&gt;Model!$B$4,0,MAX(0,Model!$B$6-IF((A93+109)&gt;=Model!$B$11,Model!$B$20,0)-IF(109&lt;Model!$B$15,Model!$B$22,0))/(1-Model!$B$9)/(1+Model!$B$18)^109))</f>
        <v/>
      </c>
      <c r="DT93" s="7">
        <f>IF(A93="","",IF((A93+110)&gt;Model!$B$4,0,MAX(0,Model!$B$6-IF((A93+110)&gt;=Model!$B$11,Model!$B$20,0)-IF(110&lt;Model!$B$15,Model!$B$22,0))/(1-Model!$B$9)/(1+Model!$B$18)^110))</f>
        <v/>
      </c>
      <c r="DU93" s="7">
        <f>IF(A93="","",IF((A93+111)&gt;Model!$B$4,0,MAX(0,Model!$B$6-IF((A93+111)&gt;=Model!$B$11,Model!$B$20,0)-IF(111&lt;Model!$B$15,Model!$B$22,0))/(1-Model!$B$9)/(1+Model!$B$18)^111))</f>
        <v/>
      </c>
      <c r="DV93" s="7">
        <f>IF(A93="","",IF((A93+112)&gt;Model!$B$4,0,MAX(0,Model!$B$6-IF((A93+112)&gt;=Model!$B$11,Model!$B$20,0)-IF(112&lt;Model!$B$15,Model!$B$22,0))/(1-Model!$B$9)/(1+Model!$B$18)^112))</f>
        <v/>
      </c>
      <c r="DW93" s="7">
        <f>IF(A93="","",IF((A93+113)&gt;Model!$B$4,0,MAX(0,Model!$B$6-IF((A93+113)&gt;=Model!$B$11,Model!$B$20,0)-IF(113&lt;Model!$B$15,Model!$B$22,0))/(1-Model!$B$9)/(1+Model!$B$18)^113))</f>
        <v/>
      </c>
      <c r="DX93" s="7">
        <f>IF(A93="","",IF((A93+114)&gt;Model!$B$4,0,MAX(0,Model!$B$6-IF((A93+114)&gt;=Model!$B$11,Model!$B$20,0)-IF(114&lt;Model!$B$15,Model!$B$22,0))/(1-Model!$B$9)/(1+Model!$B$18)^114))</f>
        <v/>
      </c>
      <c r="DY93" s="7">
        <f>IF(A93="","",IF((A93+115)&gt;Model!$B$4,0,MAX(0,Model!$B$6-IF((A93+115)&gt;=Model!$B$11,Model!$B$20,0)-IF(115&lt;Model!$B$15,Model!$B$22,0))/(1-Model!$B$9)/(1+Model!$B$18)^115))</f>
        <v/>
      </c>
      <c r="DZ93" s="7">
        <f>IF(A93="","",IF((A93+116)&gt;Model!$B$4,0,MAX(0,Model!$B$6-IF((A93+116)&gt;=Model!$B$11,Model!$B$20,0)-IF(116&lt;Model!$B$15,Model!$B$22,0))/(1-Model!$B$9)/(1+Model!$B$18)^116))</f>
        <v/>
      </c>
      <c r="EA93" s="7">
        <f>IF(A93="","",IF((A93+117)&gt;Model!$B$4,0,MAX(0,Model!$B$6-IF((A93+117)&gt;=Model!$B$11,Model!$B$20,0)-IF(117&lt;Model!$B$15,Model!$B$22,0))/(1-Model!$B$9)/(1+Model!$B$18)^117))</f>
        <v/>
      </c>
      <c r="EB93" s="7">
        <f>IF(A93="","",IF((A93+118)&gt;Model!$B$4,0,MAX(0,Model!$B$6-IF((A93+118)&gt;=Model!$B$11,Model!$B$20,0)-IF(118&lt;Model!$B$15,Model!$B$22,0))/(1-Model!$B$9)/(1+Model!$B$18)^118))</f>
        <v/>
      </c>
      <c r="EC93" s="7">
        <f>IF(A93="","",IF((A93+119)&gt;Model!$B$4,0,MAX(0,Model!$B$6-IF((A93+119)&gt;=Model!$B$11,Model!$B$20,0)-IF(119&lt;Model!$B$15,Model!$B$22,0))/(1-Model!$B$9)/(1+Model!$B$18)^119))</f>
        <v/>
      </c>
      <c r="ED93" s="7">
        <f>IF(A93="","",IF((A93+120)&gt;Model!$B$4,0,MAX(0,Model!$B$6-IF((A93+120)&gt;=Model!$B$11,Model!$B$20,0)-IF(120&lt;Model!$B$15,Model!$B$22,0))/(1-Model!$B$9)/(1+Model!$B$18)^120))</f>
        <v/>
      </c>
    </row>
    <row r="94">
      <c r="A94">
        <f>IF(Model!$B$10+ROW()-2&lt;=Model!$B$4,Model!$B$10+ROW()-2,"")</f>
        <v/>
      </c>
      <c r="B94">
        <f>IF(A94="","",A94-Model!$B$10)</f>
        <v/>
      </c>
      <c r="C94" s="7">
        <f>IF(A94="","",Model!$B$5*(1+Model!$B$18)^B94)</f>
        <v/>
      </c>
      <c r="D94" s="7">
        <f>IF(A94="","",SUM(N94:ED94))</f>
        <v/>
      </c>
      <c r="E94" s="7">
        <f>IF(A94="","",IF(A94&gt;=Model!$B$11,Model!$B$20,0))</f>
        <v/>
      </c>
      <c r="F94" s="7">
        <f>IF(A94="","",IF(Model!$B$15&gt;0,Model!$B$22,0))</f>
        <v/>
      </c>
      <c r="G94" s="7">
        <f>IF(A94="","",E94+F94)</f>
        <v/>
      </c>
      <c r="H94" s="7">
        <f>IF(A94="","",MAX(0,Model!$B$6-G94))</f>
        <v/>
      </c>
      <c r="I94" s="7">
        <f>IF(A94="","",H94/(1-Model!$B$9))</f>
        <v/>
      </c>
      <c r="J94" s="7">
        <f>IF(A94="","",C94-D94)</f>
        <v/>
      </c>
      <c r="K94">
        <f>IF(A94="","",C94&gt;=D94)</f>
        <v/>
      </c>
      <c r="L94" s="7">
        <f>IF(A94="","",IF(A94&gt;=Model!$B$11,Model!$B$19*(1+Model!$B$13)^B94,0))</f>
        <v/>
      </c>
      <c r="M94" s="7">
        <f>IF(A94="","",IF(Model!$B$15&gt;0,Model!$B$21*(1+Model!$B$13)^B94,0))</f>
        <v/>
      </c>
      <c r="N94" s="7">
        <f>IF(A94="","",IF((A94+0)&gt;Model!$B$4,0,MAX(0,Model!$B$6-IF((A94+0)&gt;=Model!$B$11,Model!$B$20,0)-IF(0&lt;Model!$B$15,Model!$B$22,0))/(1-Model!$B$9)/(1+Model!$B$18)^0))</f>
        <v/>
      </c>
      <c r="O94" s="7">
        <f>IF(A94="","",IF((A94+1)&gt;Model!$B$4,0,MAX(0,Model!$B$6-IF((A94+1)&gt;=Model!$B$11,Model!$B$20,0)-IF(1&lt;Model!$B$15,Model!$B$22,0))/(1-Model!$B$9)/(1+Model!$B$18)^1))</f>
        <v/>
      </c>
      <c r="P94" s="7">
        <f>IF(A94="","",IF((A94+2)&gt;Model!$B$4,0,MAX(0,Model!$B$6-IF((A94+2)&gt;=Model!$B$11,Model!$B$20,0)-IF(2&lt;Model!$B$15,Model!$B$22,0))/(1-Model!$B$9)/(1+Model!$B$18)^2))</f>
        <v/>
      </c>
      <c r="Q94" s="7">
        <f>IF(A94="","",IF((A94+3)&gt;Model!$B$4,0,MAX(0,Model!$B$6-IF((A94+3)&gt;=Model!$B$11,Model!$B$20,0)-IF(3&lt;Model!$B$15,Model!$B$22,0))/(1-Model!$B$9)/(1+Model!$B$18)^3))</f>
        <v/>
      </c>
      <c r="R94" s="7">
        <f>IF(A94="","",IF((A94+4)&gt;Model!$B$4,0,MAX(0,Model!$B$6-IF((A94+4)&gt;=Model!$B$11,Model!$B$20,0)-IF(4&lt;Model!$B$15,Model!$B$22,0))/(1-Model!$B$9)/(1+Model!$B$18)^4))</f>
        <v/>
      </c>
      <c r="S94" s="7">
        <f>IF(A94="","",IF((A94+5)&gt;Model!$B$4,0,MAX(0,Model!$B$6-IF((A94+5)&gt;=Model!$B$11,Model!$B$20,0)-IF(5&lt;Model!$B$15,Model!$B$22,0))/(1-Model!$B$9)/(1+Model!$B$18)^5))</f>
        <v/>
      </c>
      <c r="T94" s="7">
        <f>IF(A94="","",IF((A94+6)&gt;Model!$B$4,0,MAX(0,Model!$B$6-IF((A94+6)&gt;=Model!$B$11,Model!$B$20,0)-IF(6&lt;Model!$B$15,Model!$B$22,0))/(1-Model!$B$9)/(1+Model!$B$18)^6))</f>
        <v/>
      </c>
      <c r="U94" s="7">
        <f>IF(A94="","",IF((A94+7)&gt;Model!$B$4,0,MAX(0,Model!$B$6-IF((A94+7)&gt;=Model!$B$11,Model!$B$20,0)-IF(7&lt;Model!$B$15,Model!$B$22,0))/(1-Model!$B$9)/(1+Model!$B$18)^7))</f>
        <v/>
      </c>
      <c r="V94" s="7">
        <f>IF(A94="","",IF((A94+8)&gt;Model!$B$4,0,MAX(0,Model!$B$6-IF((A94+8)&gt;=Model!$B$11,Model!$B$20,0)-IF(8&lt;Model!$B$15,Model!$B$22,0))/(1-Model!$B$9)/(1+Model!$B$18)^8))</f>
        <v/>
      </c>
      <c r="W94" s="7">
        <f>IF(A94="","",IF((A94+9)&gt;Model!$B$4,0,MAX(0,Model!$B$6-IF((A94+9)&gt;=Model!$B$11,Model!$B$20,0)-IF(9&lt;Model!$B$15,Model!$B$22,0))/(1-Model!$B$9)/(1+Model!$B$18)^9))</f>
        <v/>
      </c>
      <c r="X94" s="7">
        <f>IF(A94="","",IF((A94+10)&gt;Model!$B$4,0,MAX(0,Model!$B$6-IF((A94+10)&gt;=Model!$B$11,Model!$B$20,0)-IF(10&lt;Model!$B$15,Model!$B$22,0))/(1-Model!$B$9)/(1+Model!$B$18)^10))</f>
        <v/>
      </c>
      <c r="Y94" s="7">
        <f>IF(A94="","",IF((A94+11)&gt;Model!$B$4,0,MAX(0,Model!$B$6-IF((A94+11)&gt;=Model!$B$11,Model!$B$20,0)-IF(11&lt;Model!$B$15,Model!$B$22,0))/(1-Model!$B$9)/(1+Model!$B$18)^11))</f>
        <v/>
      </c>
      <c r="Z94" s="7">
        <f>IF(A94="","",IF((A94+12)&gt;Model!$B$4,0,MAX(0,Model!$B$6-IF((A94+12)&gt;=Model!$B$11,Model!$B$20,0)-IF(12&lt;Model!$B$15,Model!$B$22,0))/(1-Model!$B$9)/(1+Model!$B$18)^12))</f>
        <v/>
      </c>
      <c r="AA94" s="7">
        <f>IF(A94="","",IF((A94+13)&gt;Model!$B$4,0,MAX(0,Model!$B$6-IF((A94+13)&gt;=Model!$B$11,Model!$B$20,0)-IF(13&lt;Model!$B$15,Model!$B$22,0))/(1-Model!$B$9)/(1+Model!$B$18)^13))</f>
        <v/>
      </c>
      <c r="AB94" s="7">
        <f>IF(A94="","",IF((A94+14)&gt;Model!$B$4,0,MAX(0,Model!$B$6-IF((A94+14)&gt;=Model!$B$11,Model!$B$20,0)-IF(14&lt;Model!$B$15,Model!$B$22,0))/(1-Model!$B$9)/(1+Model!$B$18)^14))</f>
        <v/>
      </c>
      <c r="AC94" s="7">
        <f>IF(A94="","",IF((A94+15)&gt;Model!$B$4,0,MAX(0,Model!$B$6-IF((A94+15)&gt;=Model!$B$11,Model!$B$20,0)-IF(15&lt;Model!$B$15,Model!$B$22,0))/(1-Model!$B$9)/(1+Model!$B$18)^15))</f>
        <v/>
      </c>
      <c r="AD94" s="7">
        <f>IF(A94="","",IF((A94+16)&gt;Model!$B$4,0,MAX(0,Model!$B$6-IF((A94+16)&gt;=Model!$B$11,Model!$B$20,0)-IF(16&lt;Model!$B$15,Model!$B$22,0))/(1-Model!$B$9)/(1+Model!$B$18)^16))</f>
        <v/>
      </c>
      <c r="AE94" s="7">
        <f>IF(A94="","",IF((A94+17)&gt;Model!$B$4,0,MAX(0,Model!$B$6-IF((A94+17)&gt;=Model!$B$11,Model!$B$20,0)-IF(17&lt;Model!$B$15,Model!$B$22,0))/(1-Model!$B$9)/(1+Model!$B$18)^17))</f>
        <v/>
      </c>
      <c r="AF94" s="7">
        <f>IF(A94="","",IF((A94+18)&gt;Model!$B$4,0,MAX(0,Model!$B$6-IF((A94+18)&gt;=Model!$B$11,Model!$B$20,0)-IF(18&lt;Model!$B$15,Model!$B$22,0))/(1-Model!$B$9)/(1+Model!$B$18)^18))</f>
        <v/>
      </c>
      <c r="AG94" s="7">
        <f>IF(A94="","",IF((A94+19)&gt;Model!$B$4,0,MAX(0,Model!$B$6-IF((A94+19)&gt;=Model!$B$11,Model!$B$20,0)-IF(19&lt;Model!$B$15,Model!$B$22,0))/(1-Model!$B$9)/(1+Model!$B$18)^19))</f>
        <v/>
      </c>
      <c r="AH94" s="7">
        <f>IF(A94="","",IF((A94+20)&gt;Model!$B$4,0,MAX(0,Model!$B$6-IF((A94+20)&gt;=Model!$B$11,Model!$B$20,0)-IF(20&lt;Model!$B$15,Model!$B$22,0))/(1-Model!$B$9)/(1+Model!$B$18)^20))</f>
        <v/>
      </c>
      <c r="AI94" s="7">
        <f>IF(A94="","",IF((A94+21)&gt;Model!$B$4,0,MAX(0,Model!$B$6-IF((A94+21)&gt;=Model!$B$11,Model!$B$20,0)-IF(21&lt;Model!$B$15,Model!$B$22,0))/(1-Model!$B$9)/(1+Model!$B$18)^21))</f>
        <v/>
      </c>
      <c r="AJ94" s="7">
        <f>IF(A94="","",IF((A94+22)&gt;Model!$B$4,0,MAX(0,Model!$B$6-IF((A94+22)&gt;=Model!$B$11,Model!$B$20,0)-IF(22&lt;Model!$B$15,Model!$B$22,0))/(1-Model!$B$9)/(1+Model!$B$18)^22))</f>
        <v/>
      </c>
      <c r="AK94" s="7">
        <f>IF(A94="","",IF((A94+23)&gt;Model!$B$4,0,MAX(0,Model!$B$6-IF((A94+23)&gt;=Model!$B$11,Model!$B$20,0)-IF(23&lt;Model!$B$15,Model!$B$22,0))/(1-Model!$B$9)/(1+Model!$B$18)^23))</f>
        <v/>
      </c>
      <c r="AL94" s="7">
        <f>IF(A94="","",IF((A94+24)&gt;Model!$B$4,0,MAX(0,Model!$B$6-IF((A94+24)&gt;=Model!$B$11,Model!$B$20,0)-IF(24&lt;Model!$B$15,Model!$B$22,0))/(1-Model!$B$9)/(1+Model!$B$18)^24))</f>
        <v/>
      </c>
      <c r="AM94" s="7">
        <f>IF(A94="","",IF((A94+25)&gt;Model!$B$4,0,MAX(0,Model!$B$6-IF((A94+25)&gt;=Model!$B$11,Model!$B$20,0)-IF(25&lt;Model!$B$15,Model!$B$22,0))/(1-Model!$B$9)/(1+Model!$B$18)^25))</f>
        <v/>
      </c>
      <c r="AN94" s="7">
        <f>IF(A94="","",IF((A94+26)&gt;Model!$B$4,0,MAX(0,Model!$B$6-IF((A94+26)&gt;=Model!$B$11,Model!$B$20,0)-IF(26&lt;Model!$B$15,Model!$B$22,0))/(1-Model!$B$9)/(1+Model!$B$18)^26))</f>
        <v/>
      </c>
      <c r="AO94" s="7">
        <f>IF(A94="","",IF((A94+27)&gt;Model!$B$4,0,MAX(0,Model!$B$6-IF((A94+27)&gt;=Model!$B$11,Model!$B$20,0)-IF(27&lt;Model!$B$15,Model!$B$22,0))/(1-Model!$B$9)/(1+Model!$B$18)^27))</f>
        <v/>
      </c>
      <c r="AP94" s="7">
        <f>IF(A94="","",IF((A94+28)&gt;Model!$B$4,0,MAX(0,Model!$B$6-IF((A94+28)&gt;=Model!$B$11,Model!$B$20,0)-IF(28&lt;Model!$B$15,Model!$B$22,0))/(1-Model!$B$9)/(1+Model!$B$18)^28))</f>
        <v/>
      </c>
      <c r="AQ94" s="7">
        <f>IF(A94="","",IF((A94+29)&gt;Model!$B$4,0,MAX(0,Model!$B$6-IF((A94+29)&gt;=Model!$B$11,Model!$B$20,0)-IF(29&lt;Model!$B$15,Model!$B$22,0))/(1-Model!$B$9)/(1+Model!$B$18)^29))</f>
        <v/>
      </c>
      <c r="AR94" s="7">
        <f>IF(A94="","",IF((A94+30)&gt;Model!$B$4,0,MAX(0,Model!$B$6-IF((A94+30)&gt;=Model!$B$11,Model!$B$20,0)-IF(30&lt;Model!$B$15,Model!$B$22,0))/(1-Model!$B$9)/(1+Model!$B$18)^30))</f>
        <v/>
      </c>
      <c r="AS94" s="7">
        <f>IF(A94="","",IF((A94+31)&gt;Model!$B$4,0,MAX(0,Model!$B$6-IF((A94+31)&gt;=Model!$B$11,Model!$B$20,0)-IF(31&lt;Model!$B$15,Model!$B$22,0))/(1-Model!$B$9)/(1+Model!$B$18)^31))</f>
        <v/>
      </c>
      <c r="AT94" s="7">
        <f>IF(A94="","",IF((A94+32)&gt;Model!$B$4,0,MAX(0,Model!$B$6-IF((A94+32)&gt;=Model!$B$11,Model!$B$20,0)-IF(32&lt;Model!$B$15,Model!$B$22,0))/(1-Model!$B$9)/(1+Model!$B$18)^32))</f>
        <v/>
      </c>
      <c r="AU94" s="7">
        <f>IF(A94="","",IF((A94+33)&gt;Model!$B$4,0,MAX(0,Model!$B$6-IF((A94+33)&gt;=Model!$B$11,Model!$B$20,0)-IF(33&lt;Model!$B$15,Model!$B$22,0))/(1-Model!$B$9)/(1+Model!$B$18)^33))</f>
        <v/>
      </c>
      <c r="AV94" s="7">
        <f>IF(A94="","",IF((A94+34)&gt;Model!$B$4,0,MAX(0,Model!$B$6-IF((A94+34)&gt;=Model!$B$11,Model!$B$20,0)-IF(34&lt;Model!$B$15,Model!$B$22,0))/(1-Model!$B$9)/(1+Model!$B$18)^34))</f>
        <v/>
      </c>
      <c r="AW94" s="7">
        <f>IF(A94="","",IF((A94+35)&gt;Model!$B$4,0,MAX(0,Model!$B$6-IF((A94+35)&gt;=Model!$B$11,Model!$B$20,0)-IF(35&lt;Model!$B$15,Model!$B$22,0))/(1-Model!$B$9)/(1+Model!$B$18)^35))</f>
        <v/>
      </c>
      <c r="AX94" s="7">
        <f>IF(A94="","",IF((A94+36)&gt;Model!$B$4,0,MAX(0,Model!$B$6-IF((A94+36)&gt;=Model!$B$11,Model!$B$20,0)-IF(36&lt;Model!$B$15,Model!$B$22,0))/(1-Model!$B$9)/(1+Model!$B$18)^36))</f>
        <v/>
      </c>
      <c r="AY94" s="7">
        <f>IF(A94="","",IF((A94+37)&gt;Model!$B$4,0,MAX(0,Model!$B$6-IF((A94+37)&gt;=Model!$B$11,Model!$B$20,0)-IF(37&lt;Model!$B$15,Model!$B$22,0))/(1-Model!$B$9)/(1+Model!$B$18)^37))</f>
        <v/>
      </c>
      <c r="AZ94" s="7">
        <f>IF(A94="","",IF((A94+38)&gt;Model!$B$4,0,MAX(0,Model!$B$6-IF((A94+38)&gt;=Model!$B$11,Model!$B$20,0)-IF(38&lt;Model!$B$15,Model!$B$22,0))/(1-Model!$B$9)/(1+Model!$B$18)^38))</f>
        <v/>
      </c>
      <c r="BA94" s="7">
        <f>IF(A94="","",IF((A94+39)&gt;Model!$B$4,0,MAX(0,Model!$B$6-IF((A94+39)&gt;=Model!$B$11,Model!$B$20,0)-IF(39&lt;Model!$B$15,Model!$B$22,0))/(1-Model!$B$9)/(1+Model!$B$18)^39))</f>
        <v/>
      </c>
      <c r="BB94" s="7">
        <f>IF(A94="","",IF((A94+40)&gt;Model!$B$4,0,MAX(0,Model!$B$6-IF((A94+40)&gt;=Model!$B$11,Model!$B$20,0)-IF(40&lt;Model!$B$15,Model!$B$22,0))/(1-Model!$B$9)/(1+Model!$B$18)^40))</f>
        <v/>
      </c>
      <c r="BC94" s="7">
        <f>IF(A94="","",IF((A94+41)&gt;Model!$B$4,0,MAX(0,Model!$B$6-IF((A94+41)&gt;=Model!$B$11,Model!$B$20,0)-IF(41&lt;Model!$B$15,Model!$B$22,0))/(1-Model!$B$9)/(1+Model!$B$18)^41))</f>
        <v/>
      </c>
      <c r="BD94" s="7">
        <f>IF(A94="","",IF((A94+42)&gt;Model!$B$4,0,MAX(0,Model!$B$6-IF((A94+42)&gt;=Model!$B$11,Model!$B$20,0)-IF(42&lt;Model!$B$15,Model!$B$22,0))/(1-Model!$B$9)/(1+Model!$B$18)^42))</f>
        <v/>
      </c>
      <c r="BE94" s="7">
        <f>IF(A94="","",IF((A94+43)&gt;Model!$B$4,0,MAX(0,Model!$B$6-IF((A94+43)&gt;=Model!$B$11,Model!$B$20,0)-IF(43&lt;Model!$B$15,Model!$B$22,0))/(1-Model!$B$9)/(1+Model!$B$18)^43))</f>
        <v/>
      </c>
      <c r="BF94" s="7">
        <f>IF(A94="","",IF((A94+44)&gt;Model!$B$4,0,MAX(0,Model!$B$6-IF((A94+44)&gt;=Model!$B$11,Model!$B$20,0)-IF(44&lt;Model!$B$15,Model!$B$22,0))/(1-Model!$B$9)/(1+Model!$B$18)^44))</f>
        <v/>
      </c>
      <c r="BG94" s="7">
        <f>IF(A94="","",IF((A94+45)&gt;Model!$B$4,0,MAX(0,Model!$B$6-IF((A94+45)&gt;=Model!$B$11,Model!$B$20,0)-IF(45&lt;Model!$B$15,Model!$B$22,0))/(1-Model!$B$9)/(1+Model!$B$18)^45))</f>
        <v/>
      </c>
      <c r="BH94" s="7">
        <f>IF(A94="","",IF((A94+46)&gt;Model!$B$4,0,MAX(0,Model!$B$6-IF((A94+46)&gt;=Model!$B$11,Model!$B$20,0)-IF(46&lt;Model!$B$15,Model!$B$22,0))/(1-Model!$B$9)/(1+Model!$B$18)^46))</f>
        <v/>
      </c>
      <c r="BI94" s="7">
        <f>IF(A94="","",IF((A94+47)&gt;Model!$B$4,0,MAX(0,Model!$B$6-IF((A94+47)&gt;=Model!$B$11,Model!$B$20,0)-IF(47&lt;Model!$B$15,Model!$B$22,0))/(1-Model!$B$9)/(1+Model!$B$18)^47))</f>
        <v/>
      </c>
      <c r="BJ94" s="7">
        <f>IF(A94="","",IF((A94+48)&gt;Model!$B$4,0,MAX(0,Model!$B$6-IF((A94+48)&gt;=Model!$B$11,Model!$B$20,0)-IF(48&lt;Model!$B$15,Model!$B$22,0))/(1-Model!$B$9)/(1+Model!$B$18)^48))</f>
        <v/>
      </c>
      <c r="BK94" s="7">
        <f>IF(A94="","",IF((A94+49)&gt;Model!$B$4,0,MAX(0,Model!$B$6-IF((A94+49)&gt;=Model!$B$11,Model!$B$20,0)-IF(49&lt;Model!$B$15,Model!$B$22,0))/(1-Model!$B$9)/(1+Model!$B$18)^49))</f>
        <v/>
      </c>
      <c r="BL94" s="7">
        <f>IF(A94="","",IF((A94+50)&gt;Model!$B$4,0,MAX(0,Model!$B$6-IF((A94+50)&gt;=Model!$B$11,Model!$B$20,0)-IF(50&lt;Model!$B$15,Model!$B$22,0))/(1-Model!$B$9)/(1+Model!$B$18)^50))</f>
        <v/>
      </c>
      <c r="BM94" s="7">
        <f>IF(A94="","",IF((A94+51)&gt;Model!$B$4,0,MAX(0,Model!$B$6-IF((A94+51)&gt;=Model!$B$11,Model!$B$20,0)-IF(51&lt;Model!$B$15,Model!$B$22,0))/(1-Model!$B$9)/(1+Model!$B$18)^51))</f>
        <v/>
      </c>
      <c r="BN94" s="7">
        <f>IF(A94="","",IF((A94+52)&gt;Model!$B$4,0,MAX(0,Model!$B$6-IF((A94+52)&gt;=Model!$B$11,Model!$B$20,0)-IF(52&lt;Model!$B$15,Model!$B$22,0))/(1-Model!$B$9)/(1+Model!$B$18)^52))</f>
        <v/>
      </c>
      <c r="BO94" s="7">
        <f>IF(A94="","",IF((A94+53)&gt;Model!$B$4,0,MAX(0,Model!$B$6-IF((A94+53)&gt;=Model!$B$11,Model!$B$20,0)-IF(53&lt;Model!$B$15,Model!$B$22,0))/(1-Model!$B$9)/(1+Model!$B$18)^53))</f>
        <v/>
      </c>
      <c r="BP94" s="7">
        <f>IF(A94="","",IF((A94+54)&gt;Model!$B$4,0,MAX(0,Model!$B$6-IF((A94+54)&gt;=Model!$B$11,Model!$B$20,0)-IF(54&lt;Model!$B$15,Model!$B$22,0))/(1-Model!$B$9)/(1+Model!$B$18)^54))</f>
        <v/>
      </c>
      <c r="BQ94" s="7">
        <f>IF(A94="","",IF((A94+55)&gt;Model!$B$4,0,MAX(0,Model!$B$6-IF((A94+55)&gt;=Model!$B$11,Model!$B$20,0)-IF(55&lt;Model!$B$15,Model!$B$22,0))/(1-Model!$B$9)/(1+Model!$B$18)^55))</f>
        <v/>
      </c>
      <c r="BR94" s="7">
        <f>IF(A94="","",IF((A94+56)&gt;Model!$B$4,0,MAX(0,Model!$B$6-IF((A94+56)&gt;=Model!$B$11,Model!$B$20,0)-IF(56&lt;Model!$B$15,Model!$B$22,0))/(1-Model!$B$9)/(1+Model!$B$18)^56))</f>
        <v/>
      </c>
      <c r="BS94" s="7">
        <f>IF(A94="","",IF((A94+57)&gt;Model!$B$4,0,MAX(0,Model!$B$6-IF((A94+57)&gt;=Model!$B$11,Model!$B$20,0)-IF(57&lt;Model!$B$15,Model!$B$22,0))/(1-Model!$B$9)/(1+Model!$B$18)^57))</f>
        <v/>
      </c>
      <c r="BT94" s="7">
        <f>IF(A94="","",IF((A94+58)&gt;Model!$B$4,0,MAX(0,Model!$B$6-IF((A94+58)&gt;=Model!$B$11,Model!$B$20,0)-IF(58&lt;Model!$B$15,Model!$B$22,0))/(1-Model!$B$9)/(1+Model!$B$18)^58))</f>
        <v/>
      </c>
      <c r="BU94" s="7">
        <f>IF(A94="","",IF((A94+59)&gt;Model!$B$4,0,MAX(0,Model!$B$6-IF((A94+59)&gt;=Model!$B$11,Model!$B$20,0)-IF(59&lt;Model!$B$15,Model!$B$22,0))/(1-Model!$B$9)/(1+Model!$B$18)^59))</f>
        <v/>
      </c>
      <c r="BV94" s="7">
        <f>IF(A94="","",IF((A94+60)&gt;Model!$B$4,0,MAX(0,Model!$B$6-IF((A94+60)&gt;=Model!$B$11,Model!$B$20,0)-IF(60&lt;Model!$B$15,Model!$B$22,0))/(1-Model!$B$9)/(1+Model!$B$18)^60))</f>
        <v/>
      </c>
      <c r="BW94" s="7">
        <f>IF(A94="","",IF((A94+61)&gt;Model!$B$4,0,MAX(0,Model!$B$6-IF((A94+61)&gt;=Model!$B$11,Model!$B$20,0)-IF(61&lt;Model!$B$15,Model!$B$22,0))/(1-Model!$B$9)/(1+Model!$B$18)^61))</f>
        <v/>
      </c>
      <c r="BX94" s="7">
        <f>IF(A94="","",IF((A94+62)&gt;Model!$B$4,0,MAX(0,Model!$B$6-IF((A94+62)&gt;=Model!$B$11,Model!$B$20,0)-IF(62&lt;Model!$B$15,Model!$B$22,0))/(1-Model!$B$9)/(1+Model!$B$18)^62))</f>
        <v/>
      </c>
      <c r="BY94" s="7">
        <f>IF(A94="","",IF((A94+63)&gt;Model!$B$4,0,MAX(0,Model!$B$6-IF((A94+63)&gt;=Model!$B$11,Model!$B$20,0)-IF(63&lt;Model!$B$15,Model!$B$22,0))/(1-Model!$B$9)/(1+Model!$B$18)^63))</f>
        <v/>
      </c>
      <c r="BZ94" s="7">
        <f>IF(A94="","",IF((A94+64)&gt;Model!$B$4,0,MAX(0,Model!$B$6-IF((A94+64)&gt;=Model!$B$11,Model!$B$20,0)-IF(64&lt;Model!$B$15,Model!$B$22,0))/(1-Model!$B$9)/(1+Model!$B$18)^64))</f>
        <v/>
      </c>
      <c r="CA94" s="7">
        <f>IF(A94="","",IF((A94+65)&gt;Model!$B$4,0,MAX(0,Model!$B$6-IF((A94+65)&gt;=Model!$B$11,Model!$B$20,0)-IF(65&lt;Model!$B$15,Model!$B$22,0))/(1-Model!$B$9)/(1+Model!$B$18)^65))</f>
        <v/>
      </c>
      <c r="CB94" s="7">
        <f>IF(A94="","",IF((A94+66)&gt;Model!$B$4,0,MAX(0,Model!$B$6-IF((A94+66)&gt;=Model!$B$11,Model!$B$20,0)-IF(66&lt;Model!$B$15,Model!$B$22,0))/(1-Model!$B$9)/(1+Model!$B$18)^66))</f>
        <v/>
      </c>
      <c r="CC94" s="7">
        <f>IF(A94="","",IF((A94+67)&gt;Model!$B$4,0,MAX(0,Model!$B$6-IF((A94+67)&gt;=Model!$B$11,Model!$B$20,0)-IF(67&lt;Model!$B$15,Model!$B$22,0))/(1-Model!$B$9)/(1+Model!$B$18)^67))</f>
        <v/>
      </c>
      <c r="CD94" s="7">
        <f>IF(A94="","",IF((A94+68)&gt;Model!$B$4,0,MAX(0,Model!$B$6-IF((A94+68)&gt;=Model!$B$11,Model!$B$20,0)-IF(68&lt;Model!$B$15,Model!$B$22,0))/(1-Model!$B$9)/(1+Model!$B$18)^68))</f>
        <v/>
      </c>
      <c r="CE94" s="7">
        <f>IF(A94="","",IF((A94+69)&gt;Model!$B$4,0,MAX(0,Model!$B$6-IF((A94+69)&gt;=Model!$B$11,Model!$B$20,0)-IF(69&lt;Model!$B$15,Model!$B$22,0))/(1-Model!$B$9)/(1+Model!$B$18)^69))</f>
        <v/>
      </c>
      <c r="CF94" s="7">
        <f>IF(A94="","",IF((A94+70)&gt;Model!$B$4,0,MAX(0,Model!$B$6-IF((A94+70)&gt;=Model!$B$11,Model!$B$20,0)-IF(70&lt;Model!$B$15,Model!$B$22,0))/(1-Model!$B$9)/(1+Model!$B$18)^70))</f>
        <v/>
      </c>
      <c r="CG94" s="7">
        <f>IF(A94="","",IF((A94+71)&gt;Model!$B$4,0,MAX(0,Model!$B$6-IF((A94+71)&gt;=Model!$B$11,Model!$B$20,0)-IF(71&lt;Model!$B$15,Model!$B$22,0))/(1-Model!$B$9)/(1+Model!$B$18)^71))</f>
        <v/>
      </c>
      <c r="CH94" s="7">
        <f>IF(A94="","",IF((A94+72)&gt;Model!$B$4,0,MAX(0,Model!$B$6-IF((A94+72)&gt;=Model!$B$11,Model!$B$20,0)-IF(72&lt;Model!$B$15,Model!$B$22,0))/(1-Model!$B$9)/(1+Model!$B$18)^72))</f>
        <v/>
      </c>
      <c r="CI94" s="7">
        <f>IF(A94="","",IF((A94+73)&gt;Model!$B$4,0,MAX(0,Model!$B$6-IF((A94+73)&gt;=Model!$B$11,Model!$B$20,0)-IF(73&lt;Model!$B$15,Model!$B$22,0))/(1-Model!$B$9)/(1+Model!$B$18)^73))</f>
        <v/>
      </c>
      <c r="CJ94" s="7">
        <f>IF(A94="","",IF((A94+74)&gt;Model!$B$4,0,MAX(0,Model!$B$6-IF((A94+74)&gt;=Model!$B$11,Model!$B$20,0)-IF(74&lt;Model!$B$15,Model!$B$22,0))/(1-Model!$B$9)/(1+Model!$B$18)^74))</f>
        <v/>
      </c>
      <c r="CK94" s="7">
        <f>IF(A94="","",IF((A94+75)&gt;Model!$B$4,0,MAX(0,Model!$B$6-IF((A94+75)&gt;=Model!$B$11,Model!$B$20,0)-IF(75&lt;Model!$B$15,Model!$B$22,0))/(1-Model!$B$9)/(1+Model!$B$18)^75))</f>
        <v/>
      </c>
      <c r="CL94" s="7">
        <f>IF(A94="","",IF((A94+76)&gt;Model!$B$4,0,MAX(0,Model!$B$6-IF((A94+76)&gt;=Model!$B$11,Model!$B$20,0)-IF(76&lt;Model!$B$15,Model!$B$22,0))/(1-Model!$B$9)/(1+Model!$B$18)^76))</f>
        <v/>
      </c>
      <c r="CM94" s="7">
        <f>IF(A94="","",IF((A94+77)&gt;Model!$B$4,0,MAX(0,Model!$B$6-IF((A94+77)&gt;=Model!$B$11,Model!$B$20,0)-IF(77&lt;Model!$B$15,Model!$B$22,0))/(1-Model!$B$9)/(1+Model!$B$18)^77))</f>
        <v/>
      </c>
      <c r="CN94" s="7">
        <f>IF(A94="","",IF((A94+78)&gt;Model!$B$4,0,MAX(0,Model!$B$6-IF((A94+78)&gt;=Model!$B$11,Model!$B$20,0)-IF(78&lt;Model!$B$15,Model!$B$22,0))/(1-Model!$B$9)/(1+Model!$B$18)^78))</f>
        <v/>
      </c>
      <c r="CO94" s="7">
        <f>IF(A94="","",IF((A94+79)&gt;Model!$B$4,0,MAX(0,Model!$B$6-IF((A94+79)&gt;=Model!$B$11,Model!$B$20,0)-IF(79&lt;Model!$B$15,Model!$B$22,0))/(1-Model!$B$9)/(1+Model!$B$18)^79))</f>
        <v/>
      </c>
      <c r="CP94" s="7">
        <f>IF(A94="","",IF((A94+80)&gt;Model!$B$4,0,MAX(0,Model!$B$6-IF((A94+80)&gt;=Model!$B$11,Model!$B$20,0)-IF(80&lt;Model!$B$15,Model!$B$22,0))/(1-Model!$B$9)/(1+Model!$B$18)^80))</f>
        <v/>
      </c>
      <c r="CQ94" s="7">
        <f>IF(A94="","",IF((A94+81)&gt;Model!$B$4,0,MAX(0,Model!$B$6-IF((A94+81)&gt;=Model!$B$11,Model!$B$20,0)-IF(81&lt;Model!$B$15,Model!$B$22,0))/(1-Model!$B$9)/(1+Model!$B$18)^81))</f>
        <v/>
      </c>
      <c r="CR94" s="7">
        <f>IF(A94="","",IF((A94+82)&gt;Model!$B$4,0,MAX(0,Model!$B$6-IF((A94+82)&gt;=Model!$B$11,Model!$B$20,0)-IF(82&lt;Model!$B$15,Model!$B$22,0))/(1-Model!$B$9)/(1+Model!$B$18)^82))</f>
        <v/>
      </c>
      <c r="CS94" s="7">
        <f>IF(A94="","",IF((A94+83)&gt;Model!$B$4,0,MAX(0,Model!$B$6-IF((A94+83)&gt;=Model!$B$11,Model!$B$20,0)-IF(83&lt;Model!$B$15,Model!$B$22,0))/(1-Model!$B$9)/(1+Model!$B$18)^83))</f>
        <v/>
      </c>
      <c r="CT94" s="7">
        <f>IF(A94="","",IF((A94+84)&gt;Model!$B$4,0,MAX(0,Model!$B$6-IF((A94+84)&gt;=Model!$B$11,Model!$B$20,0)-IF(84&lt;Model!$B$15,Model!$B$22,0))/(1-Model!$B$9)/(1+Model!$B$18)^84))</f>
        <v/>
      </c>
      <c r="CU94" s="7">
        <f>IF(A94="","",IF((A94+85)&gt;Model!$B$4,0,MAX(0,Model!$B$6-IF((A94+85)&gt;=Model!$B$11,Model!$B$20,0)-IF(85&lt;Model!$B$15,Model!$B$22,0))/(1-Model!$B$9)/(1+Model!$B$18)^85))</f>
        <v/>
      </c>
      <c r="CV94" s="7">
        <f>IF(A94="","",IF((A94+86)&gt;Model!$B$4,0,MAX(0,Model!$B$6-IF((A94+86)&gt;=Model!$B$11,Model!$B$20,0)-IF(86&lt;Model!$B$15,Model!$B$22,0))/(1-Model!$B$9)/(1+Model!$B$18)^86))</f>
        <v/>
      </c>
      <c r="CW94" s="7">
        <f>IF(A94="","",IF((A94+87)&gt;Model!$B$4,0,MAX(0,Model!$B$6-IF((A94+87)&gt;=Model!$B$11,Model!$B$20,0)-IF(87&lt;Model!$B$15,Model!$B$22,0))/(1-Model!$B$9)/(1+Model!$B$18)^87))</f>
        <v/>
      </c>
      <c r="CX94" s="7">
        <f>IF(A94="","",IF((A94+88)&gt;Model!$B$4,0,MAX(0,Model!$B$6-IF((A94+88)&gt;=Model!$B$11,Model!$B$20,0)-IF(88&lt;Model!$B$15,Model!$B$22,0))/(1-Model!$B$9)/(1+Model!$B$18)^88))</f>
        <v/>
      </c>
      <c r="CY94" s="7">
        <f>IF(A94="","",IF((A94+89)&gt;Model!$B$4,0,MAX(0,Model!$B$6-IF((A94+89)&gt;=Model!$B$11,Model!$B$20,0)-IF(89&lt;Model!$B$15,Model!$B$22,0))/(1-Model!$B$9)/(1+Model!$B$18)^89))</f>
        <v/>
      </c>
      <c r="CZ94" s="7">
        <f>IF(A94="","",IF((A94+90)&gt;Model!$B$4,0,MAX(0,Model!$B$6-IF((A94+90)&gt;=Model!$B$11,Model!$B$20,0)-IF(90&lt;Model!$B$15,Model!$B$22,0))/(1-Model!$B$9)/(1+Model!$B$18)^90))</f>
        <v/>
      </c>
      <c r="DA94" s="7">
        <f>IF(A94="","",IF((A94+91)&gt;Model!$B$4,0,MAX(0,Model!$B$6-IF((A94+91)&gt;=Model!$B$11,Model!$B$20,0)-IF(91&lt;Model!$B$15,Model!$B$22,0))/(1-Model!$B$9)/(1+Model!$B$18)^91))</f>
        <v/>
      </c>
      <c r="DB94" s="7">
        <f>IF(A94="","",IF((A94+92)&gt;Model!$B$4,0,MAX(0,Model!$B$6-IF((A94+92)&gt;=Model!$B$11,Model!$B$20,0)-IF(92&lt;Model!$B$15,Model!$B$22,0))/(1-Model!$B$9)/(1+Model!$B$18)^92))</f>
        <v/>
      </c>
      <c r="DC94" s="7">
        <f>IF(A94="","",IF((A94+93)&gt;Model!$B$4,0,MAX(0,Model!$B$6-IF((A94+93)&gt;=Model!$B$11,Model!$B$20,0)-IF(93&lt;Model!$B$15,Model!$B$22,0))/(1-Model!$B$9)/(1+Model!$B$18)^93))</f>
        <v/>
      </c>
      <c r="DD94" s="7">
        <f>IF(A94="","",IF((A94+94)&gt;Model!$B$4,0,MAX(0,Model!$B$6-IF((A94+94)&gt;=Model!$B$11,Model!$B$20,0)-IF(94&lt;Model!$B$15,Model!$B$22,0))/(1-Model!$B$9)/(1+Model!$B$18)^94))</f>
        <v/>
      </c>
      <c r="DE94" s="7">
        <f>IF(A94="","",IF((A94+95)&gt;Model!$B$4,0,MAX(0,Model!$B$6-IF((A94+95)&gt;=Model!$B$11,Model!$B$20,0)-IF(95&lt;Model!$B$15,Model!$B$22,0))/(1-Model!$B$9)/(1+Model!$B$18)^95))</f>
        <v/>
      </c>
      <c r="DF94" s="7">
        <f>IF(A94="","",IF((A94+96)&gt;Model!$B$4,0,MAX(0,Model!$B$6-IF((A94+96)&gt;=Model!$B$11,Model!$B$20,0)-IF(96&lt;Model!$B$15,Model!$B$22,0))/(1-Model!$B$9)/(1+Model!$B$18)^96))</f>
        <v/>
      </c>
      <c r="DG94" s="7">
        <f>IF(A94="","",IF((A94+97)&gt;Model!$B$4,0,MAX(0,Model!$B$6-IF((A94+97)&gt;=Model!$B$11,Model!$B$20,0)-IF(97&lt;Model!$B$15,Model!$B$22,0))/(1-Model!$B$9)/(1+Model!$B$18)^97))</f>
        <v/>
      </c>
      <c r="DH94" s="7">
        <f>IF(A94="","",IF((A94+98)&gt;Model!$B$4,0,MAX(0,Model!$B$6-IF((A94+98)&gt;=Model!$B$11,Model!$B$20,0)-IF(98&lt;Model!$B$15,Model!$B$22,0))/(1-Model!$B$9)/(1+Model!$B$18)^98))</f>
        <v/>
      </c>
      <c r="DI94" s="7">
        <f>IF(A94="","",IF((A94+99)&gt;Model!$B$4,0,MAX(0,Model!$B$6-IF((A94+99)&gt;=Model!$B$11,Model!$B$20,0)-IF(99&lt;Model!$B$15,Model!$B$22,0))/(1-Model!$B$9)/(1+Model!$B$18)^99))</f>
        <v/>
      </c>
      <c r="DJ94" s="7">
        <f>IF(A94="","",IF((A94+100)&gt;Model!$B$4,0,MAX(0,Model!$B$6-IF((A94+100)&gt;=Model!$B$11,Model!$B$20,0)-IF(100&lt;Model!$B$15,Model!$B$22,0))/(1-Model!$B$9)/(1+Model!$B$18)^100))</f>
        <v/>
      </c>
      <c r="DK94" s="7">
        <f>IF(A94="","",IF((A94+101)&gt;Model!$B$4,0,MAX(0,Model!$B$6-IF((A94+101)&gt;=Model!$B$11,Model!$B$20,0)-IF(101&lt;Model!$B$15,Model!$B$22,0))/(1-Model!$B$9)/(1+Model!$B$18)^101))</f>
        <v/>
      </c>
      <c r="DL94" s="7">
        <f>IF(A94="","",IF((A94+102)&gt;Model!$B$4,0,MAX(0,Model!$B$6-IF((A94+102)&gt;=Model!$B$11,Model!$B$20,0)-IF(102&lt;Model!$B$15,Model!$B$22,0))/(1-Model!$B$9)/(1+Model!$B$18)^102))</f>
        <v/>
      </c>
      <c r="DM94" s="7">
        <f>IF(A94="","",IF((A94+103)&gt;Model!$B$4,0,MAX(0,Model!$B$6-IF((A94+103)&gt;=Model!$B$11,Model!$B$20,0)-IF(103&lt;Model!$B$15,Model!$B$22,0))/(1-Model!$B$9)/(1+Model!$B$18)^103))</f>
        <v/>
      </c>
      <c r="DN94" s="7">
        <f>IF(A94="","",IF((A94+104)&gt;Model!$B$4,0,MAX(0,Model!$B$6-IF((A94+104)&gt;=Model!$B$11,Model!$B$20,0)-IF(104&lt;Model!$B$15,Model!$B$22,0))/(1-Model!$B$9)/(1+Model!$B$18)^104))</f>
        <v/>
      </c>
      <c r="DO94" s="7">
        <f>IF(A94="","",IF((A94+105)&gt;Model!$B$4,0,MAX(0,Model!$B$6-IF((A94+105)&gt;=Model!$B$11,Model!$B$20,0)-IF(105&lt;Model!$B$15,Model!$B$22,0))/(1-Model!$B$9)/(1+Model!$B$18)^105))</f>
        <v/>
      </c>
      <c r="DP94" s="7">
        <f>IF(A94="","",IF((A94+106)&gt;Model!$B$4,0,MAX(0,Model!$B$6-IF((A94+106)&gt;=Model!$B$11,Model!$B$20,0)-IF(106&lt;Model!$B$15,Model!$B$22,0))/(1-Model!$B$9)/(1+Model!$B$18)^106))</f>
        <v/>
      </c>
      <c r="DQ94" s="7">
        <f>IF(A94="","",IF((A94+107)&gt;Model!$B$4,0,MAX(0,Model!$B$6-IF((A94+107)&gt;=Model!$B$11,Model!$B$20,0)-IF(107&lt;Model!$B$15,Model!$B$22,0))/(1-Model!$B$9)/(1+Model!$B$18)^107))</f>
        <v/>
      </c>
      <c r="DR94" s="7">
        <f>IF(A94="","",IF((A94+108)&gt;Model!$B$4,0,MAX(0,Model!$B$6-IF((A94+108)&gt;=Model!$B$11,Model!$B$20,0)-IF(108&lt;Model!$B$15,Model!$B$22,0))/(1-Model!$B$9)/(1+Model!$B$18)^108))</f>
        <v/>
      </c>
      <c r="DS94" s="7">
        <f>IF(A94="","",IF((A94+109)&gt;Model!$B$4,0,MAX(0,Model!$B$6-IF((A94+109)&gt;=Model!$B$11,Model!$B$20,0)-IF(109&lt;Model!$B$15,Model!$B$22,0))/(1-Model!$B$9)/(1+Model!$B$18)^109))</f>
        <v/>
      </c>
      <c r="DT94" s="7">
        <f>IF(A94="","",IF((A94+110)&gt;Model!$B$4,0,MAX(0,Model!$B$6-IF((A94+110)&gt;=Model!$B$11,Model!$B$20,0)-IF(110&lt;Model!$B$15,Model!$B$22,0))/(1-Model!$B$9)/(1+Model!$B$18)^110))</f>
        <v/>
      </c>
      <c r="DU94" s="7">
        <f>IF(A94="","",IF((A94+111)&gt;Model!$B$4,0,MAX(0,Model!$B$6-IF((A94+111)&gt;=Model!$B$11,Model!$B$20,0)-IF(111&lt;Model!$B$15,Model!$B$22,0))/(1-Model!$B$9)/(1+Model!$B$18)^111))</f>
        <v/>
      </c>
      <c r="DV94" s="7">
        <f>IF(A94="","",IF((A94+112)&gt;Model!$B$4,0,MAX(0,Model!$B$6-IF((A94+112)&gt;=Model!$B$11,Model!$B$20,0)-IF(112&lt;Model!$B$15,Model!$B$22,0))/(1-Model!$B$9)/(1+Model!$B$18)^112))</f>
        <v/>
      </c>
      <c r="DW94" s="7">
        <f>IF(A94="","",IF((A94+113)&gt;Model!$B$4,0,MAX(0,Model!$B$6-IF((A94+113)&gt;=Model!$B$11,Model!$B$20,0)-IF(113&lt;Model!$B$15,Model!$B$22,0))/(1-Model!$B$9)/(1+Model!$B$18)^113))</f>
        <v/>
      </c>
      <c r="DX94" s="7">
        <f>IF(A94="","",IF((A94+114)&gt;Model!$B$4,0,MAX(0,Model!$B$6-IF((A94+114)&gt;=Model!$B$11,Model!$B$20,0)-IF(114&lt;Model!$B$15,Model!$B$22,0))/(1-Model!$B$9)/(1+Model!$B$18)^114))</f>
        <v/>
      </c>
      <c r="DY94" s="7">
        <f>IF(A94="","",IF((A94+115)&gt;Model!$B$4,0,MAX(0,Model!$B$6-IF((A94+115)&gt;=Model!$B$11,Model!$B$20,0)-IF(115&lt;Model!$B$15,Model!$B$22,0))/(1-Model!$B$9)/(1+Model!$B$18)^115))</f>
        <v/>
      </c>
      <c r="DZ94" s="7">
        <f>IF(A94="","",IF((A94+116)&gt;Model!$B$4,0,MAX(0,Model!$B$6-IF((A94+116)&gt;=Model!$B$11,Model!$B$20,0)-IF(116&lt;Model!$B$15,Model!$B$22,0))/(1-Model!$B$9)/(1+Model!$B$18)^116))</f>
        <v/>
      </c>
      <c r="EA94" s="7">
        <f>IF(A94="","",IF((A94+117)&gt;Model!$B$4,0,MAX(0,Model!$B$6-IF((A94+117)&gt;=Model!$B$11,Model!$B$20,0)-IF(117&lt;Model!$B$15,Model!$B$22,0))/(1-Model!$B$9)/(1+Model!$B$18)^117))</f>
        <v/>
      </c>
      <c r="EB94" s="7">
        <f>IF(A94="","",IF((A94+118)&gt;Model!$B$4,0,MAX(0,Model!$B$6-IF((A94+118)&gt;=Model!$B$11,Model!$B$20,0)-IF(118&lt;Model!$B$15,Model!$B$22,0))/(1-Model!$B$9)/(1+Model!$B$18)^118))</f>
        <v/>
      </c>
      <c r="EC94" s="7">
        <f>IF(A94="","",IF((A94+119)&gt;Model!$B$4,0,MAX(0,Model!$B$6-IF((A94+119)&gt;=Model!$B$11,Model!$B$20,0)-IF(119&lt;Model!$B$15,Model!$B$22,0))/(1-Model!$B$9)/(1+Model!$B$18)^119))</f>
        <v/>
      </c>
      <c r="ED94" s="7">
        <f>IF(A94="","",IF((A94+120)&gt;Model!$B$4,0,MAX(0,Model!$B$6-IF((A94+120)&gt;=Model!$B$11,Model!$B$20,0)-IF(120&lt;Model!$B$15,Model!$B$22,0))/(1-Model!$B$9)/(1+Model!$B$18)^120))</f>
        <v/>
      </c>
    </row>
    <row r="95">
      <c r="A95">
        <f>IF(Model!$B$10+ROW()-2&lt;=Model!$B$4,Model!$B$10+ROW()-2,"")</f>
        <v/>
      </c>
      <c r="B95">
        <f>IF(A95="","",A95-Model!$B$10)</f>
        <v/>
      </c>
      <c r="C95" s="7">
        <f>IF(A95="","",Model!$B$5*(1+Model!$B$18)^B95)</f>
        <v/>
      </c>
      <c r="D95" s="7">
        <f>IF(A95="","",SUM(N95:ED95))</f>
        <v/>
      </c>
      <c r="E95" s="7">
        <f>IF(A95="","",IF(A95&gt;=Model!$B$11,Model!$B$20,0))</f>
        <v/>
      </c>
      <c r="F95" s="7">
        <f>IF(A95="","",IF(Model!$B$15&gt;0,Model!$B$22,0))</f>
        <v/>
      </c>
      <c r="G95" s="7">
        <f>IF(A95="","",E95+F95)</f>
        <v/>
      </c>
      <c r="H95" s="7">
        <f>IF(A95="","",MAX(0,Model!$B$6-G95))</f>
        <v/>
      </c>
      <c r="I95" s="7">
        <f>IF(A95="","",H95/(1-Model!$B$9))</f>
        <v/>
      </c>
      <c r="J95" s="7">
        <f>IF(A95="","",C95-D95)</f>
        <v/>
      </c>
      <c r="K95">
        <f>IF(A95="","",C95&gt;=D95)</f>
        <v/>
      </c>
      <c r="L95" s="7">
        <f>IF(A95="","",IF(A95&gt;=Model!$B$11,Model!$B$19*(1+Model!$B$13)^B95,0))</f>
        <v/>
      </c>
      <c r="M95" s="7">
        <f>IF(A95="","",IF(Model!$B$15&gt;0,Model!$B$21*(1+Model!$B$13)^B95,0))</f>
        <v/>
      </c>
      <c r="N95" s="7">
        <f>IF(A95="","",IF((A95+0)&gt;Model!$B$4,0,MAX(0,Model!$B$6-IF((A95+0)&gt;=Model!$B$11,Model!$B$20,0)-IF(0&lt;Model!$B$15,Model!$B$22,0))/(1-Model!$B$9)/(1+Model!$B$18)^0))</f>
        <v/>
      </c>
      <c r="O95" s="7">
        <f>IF(A95="","",IF((A95+1)&gt;Model!$B$4,0,MAX(0,Model!$B$6-IF((A95+1)&gt;=Model!$B$11,Model!$B$20,0)-IF(1&lt;Model!$B$15,Model!$B$22,0))/(1-Model!$B$9)/(1+Model!$B$18)^1))</f>
        <v/>
      </c>
      <c r="P95" s="7">
        <f>IF(A95="","",IF((A95+2)&gt;Model!$B$4,0,MAX(0,Model!$B$6-IF((A95+2)&gt;=Model!$B$11,Model!$B$20,0)-IF(2&lt;Model!$B$15,Model!$B$22,0))/(1-Model!$B$9)/(1+Model!$B$18)^2))</f>
        <v/>
      </c>
      <c r="Q95" s="7">
        <f>IF(A95="","",IF((A95+3)&gt;Model!$B$4,0,MAX(0,Model!$B$6-IF((A95+3)&gt;=Model!$B$11,Model!$B$20,0)-IF(3&lt;Model!$B$15,Model!$B$22,0))/(1-Model!$B$9)/(1+Model!$B$18)^3))</f>
        <v/>
      </c>
      <c r="R95" s="7">
        <f>IF(A95="","",IF((A95+4)&gt;Model!$B$4,0,MAX(0,Model!$B$6-IF((A95+4)&gt;=Model!$B$11,Model!$B$20,0)-IF(4&lt;Model!$B$15,Model!$B$22,0))/(1-Model!$B$9)/(1+Model!$B$18)^4))</f>
        <v/>
      </c>
      <c r="S95" s="7">
        <f>IF(A95="","",IF((A95+5)&gt;Model!$B$4,0,MAX(0,Model!$B$6-IF((A95+5)&gt;=Model!$B$11,Model!$B$20,0)-IF(5&lt;Model!$B$15,Model!$B$22,0))/(1-Model!$B$9)/(1+Model!$B$18)^5))</f>
        <v/>
      </c>
      <c r="T95" s="7">
        <f>IF(A95="","",IF((A95+6)&gt;Model!$B$4,0,MAX(0,Model!$B$6-IF((A95+6)&gt;=Model!$B$11,Model!$B$20,0)-IF(6&lt;Model!$B$15,Model!$B$22,0))/(1-Model!$B$9)/(1+Model!$B$18)^6))</f>
        <v/>
      </c>
      <c r="U95" s="7">
        <f>IF(A95="","",IF((A95+7)&gt;Model!$B$4,0,MAX(0,Model!$B$6-IF((A95+7)&gt;=Model!$B$11,Model!$B$20,0)-IF(7&lt;Model!$B$15,Model!$B$22,0))/(1-Model!$B$9)/(1+Model!$B$18)^7))</f>
        <v/>
      </c>
      <c r="V95" s="7">
        <f>IF(A95="","",IF((A95+8)&gt;Model!$B$4,0,MAX(0,Model!$B$6-IF((A95+8)&gt;=Model!$B$11,Model!$B$20,0)-IF(8&lt;Model!$B$15,Model!$B$22,0))/(1-Model!$B$9)/(1+Model!$B$18)^8))</f>
        <v/>
      </c>
      <c r="W95" s="7">
        <f>IF(A95="","",IF((A95+9)&gt;Model!$B$4,0,MAX(0,Model!$B$6-IF((A95+9)&gt;=Model!$B$11,Model!$B$20,0)-IF(9&lt;Model!$B$15,Model!$B$22,0))/(1-Model!$B$9)/(1+Model!$B$18)^9))</f>
        <v/>
      </c>
      <c r="X95" s="7">
        <f>IF(A95="","",IF((A95+10)&gt;Model!$B$4,0,MAX(0,Model!$B$6-IF((A95+10)&gt;=Model!$B$11,Model!$B$20,0)-IF(10&lt;Model!$B$15,Model!$B$22,0))/(1-Model!$B$9)/(1+Model!$B$18)^10))</f>
        <v/>
      </c>
      <c r="Y95" s="7">
        <f>IF(A95="","",IF((A95+11)&gt;Model!$B$4,0,MAX(0,Model!$B$6-IF((A95+11)&gt;=Model!$B$11,Model!$B$20,0)-IF(11&lt;Model!$B$15,Model!$B$22,0))/(1-Model!$B$9)/(1+Model!$B$18)^11))</f>
        <v/>
      </c>
      <c r="Z95" s="7">
        <f>IF(A95="","",IF((A95+12)&gt;Model!$B$4,0,MAX(0,Model!$B$6-IF((A95+12)&gt;=Model!$B$11,Model!$B$20,0)-IF(12&lt;Model!$B$15,Model!$B$22,0))/(1-Model!$B$9)/(1+Model!$B$18)^12))</f>
        <v/>
      </c>
      <c r="AA95" s="7">
        <f>IF(A95="","",IF((A95+13)&gt;Model!$B$4,0,MAX(0,Model!$B$6-IF((A95+13)&gt;=Model!$B$11,Model!$B$20,0)-IF(13&lt;Model!$B$15,Model!$B$22,0))/(1-Model!$B$9)/(1+Model!$B$18)^13))</f>
        <v/>
      </c>
      <c r="AB95" s="7">
        <f>IF(A95="","",IF((A95+14)&gt;Model!$B$4,0,MAX(0,Model!$B$6-IF((A95+14)&gt;=Model!$B$11,Model!$B$20,0)-IF(14&lt;Model!$B$15,Model!$B$22,0))/(1-Model!$B$9)/(1+Model!$B$18)^14))</f>
        <v/>
      </c>
      <c r="AC95" s="7">
        <f>IF(A95="","",IF((A95+15)&gt;Model!$B$4,0,MAX(0,Model!$B$6-IF((A95+15)&gt;=Model!$B$11,Model!$B$20,0)-IF(15&lt;Model!$B$15,Model!$B$22,0))/(1-Model!$B$9)/(1+Model!$B$18)^15))</f>
        <v/>
      </c>
      <c r="AD95" s="7">
        <f>IF(A95="","",IF((A95+16)&gt;Model!$B$4,0,MAX(0,Model!$B$6-IF((A95+16)&gt;=Model!$B$11,Model!$B$20,0)-IF(16&lt;Model!$B$15,Model!$B$22,0))/(1-Model!$B$9)/(1+Model!$B$18)^16))</f>
        <v/>
      </c>
      <c r="AE95" s="7">
        <f>IF(A95="","",IF((A95+17)&gt;Model!$B$4,0,MAX(0,Model!$B$6-IF((A95+17)&gt;=Model!$B$11,Model!$B$20,0)-IF(17&lt;Model!$B$15,Model!$B$22,0))/(1-Model!$B$9)/(1+Model!$B$18)^17))</f>
        <v/>
      </c>
      <c r="AF95" s="7">
        <f>IF(A95="","",IF((A95+18)&gt;Model!$B$4,0,MAX(0,Model!$B$6-IF((A95+18)&gt;=Model!$B$11,Model!$B$20,0)-IF(18&lt;Model!$B$15,Model!$B$22,0))/(1-Model!$B$9)/(1+Model!$B$18)^18))</f>
        <v/>
      </c>
      <c r="AG95" s="7">
        <f>IF(A95="","",IF((A95+19)&gt;Model!$B$4,0,MAX(0,Model!$B$6-IF((A95+19)&gt;=Model!$B$11,Model!$B$20,0)-IF(19&lt;Model!$B$15,Model!$B$22,0))/(1-Model!$B$9)/(1+Model!$B$18)^19))</f>
        <v/>
      </c>
      <c r="AH95" s="7">
        <f>IF(A95="","",IF((A95+20)&gt;Model!$B$4,0,MAX(0,Model!$B$6-IF((A95+20)&gt;=Model!$B$11,Model!$B$20,0)-IF(20&lt;Model!$B$15,Model!$B$22,0))/(1-Model!$B$9)/(1+Model!$B$18)^20))</f>
        <v/>
      </c>
      <c r="AI95" s="7">
        <f>IF(A95="","",IF((A95+21)&gt;Model!$B$4,0,MAX(0,Model!$B$6-IF((A95+21)&gt;=Model!$B$11,Model!$B$20,0)-IF(21&lt;Model!$B$15,Model!$B$22,0))/(1-Model!$B$9)/(1+Model!$B$18)^21))</f>
        <v/>
      </c>
      <c r="AJ95" s="7">
        <f>IF(A95="","",IF((A95+22)&gt;Model!$B$4,0,MAX(0,Model!$B$6-IF((A95+22)&gt;=Model!$B$11,Model!$B$20,0)-IF(22&lt;Model!$B$15,Model!$B$22,0))/(1-Model!$B$9)/(1+Model!$B$18)^22))</f>
        <v/>
      </c>
      <c r="AK95" s="7">
        <f>IF(A95="","",IF((A95+23)&gt;Model!$B$4,0,MAX(0,Model!$B$6-IF((A95+23)&gt;=Model!$B$11,Model!$B$20,0)-IF(23&lt;Model!$B$15,Model!$B$22,0))/(1-Model!$B$9)/(1+Model!$B$18)^23))</f>
        <v/>
      </c>
      <c r="AL95" s="7">
        <f>IF(A95="","",IF((A95+24)&gt;Model!$B$4,0,MAX(0,Model!$B$6-IF((A95+24)&gt;=Model!$B$11,Model!$B$20,0)-IF(24&lt;Model!$B$15,Model!$B$22,0))/(1-Model!$B$9)/(1+Model!$B$18)^24))</f>
        <v/>
      </c>
      <c r="AM95" s="7">
        <f>IF(A95="","",IF((A95+25)&gt;Model!$B$4,0,MAX(0,Model!$B$6-IF((A95+25)&gt;=Model!$B$11,Model!$B$20,0)-IF(25&lt;Model!$B$15,Model!$B$22,0))/(1-Model!$B$9)/(1+Model!$B$18)^25))</f>
        <v/>
      </c>
      <c r="AN95" s="7">
        <f>IF(A95="","",IF((A95+26)&gt;Model!$B$4,0,MAX(0,Model!$B$6-IF((A95+26)&gt;=Model!$B$11,Model!$B$20,0)-IF(26&lt;Model!$B$15,Model!$B$22,0))/(1-Model!$B$9)/(1+Model!$B$18)^26))</f>
        <v/>
      </c>
      <c r="AO95" s="7">
        <f>IF(A95="","",IF((A95+27)&gt;Model!$B$4,0,MAX(0,Model!$B$6-IF((A95+27)&gt;=Model!$B$11,Model!$B$20,0)-IF(27&lt;Model!$B$15,Model!$B$22,0))/(1-Model!$B$9)/(1+Model!$B$18)^27))</f>
        <v/>
      </c>
      <c r="AP95" s="7">
        <f>IF(A95="","",IF((A95+28)&gt;Model!$B$4,0,MAX(0,Model!$B$6-IF((A95+28)&gt;=Model!$B$11,Model!$B$20,0)-IF(28&lt;Model!$B$15,Model!$B$22,0))/(1-Model!$B$9)/(1+Model!$B$18)^28))</f>
        <v/>
      </c>
      <c r="AQ95" s="7">
        <f>IF(A95="","",IF((A95+29)&gt;Model!$B$4,0,MAX(0,Model!$B$6-IF((A95+29)&gt;=Model!$B$11,Model!$B$20,0)-IF(29&lt;Model!$B$15,Model!$B$22,0))/(1-Model!$B$9)/(1+Model!$B$18)^29))</f>
        <v/>
      </c>
      <c r="AR95" s="7">
        <f>IF(A95="","",IF((A95+30)&gt;Model!$B$4,0,MAX(0,Model!$B$6-IF((A95+30)&gt;=Model!$B$11,Model!$B$20,0)-IF(30&lt;Model!$B$15,Model!$B$22,0))/(1-Model!$B$9)/(1+Model!$B$18)^30))</f>
        <v/>
      </c>
      <c r="AS95" s="7">
        <f>IF(A95="","",IF((A95+31)&gt;Model!$B$4,0,MAX(0,Model!$B$6-IF((A95+31)&gt;=Model!$B$11,Model!$B$20,0)-IF(31&lt;Model!$B$15,Model!$B$22,0))/(1-Model!$B$9)/(1+Model!$B$18)^31))</f>
        <v/>
      </c>
      <c r="AT95" s="7">
        <f>IF(A95="","",IF((A95+32)&gt;Model!$B$4,0,MAX(0,Model!$B$6-IF((A95+32)&gt;=Model!$B$11,Model!$B$20,0)-IF(32&lt;Model!$B$15,Model!$B$22,0))/(1-Model!$B$9)/(1+Model!$B$18)^32))</f>
        <v/>
      </c>
      <c r="AU95" s="7">
        <f>IF(A95="","",IF((A95+33)&gt;Model!$B$4,0,MAX(0,Model!$B$6-IF((A95+33)&gt;=Model!$B$11,Model!$B$20,0)-IF(33&lt;Model!$B$15,Model!$B$22,0))/(1-Model!$B$9)/(1+Model!$B$18)^33))</f>
        <v/>
      </c>
      <c r="AV95" s="7">
        <f>IF(A95="","",IF((A95+34)&gt;Model!$B$4,0,MAX(0,Model!$B$6-IF((A95+34)&gt;=Model!$B$11,Model!$B$20,0)-IF(34&lt;Model!$B$15,Model!$B$22,0))/(1-Model!$B$9)/(1+Model!$B$18)^34))</f>
        <v/>
      </c>
      <c r="AW95" s="7">
        <f>IF(A95="","",IF((A95+35)&gt;Model!$B$4,0,MAX(0,Model!$B$6-IF((A95+35)&gt;=Model!$B$11,Model!$B$20,0)-IF(35&lt;Model!$B$15,Model!$B$22,0))/(1-Model!$B$9)/(1+Model!$B$18)^35))</f>
        <v/>
      </c>
      <c r="AX95" s="7">
        <f>IF(A95="","",IF((A95+36)&gt;Model!$B$4,0,MAX(0,Model!$B$6-IF((A95+36)&gt;=Model!$B$11,Model!$B$20,0)-IF(36&lt;Model!$B$15,Model!$B$22,0))/(1-Model!$B$9)/(1+Model!$B$18)^36))</f>
        <v/>
      </c>
      <c r="AY95" s="7">
        <f>IF(A95="","",IF((A95+37)&gt;Model!$B$4,0,MAX(0,Model!$B$6-IF((A95+37)&gt;=Model!$B$11,Model!$B$20,0)-IF(37&lt;Model!$B$15,Model!$B$22,0))/(1-Model!$B$9)/(1+Model!$B$18)^37))</f>
        <v/>
      </c>
      <c r="AZ95" s="7">
        <f>IF(A95="","",IF((A95+38)&gt;Model!$B$4,0,MAX(0,Model!$B$6-IF((A95+38)&gt;=Model!$B$11,Model!$B$20,0)-IF(38&lt;Model!$B$15,Model!$B$22,0))/(1-Model!$B$9)/(1+Model!$B$18)^38))</f>
        <v/>
      </c>
      <c r="BA95" s="7">
        <f>IF(A95="","",IF((A95+39)&gt;Model!$B$4,0,MAX(0,Model!$B$6-IF((A95+39)&gt;=Model!$B$11,Model!$B$20,0)-IF(39&lt;Model!$B$15,Model!$B$22,0))/(1-Model!$B$9)/(1+Model!$B$18)^39))</f>
        <v/>
      </c>
      <c r="BB95" s="7">
        <f>IF(A95="","",IF((A95+40)&gt;Model!$B$4,0,MAX(0,Model!$B$6-IF((A95+40)&gt;=Model!$B$11,Model!$B$20,0)-IF(40&lt;Model!$B$15,Model!$B$22,0))/(1-Model!$B$9)/(1+Model!$B$18)^40))</f>
        <v/>
      </c>
      <c r="BC95" s="7">
        <f>IF(A95="","",IF((A95+41)&gt;Model!$B$4,0,MAX(0,Model!$B$6-IF((A95+41)&gt;=Model!$B$11,Model!$B$20,0)-IF(41&lt;Model!$B$15,Model!$B$22,0))/(1-Model!$B$9)/(1+Model!$B$18)^41))</f>
        <v/>
      </c>
      <c r="BD95" s="7">
        <f>IF(A95="","",IF((A95+42)&gt;Model!$B$4,0,MAX(0,Model!$B$6-IF((A95+42)&gt;=Model!$B$11,Model!$B$20,0)-IF(42&lt;Model!$B$15,Model!$B$22,0))/(1-Model!$B$9)/(1+Model!$B$18)^42))</f>
        <v/>
      </c>
      <c r="BE95" s="7">
        <f>IF(A95="","",IF((A95+43)&gt;Model!$B$4,0,MAX(0,Model!$B$6-IF((A95+43)&gt;=Model!$B$11,Model!$B$20,0)-IF(43&lt;Model!$B$15,Model!$B$22,0))/(1-Model!$B$9)/(1+Model!$B$18)^43))</f>
        <v/>
      </c>
      <c r="BF95" s="7">
        <f>IF(A95="","",IF((A95+44)&gt;Model!$B$4,0,MAX(0,Model!$B$6-IF((A95+44)&gt;=Model!$B$11,Model!$B$20,0)-IF(44&lt;Model!$B$15,Model!$B$22,0))/(1-Model!$B$9)/(1+Model!$B$18)^44))</f>
        <v/>
      </c>
      <c r="BG95" s="7">
        <f>IF(A95="","",IF((A95+45)&gt;Model!$B$4,0,MAX(0,Model!$B$6-IF((A95+45)&gt;=Model!$B$11,Model!$B$20,0)-IF(45&lt;Model!$B$15,Model!$B$22,0))/(1-Model!$B$9)/(1+Model!$B$18)^45))</f>
        <v/>
      </c>
      <c r="BH95" s="7">
        <f>IF(A95="","",IF((A95+46)&gt;Model!$B$4,0,MAX(0,Model!$B$6-IF((A95+46)&gt;=Model!$B$11,Model!$B$20,0)-IF(46&lt;Model!$B$15,Model!$B$22,0))/(1-Model!$B$9)/(1+Model!$B$18)^46))</f>
        <v/>
      </c>
      <c r="BI95" s="7">
        <f>IF(A95="","",IF((A95+47)&gt;Model!$B$4,0,MAX(0,Model!$B$6-IF((A95+47)&gt;=Model!$B$11,Model!$B$20,0)-IF(47&lt;Model!$B$15,Model!$B$22,0))/(1-Model!$B$9)/(1+Model!$B$18)^47))</f>
        <v/>
      </c>
      <c r="BJ95" s="7">
        <f>IF(A95="","",IF((A95+48)&gt;Model!$B$4,0,MAX(0,Model!$B$6-IF((A95+48)&gt;=Model!$B$11,Model!$B$20,0)-IF(48&lt;Model!$B$15,Model!$B$22,0))/(1-Model!$B$9)/(1+Model!$B$18)^48))</f>
        <v/>
      </c>
      <c r="BK95" s="7">
        <f>IF(A95="","",IF((A95+49)&gt;Model!$B$4,0,MAX(0,Model!$B$6-IF((A95+49)&gt;=Model!$B$11,Model!$B$20,0)-IF(49&lt;Model!$B$15,Model!$B$22,0))/(1-Model!$B$9)/(1+Model!$B$18)^49))</f>
        <v/>
      </c>
      <c r="BL95" s="7">
        <f>IF(A95="","",IF((A95+50)&gt;Model!$B$4,0,MAX(0,Model!$B$6-IF((A95+50)&gt;=Model!$B$11,Model!$B$20,0)-IF(50&lt;Model!$B$15,Model!$B$22,0))/(1-Model!$B$9)/(1+Model!$B$18)^50))</f>
        <v/>
      </c>
      <c r="BM95" s="7">
        <f>IF(A95="","",IF((A95+51)&gt;Model!$B$4,0,MAX(0,Model!$B$6-IF((A95+51)&gt;=Model!$B$11,Model!$B$20,0)-IF(51&lt;Model!$B$15,Model!$B$22,0))/(1-Model!$B$9)/(1+Model!$B$18)^51))</f>
        <v/>
      </c>
      <c r="BN95" s="7">
        <f>IF(A95="","",IF((A95+52)&gt;Model!$B$4,0,MAX(0,Model!$B$6-IF((A95+52)&gt;=Model!$B$11,Model!$B$20,0)-IF(52&lt;Model!$B$15,Model!$B$22,0))/(1-Model!$B$9)/(1+Model!$B$18)^52))</f>
        <v/>
      </c>
      <c r="BO95" s="7">
        <f>IF(A95="","",IF((A95+53)&gt;Model!$B$4,0,MAX(0,Model!$B$6-IF((A95+53)&gt;=Model!$B$11,Model!$B$20,0)-IF(53&lt;Model!$B$15,Model!$B$22,0))/(1-Model!$B$9)/(1+Model!$B$18)^53))</f>
        <v/>
      </c>
      <c r="BP95" s="7">
        <f>IF(A95="","",IF((A95+54)&gt;Model!$B$4,0,MAX(0,Model!$B$6-IF((A95+54)&gt;=Model!$B$11,Model!$B$20,0)-IF(54&lt;Model!$B$15,Model!$B$22,0))/(1-Model!$B$9)/(1+Model!$B$18)^54))</f>
        <v/>
      </c>
      <c r="BQ95" s="7">
        <f>IF(A95="","",IF((A95+55)&gt;Model!$B$4,0,MAX(0,Model!$B$6-IF((A95+55)&gt;=Model!$B$11,Model!$B$20,0)-IF(55&lt;Model!$B$15,Model!$B$22,0))/(1-Model!$B$9)/(1+Model!$B$18)^55))</f>
        <v/>
      </c>
      <c r="BR95" s="7">
        <f>IF(A95="","",IF((A95+56)&gt;Model!$B$4,0,MAX(0,Model!$B$6-IF((A95+56)&gt;=Model!$B$11,Model!$B$20,0)-IF(56&lt;Model!$B$15,Model!$B$22,0))/(1-Model!$B$9)/(1+Model!$B$18)^56))</f>
        <v/>
      </c>
      <c r="BS95" s="7">
        <f>IF(A95="","",IF((A95+57)&gt;Model!$B$4,0,MAX(0,Model!$B$6-IF((A95+57)&gt;=Model!$B$11,Model!$B$20,0)-IF(57&lt;Model!$B$15,Model!$B$22,0))/(1-Model!$B$9)/(1+Model!$B$18)^57))</f>
        <v/>
      </c>
      <c r="BT95" s="7">
        <f>IF(A95="","",IF((A95+58)&gt;Model!$B$4,0,MAX(0,Model!$B$6-IF((A95+58)&gt;=Model!$B$11,Model!$B$20,0)-IF(58&lt;Model!$B$15,Model!$B$22,0))/(1-Model!$B$9)/(1+Model!$B$18)^58))</f>
        <v/>
      </c>
      <c r="BU95" s="7">
        <f>IF(A95="","",IF((A95+59)&gt;Model!$B$4,0,MAX(0,Model!$B$6-IF((A95+59)&gt;=Model!$B$11,Model!$B$20,0)-IF(59&lt;Model!$B$15,Model!$B$22,0))/(1-Model!$B$9)/(1+Model!$B$18)^59))</f>
        <v/>
      </c>
      <c r="BV95" s="7">
        <f>IF(A95="","",IF((A95+60)&gt;Model!$B$4,0,MAX(0,Model!$B$6-IF((A95+60)&gt;=Model!$B$11,Model!$B$20,0)-IF(60&lt;Model!$B$15,Model!$B$22,0))/(1-Model!$B$9)/(1+Model!$B$18)^60))</f>
        <v/>
      </c>
      <c r="BW95" s="7">
        <f>IF(A95="","",IF((A95+61)&gt;Model!$B$4,0,MAX(0,Model!$B$6-IF((A95+61)&gt;=Model!$B$11,Model!$B$20,0)-IF(61&lt;Model!$B$15,Model!$B$22,0))/(1-Model!$B$9)/(1+Model!$B$18)^61))</f>
        <v/>
      </c>
      <c r="BX95" s="7">
        <f>IF(A95="","",IF((A95+62)&gt;Model!$B$4,0,MAX(0,Model!$B$6-IF((A95+62)&gt;=Model!$B$11,Model!$B$20,0)-IF(62&lt;Model!$B$15,Model!$B$22,0))/(1-Model!$B$9)/(1+Model!$B$18)^62))</f>
        <v/>
      </c>
      <c r="BY95" s="7">
        <f>IF(A95="","",IF((A95+63)&gt;Model!$B$4,0,MAX(0,Model!$B$6-IF((A95+63)&gt;=Model!$B$11,Model!$B$20,0)-IF(63&lt;Model!$B$15,Model!$B$22,0))/(1-Model!$B$9)/(1+Model!$B$18)^63))</f>
        <v/>
      </c>
      <c r="BZ95" s="7">
        <f>IF(A95="","",IF((A95+64)&gt;Model!$B$4,0,MAX(0,Model!$B$6-IF((A95+64)&gt;=Model!$B$11,Model!$B$20,0)-IF(64&lt;Model!$B$15,Model!$B$22,0))/(1-Model!$B$9)/(1+Model!$B$18)^64))</f>
        <v/>
      </c>
      <c r="CA95" s="7">
        <f>IF(A95="","",IF((A95+65)&gt;Model!$B$4,0,MAX(0,Model!$B$6-IF((A95+65)&gt;=Model!$B$11,Model!$B$20,0)-IF(65&lt;Model!$B$15,Model!$B$22,0))/(1-Model!$B$9)/(1+Model!$B$18)^65))</f>
        <v/>
      </c>
      <c r="CB95" s="7">
        <f>IF(A95="","",IF((A95+66)&gt;Model!$B$4,0,MAX(0,Model!$B$6-IF((A95+66)&gt;=Model!$B$11,Model!$B$20,0)-IF(66&lt;Model!$B$15,Model!$B$22,0))/(1-Model!$B$9)/(1+Model!$B$18)^66))</f>
        <v/>
      </c>
      <c r="CC95" s="7">
        <f>IF(A95="","",IF((A95+67)&gt;Model!$B$4,0,MAX(0,Model!$B$6-IF((A95+67)&gt;=Model!$B$11,Model!$B$20,0)-IF(67&lt;Model!$B$15,Model!$B$22,0))/(1-Model!$B$9)/(1+Model!$B$18)^67))</f>
        <v/>
      </c>
      <c r="CD95" s="7">
        <f>IF(A95="","",IF((A95+68)&gt;Model!$B$4,0,MAX(0,Model!$B$6-IF((A95+68)&gt;=Model!$B$11,Model!$B$20,0)-IF(68&lt;Model!$B$15,Model!$B$22,0))/(1-Model!$B$9)/(1+Model!$B$18)^68))</f>
        <v/>
      </c>
      <c r="CE95" s="7">
        <f>IF(A95="","",IF((A95+69)&gt;Model!$B$4,0,MAX(0,Model!$B$6-IF((A95+69)&gt;=Model!$B$11,Model!$B$20,0)-IF(69&lt;Model!$B$15,Model!$B$22,0))/(1-Model!$B$9)/(1+Model!$B$18)^69))</f>
        <v/>
      </c>
      <c r="CF95" s="7">
        <f>IF(A95="","",IF((A95+70)&gt;Model!$B$4,0,MAX(0,Model!$B$6-IF((A95+70)&gt;=Model!$B$11,Model!$B$20,0)-IF(70&lt;Model!$B$15,Model!$B$22,0))/(1-Model!$B$9)/(1+Model!$B$18)^70))</f>
        <v/>
      </c>
      <c r="CG95" s="7">
        <f>IF(A95="","",IF((A95+71)&gt;Model!$B$4,0,MAX(0,Model!$B$6-IF((A95+71)&gt;=Model!$B$11,Model!$B$20,0)-IF(71&lt;Model!$B$15,Model!$B$22,0))/(1-Model!$B$9)/(1+Model!$B$18)^71))</f>
        <v/>
      </c>
      <c r="CH95" s="7">
        <f>IF(A95="","",IF((A95+72)&gt;Model!$B$4,0,MAX(0,Model!$B$6-IF((A95+72)&gt;=Model!$B$11,Model!$B$20,0)-IF(72&lt;Model!$B$15,Model!$B$22,0))/(1-Model!$B$9)/(1+Model!$B$18)^72))</f>
        <v/>
      </c>
      <c r="CI95" s="7">
        <f>IF(A95="","",IF((A95+73)&gt;Model!$B$4,0,MAX(0,Model!$B$6-IF((A95+73)&gt;=Model!$B$11,Model!$B$20,0)-IF(73&lt;Model!$B$15,Model!$B$22,0))/(1-Model!$B$9)/(1+Model!$B$18)^73))</f>
        <v/>
      </c>
      <c r="CJ95" s="7">
        <f>IF(A95="","",IF((A95+74)&gt;Model!$B$4,0,MAX(0,Model!$B$6-IF((A95+74)&gt;=Model!$B$11,Model!$B$20,0)-IF(74&lt;Model!$B$15,Model!$B$22,0))/(1-Model!$B$9)/(1+Model!$B$18)^74))</f>
        <v/>
      </c>
      <c r="CK95" s="7">
        <f>IF(A95="","",IF((A95+75)&gt;Model!$B$4,0,MAX(0,Model!$B$6-IF((A95+75)&gt;=Model!$B$11,Model!$B$20,0)-IF(75&lt;Model!$B$15,Model!$B$22,0))/(1-Model!$B$9)/(1+Model!$B$18)^75))</f>
        <v/>
      </c>
      <c r="CL95" s="7">
        <f>IF(A95="","",IF((A95+76)&gt;Model!$B$4,0,MAX(0,Model!$B$6-IF((A95+76)&gt;=Model!$B$11,Model!$B$20,0)-IF(76&lt;Model!$B$15,Model!$B$22,0))/(1-Model!$B$9)/(1+Model!$B$18)^76))</f>
        <v/>
      </c>
      <c r="CM95" s="7">
        <f>IF(A95="","",IF((A95+77)&gt;Model!$B$4,0,MAX(0,Model!$B$6-IF((A95+77)&gt;=Model!$B$11,Model!$B$20,0)-IF(77&lt;Model!$B$15,Model!$B$22,0))/(1-Model!$B$9)/(1+Model!$B$18)^77))</f>
        <v/>
      </c>
      <c r="CN95" s="7">
        <f>IF(A95="","",IF((A95+78)&gt;Model!$B$4,0,MAX(0,Model!$B$6-IF((A95+78)&gt;=Model!$B$11,Model!$B$20,0)-IF(78&lt;Model!$B$15,Model!$B$22,0))/(1-Model!$B$9)/(1+Model!$B$18)^78))</f>
        <v/>
      </c>
      <c r="CO95" s="7">
        <f>IF(A95="","",IF((A95+79)&gt;Model!$B$4,0,MAX(0,Model!$B$6-IF((A95+79)&gt;=Model!$B$11,Model!$B$20,0)-IF(79&lt;Model!$B$15,Model!$B$22,0))/(1-Model!$B$9)/(1+Model!$B$18)^79))</f>
        <v/>
      </c>
      <c r="CP95" s="7">
        <f>IF(A95="","",IF((A95+80)&gt;Model!$B$4,0,MAX(0,Model!$B$6-IF((A95+80)&gt;=Model!$B$11,Model!$B$20,0)-IF(80&lt;Model!$B$15,Model!$B$22,0))/(1-Model!$B$9)/(1+Model!$B$18)^80))</f>
        <v/>
      </c>
      <c r="CQ95" s="7">
        <f>IF(A95="","",IF((A95+81)&gt;Model!$B$4,0,MAX(0,Model!$B$6-IF((A95+81)&gt;=Model!$B$11,Model!$B$20,0)-IF(81&lt;Model!$B$15,Model!$B$22,0))/(1-Model!$B$9)/(1+Model!$B$18)^81))</f>
        <v/>
      </c>
      <c r="CR95" s="7">
        <f>IF(A95="","",IF((A95+82)&gt;Model!$B$4,0,MAX(0,Model!$B$6-IF((A95+82)&gt;=Model!$B$11,Model!$B$20,0)-IF(82&lt;Model!$B$15,Model!$B$22,0))/(1-Model!$B$9)/(1+Model!$B$18)^82))</f>
        <v/>
      </c>
      <c r="CS95" s="7">
        <f>IF(A95="","",IF((A95+83)&gt;Model!$B$4,0,MAX(0,Model!$B$6-IF((A95+83)&gt;=Model!$B$11,Model!$B$20,0)-IF(83&lt;Model!$B$15,Model!$B$22,0))/(1-Model!$B$9)/(1+Model!$B$18)^83))</f>
        <v/>
      </c>
      <c r="CT95" s="7">
        <f>IF(A95="","",IF((A95+84)&gt;Model!$B$4,0,MAX(0,Model!$B$6-IF((A95+84)&gt;=Model!$B$11,Model!$B$20,0)-IF(84&lt;Model!$B$15,Model!$B$22,0))/(1-Model!$B$9)/(1+Model!$B$18)^84))</f>
        <v/>
      </c>
      <c r="CU95" s="7">
        <f>IF(A95="","",IF((A95+85)&gt;Model!$B$4,0,MAX(0,Model!$B$6-IF((A95+85)&gt;=Model!$B$11,Model!$B$20,0)-IF(85&lt;Model!$B$15,Model!$B$22,0))/(1-Model!$B$9)/(1+Model!$B$18)^85))</f>
        <v/>
      </c>
      <c r="CV95" s="7">
        <f>IF(A95="","",IF((A95+86)&gt;Model!$B$4,0,MAX(0,Model!$B$6-IF((A95+86)&gt;=Model!$B$11,Model!$B$20,0)-IF(86&lt;Model!$B$15,Model!$B$22,0))/(1-Model!$B$9)/(1+Model!$B$18)^86))</f>
        <v/>
      </c>
      <c r="CW95" s="7">
        <f>IF(A95="","",IF((A95+87)&gt;Model!$B$4,0,MAX(0,Model!$B$6-IF((A95+87)&gt;=Model!$B$11,Model!$B$20,0)-IF(87&lt;Model!$B$15,Model!$B$22,0))/(1-Model!$B$9)/(1+Model!$B$18)^87))</f>
        <v/>
      </c>
      <c r="CX95" s="7">
        <f>IF(A95="","",IF((A95+88)&gt;Model!$B$4,0,MAX(0,Model!$B$6-IF((A95+88)&gt;=Model!$B$11,Model!$B$20,0)-IF(88&lt;Model!$B$15,Model!$B$22,0))/(1-Model!$B$9)/(1+Model!$B$18)^88))</f>
        <v/>
      </c>
      <c r="CY95" s="7">
        <f>IF(A95="","",IF((A95+89)&gt;Model!$B$4,0,MAX(0,Model!$B$6-IF((A95+89)&gt;=Model!$B$11,Model!$B$20,0)-IF(89&lt;Model!$B$15,Model!$B$22,0))/(1-Model!$B$9)/(1+Model!$B$18)^89))</f>
        <v/>
      </c>
      <c r="CZ95" s="7">
        <f>IF(A95="","",IF((A95+90)&gt;Model!$B$4,0,MAX(0,Model!$B$6-IF((A95+90)&gt;=Model!$B$11,Model!$B$20,0)-IF(90&lt;Model!$B$15,Model!$B$22,0))/(1-Model!$B$9)/(1+Model!$B$18)^90))</f>
        <v/>
      </c>
      <c r="DA95" s="7">
        <f>IF(A95="","",IF((A95+91)&gt;Model!$B$4,0,MAX(0,Model!$B$6-IF((A95+91)&gt;=Model!$B$11,Model!$B$20,0)-IF(91&lt;Model!$B$15,Model!$B$22,0))/(1-Model!$B$9)/(1+Model!$B$18)^91))</f>
        <v/>
      </c>
      <c r="DB95" s="7">
        <f>IF(A95="","",IF((A95+92)&gt;Model!$B$4,0,MAX(0,Model!$B$6-IF((A95+92)&gt;=Model!$B$11,Model!$B$20,0)-IF(92&lt;Model!$B$15,Model!$B$22,0))/(1-Model!$B$9)/(1+Model!$B$18)^92))</f>
        <v/>
      </c>
      <c r="DC95" s="7">
        <f>IF(A95="","",IF((A95+93)&gt;Model!$B$4,0,MAX(0,Model!$B$6-IF((A95+93)&gt;=Model!$B$11,Model!$B$20,0)-IF(93&lt;Model!$B$15,Model!$B$22,0))/(1-Model!$B$9)/(1+Model!$B$18)^93))</f>
        <v/>
      </c>
      <c r="DD95" s="7">
        <f>IF(A95="","",IF((A95+94)&gt;Model!$B$4,0,MAX(0,Model!$B$6-IF((A95+94)&gt;=Model!$B$11,Model!$B$20,0)-IF(94&lt;Model!$B$15,Model!$B$22,0))/(1-Model!$B$9)/(1+Model!$B$18)^94))</f>
        <v/>
      </c>
      <c r="DE95" s="7">
        <f>IF(A95="","",IF((A95+95)&gt;Model!$B$4,0,MAX(0,Model!$B$6-IF((A95+95)&gt;=Model!$B$11,Model!$B$20,0)-IF(95&lt;Model!$B$15,Model!$B$22,0))/(1-Model!$B$9)/(1+Model!$B$18)^95))</f>
        <v/>
      </c>
      <c r="DF95" s="7">
        <f>IF(A95="","",IF((A95+96)&gt;Model!$B$4,0,MAX(0,Model!$B$6-IF((A95+96)&gt;=Model!$B$11,Model!$B$20,0)-IF(96&lt;Model!$B$15,Model!$B$22,0))/(1-Model!$B$9)/(1+Model!$B$18)^96))</f>
        <v/>
      </c>
      <c r="DG95" s="7">
        <f>IF(A95="","",IF((A95+97)&gt;Model!$B$4,0,MAX(0,Model!$B$6-IF((A95+97)&gt;=Model!$B$11,Model!$B$20,0)-IF(97&lt;Model!$B$15,Model!$B$22,0))/(1-Model!$B$9)/(1+Model!$B$18)^97))</f>
        <v/>
      </c>
      <c r="DH95" s="7">
        <f>IF(A95="","",IF((A95+98)&gt;Model!$B$4,0,MAX(0,Model!$B$6-IF((A95+98)&gt;=Model!$B$11,Model!$B$20,0)-IF(98&lt;Model!$B$15,Model!$B$22,0))/(1-Model!$B$9)/(1+Model!$B$18)^98))</f>
        <v/>
      </c>
      <c r="DI95" s="7">
        <f>IF(A95="","",IF((A95+99)&gt;Model!$B$4,0,MAX(0,Model!$B$6-IF((A95+99)&gt;=Model!$B$11,Model!$B$20,0)-IF(99&lt;Model!$B$15,Model!$B$22,0))/(1-Model!$B$9)/(1+Model!$B$18)^99))</f>
        <v/>
      </c>
      <c r="DJ95" s="7">
        <f>IF(A95="","",IF((A95+100)&gt;Model!$B$4,0,MAX(0,Model!$B$6-IF((A95+100)&gt;=Model!$B$11,Model!$B$20,0)-IF(100&lt;Model!$B$15,Model!$B$22,0))/(1-Model!$B$9)/(1+Model!$B$18)^100))</f>
        <v/>
      </c>
      <c r="DK95" s="7">
        <f>IF(A95="","",IF((A95+101)&gt;Model!$B$4,0,MAX(0,Model!$B$6-IF((A95+101)&gt;=Model!$B$11,Model!$B$20,0)-IF(101&lt;Model!$B$15,Model!$B$22,0))/(1-Model!$B$9)/(1+Model!$B$18)^101))</f>
        <v/>
      </c>
      <c r="DL95" s="7">
        <f>IF(A95="","",IF((A95+102)&gt;Model!$B$4,0,MAX(0,Model!$B$6-IF((A95+102)&gt;=Model!$B$11,Model!$B$20,0)-IF(102&lt;Model!$B$15,Model!$B$22,0))/(1-Model!$B$9)/(1+Model!$B$18)^102))</f>
        <v/>
      </c>
      <c r="DM95" s="7">
        <f>IF(A95="","",IF((A95+103)&gt;Model!$B$4,0,MAX(0,Model!$B$6-IF((A95+103)&gt;=Model!$B$11,Model!$B$20,0)-IF(103&lt;Model!$B$15,Model!$B$22,0))/(1-Model!$B$9)/(1+Model!$B$18)^103))</f>
        <v/>
      </c>
      <c r="DN95" s="7">
        <f>IF(A95="","",IF((A95+104)&gt;Model!$B$4,0,MAX(0,Model!$B$6-IF((A95+104)&gt;=Model!$B$11,Model!$B$20,0)-IF(104&lt;Model!$B$15,Model!$B$22,0))/(1-Model!$B$9)/(1+Model!$B$18)^104))</f>
        <v/>
      </c>
      <c r="DO95" s="7">
        <f>IF(A95="","",IF((A95+105)&gt;Model!$B$4,0,MAX(0,Model!$B$6-IF((A95+105)&gt;=Model!$B$11,Model!$B$20,0)-IF(105&lt;Model!$B$15,Model!$B$22,0))/(1-Model!$B$9)/(1+Model!$B$18)^105))</f>
        <v/>
      </c>
      <c r="DP95" s="7">
        <f>IF(A95="","",IF((A95+106)&gt;Model!$B$4,0,MAX(0,Model!$B$6-IF((A95+106)&gt;=Model!$B$11,Model!$B$20,0)-IF(106&lt;Model!$B$15,Model!$B$22,0))/(1-Model!$B$9)/(1+Model!$B$18)^106))</f>
        <v/>
      </c>
      <c r="DQ95" s="7">
        <f>IF(A95="","",IF((A95+107)&gt;Model!$B$4,0,MAX(0,Model!$B$6-IF((A95+107)&gt;=Model!$B$11,Model!$B$20,0)-IF(107&lt;Model!$B$15,Model!$B$22,0))/(1-Model!$B$9)/(1+Model!$B$18)^107))</f>
        <v/>
      </c>
      <c r="DR95" s="7">
        <f>IF(A95="","",IF((A95+108)&gt;Model!$B$4,0,MAX(0,Model!$B$6-IF((A95+108)&gt;=Model!$B$11,Model!$B$20,0)-IF(108&lt;Model!$B$15,Model!$B$22,0))/(1-Model!$B$9)/(1+Model!$B$18)^108))</f>
        <v/>
      </c>
      <c r="DS95" s="7">
        <f>IF(A95="","",IF((A95+109)&gt;Model!$B$4,0,MAX(0,Model!$B$6-IF((A95+109)&gt;=Model!$B$11,Model!$B$20,0)-IF(109&lt;Model!$B$15,Model!$B$22,0))/(1-Model!$B$9)/(1+Model!$B$18)^109))</f>
        <v/>
      </c>
      <c r="DT95" s="7">
        <f>IF(A95="","",IF((A95+110)&gt;Model!$B$4,0,MAX(0,Model!$B$6-IF((A95+110)&gt;=Model!$B$11,Model!$B$20,0)-IF(110&lt;Model!$B$15,Model!$B$22,0))/(1-Model!$B$9)/(1+Model!$B$18)^110))</f>
        <v/>
      </c>
      <c r="DU95" s="7">
        <f>IF(A95="","",IF((A95+111)&gt;Model!$B$4,0,MAX(0,Model!$B$6-IF((A95+111)&gt;=Model!$B$11,Model!$B$20,0)-IF(111&lt;Model!$B$15,Model!$B$22,0))/(1-Model!$B$9)/(1+Model!$B$18)^111))</f>
        <v/>
      </c>
      <c r="DV95" s="7">
        <f>IF(A95="","",IF((A95+112)&gt;Model!$B$4,0,MAX(0,Model!$B$6-IF((A95+112)&gt;=Model!$B$11,Model!$B$20,0)-IF(112&lt;Model!$B$15,Model!$B$22,0))/(1-Model!$B$9)/(1+Model!$B$18)^112))</f>
        <v/>
      </c>
      <c r="DW95" s="7">
        <f>IF(A95="","",IF((A95+113)&gt;Model!$B$4,0,MAX(0,Model!$B$6-IF((A95+113)&gt;=Model!$B$11,Model!$B$20,0)-IF(113&lt;Model!$B$15,Model!$B$22,0))/(1-Model!$B$9)/(1+Model!$B$18)^113))</f>
        <v/>
      </c>
      <c r="DX95" s="7">
        <f>IF(A95="","",IF((A95+114)&gt;Model!$B$4,0,MAX(0,Model!$B$6-IF((A95+114)&gt;=Model!$B$11,Model!$B$20,0)-IF(114&lt;Model!$B$15,Model!$B$22,0))/(1-Model!$B$9)/(1+Model!$B$18)^114))</f>
        <v/>
      </c>
      <c r="DY95" s="7">
        <f>IF(A95="","",IF((A95+115)&gt;Model!$B$4,0,MAX(0,Model!$B$6-IF((A95+115)&gt;=Model!$B$11,Model!$B$20,0)-IF(115&lt;Model!$B$15,Model!$B$22,0))/(1-Model!$B$9)/(1+Model!$B$18)^115))</f>
        <v/>
      </c>
      <c r="DZ95" s="7">
        <f>IF(A95="","",IF((A95+116)&gt;Model!$B$4,0,MAX(0,Model!$B$6-IF((A95+116)&gt;=Model!$B$11,Model!$B$20,0)-IF(116&lt;Model!$B$15,Model!$B$22,0))/(1-Model!$B$9)/(1+Model!$B$18)^116))</f>
        <v/>
      </c>
      <c r="EA95" s="7">
        <f>IF(A95="","",IF((A95+117)&gt;Model!$B$4,0,MAX(0,Model!$B$6-IF((A95+117)&gt;=Model!$B$11,Model!$B$20,0)-IF(117&lt;Model!$B$15,Model!$B$22,0))/(1-Model!$B$9)/(1+Model!$B$18)^117))</f>
        <v/>
      </c>
      <c r="EB95" s="7">
        <f>IF(A95="","",IF((A95+118)&gt;Model!$B$4,0,MAX(0,Model!$B$6-IF((A95+118)&gt;=Model!$B$11,Model!$B$20,0)-IF(118&lt;Model!$B$15,Model!$B$22,0))/(1-Model!$B$9)/(1+Model!$B$18)^118))</f>
        <v/>
      </c>
      <c r="EC95" s="7">
        <f>IF(A95="","",IF((A95+119)&gt;Model!$B$4,0,MAX(0,Model!$B$6-IF((A95+119)&gt;=Model!$B$11,Model!$B$20,0)-IF(119&lt;Model!$B$15,Model!$B$22,0))/(1-Model!$B$9)/(1+Model!$B$18)^119))</f>
        <v/>
      </c>
      <c r="ED95" s="7">
        <f>IF(A95="","",IF((A95+120)&gt;Model!$B$4,0,MAX(0,Model!$B$6-IF((A95+120)&gt;=Model!$B$11,Model!$B$20,0)-IF(120&lt;Model!$B$15,Model!$B$22,0))/(1-Model!$B$9)/(1+Model!$B$18)^120))</f>
        <v/>
      </c>
    </row>
    <row r="96">
      <c r="A96">
        <f>IF(Model!$B$10+ROW()-2&lt;=Model!$B$4,Model!$B$10+ROW()-2,"")</f>
        <v/>
      </c>
      <c r="B96">
        <f>IF(A96="","",A96-Model!$B$10)</f>
        <v/>
      </c>
      <c r="C96" s="7">
        <f>IF(A96="","",Model!$B$5*(1+Model!$B$18)^B96)</f>
        <v/>
      </c>
      <c r="D96" s="7">
        <f>IF(A96="","",SUM(N96:ED96))</f>
        <v/>
      </c>
      <c r="E96" s="7">
        <f>IF(A96="","",IF(A96&gt;=Model!$B$11,Model!$B$20,0))</f>
        <v/>
      </c>
      <c r="F96" s="7">
        <f>IF(A96="","",IF(Model!$B$15&gt;0,Model!$B$22,0))</f>
        <v/>
      </c>
      <c r="G96" s="7">
        <f>IF(A96="","",E96+F96)</f>
        <v/>
      </c>
      <c r="H96" s="7">
        <f>IF(A96="","",MAX(0,Model!$B$6-G96))</f>
        <v/>
      </c>
      <c r="I96" s="7">
        <f>IF(A96="","",H96/(1-Model!$B$9))</f>
        <v/>
      </c>
      <c r="J96" s="7">
        <f>IF(A96="","",C96-D96)</f>
        <v/>
      </c>
      <c r="K96">
        <f>IF(A96="","",C96&gt;=D96)</f>
        <v/>
      </c>
      <c r="L96" s="7">
        <f>IF(A96="","",IF(A96&gt;=Model!$B$11,Model!$B$19*(1+Model!$B$13)^B96,0))</f>
        <v/>
      </c>
      <c r="M96" s="7">
        <f>IF(A96="","",IF(Model!$B$15&gt;0,Model!$B$21*(1+Model!$B$13)^B96,0))</f>
        <v/>
      </c>
      <c r="N96" s="7">
        <f>IF(A96="","",IF((A96+0)&gt;Model!$B$4,0,MAX(0,Model!$B$6-IF((A96+0)&gt;=Model!$B$11,Model!$B$20,0)-IF(0&lt;Model!$B$15,Model!$B$22,0))/(1-Model!$B$9)/(1+Model!$B$18)^0))</f>
        <v/>
      </c>
      <c r="O96" s="7">
        <f>IF(A96="","",IF((A96+1)&gt;Model!$B$4,0,MAX(0,Model!$B$6-IF((A96+1)&gt;=Model!$B$11,Model!$B$20,0)-IF(1&lt;Model!$B$15,Model!$B$22,0))/(1-Model!$B$9)/(1+Model!$B$18)^1))</f>
        <v/>
      </c>
      <c r="P96" s="7">
        <f>IF(A96="","",IF((A96+2)&gt;Model!$B$4,0,MAX(0,Model!$B$6-IF((A96+2)&gt;=Model!$B$11,Model!$B$20,0)-IF(2&lt;Model!$B$15,Model!$B$22,0))/(1-Model!$B$9)/(1+Model!$B$18)^2))</f>
        <v/>
      </c>
      <c r="Q96" s="7">
        <f>IF(A96="","",IF((A96+3)&gt;Model!$B$4,0,MAX(0,Model!$B$6-IF((A96+3)&gt;=Model!$B$11,Model!$B$20,0)-IF(3&lt;Model!$B$15,Model!$B$22,0))/(1-Model!$B$9)/(1+Model!$B$18)^3))</f>
        <v/>
      </c>
      <c r="R96" s="7">
        <f>IF(A96="","",IF((A96+4)&gt;Model!$B$4,0,MAX(0,Model!$B$6-IF((A96+4)&gt;=Model!$B$11,Model!$B$20,0)-IF(4&lt;Model!$B$15,Model!$B$22,0))/(1-Model!$B$9)/(1+Model!$B$18)^4))</f>
        <v/>
      </c>
      <c r="S96" s="7">
        <f>IF(A96="","",IF((A96+5)&gt;Model!$B$4,0,MAX(0,Model!$B$6-IF((A96+5)&gt;=Model!$B$11,Model!$B$20,0)-IF(5&lt;Model!$B$15,Model!$B$22,0))/(1-Model!$B$9)/(1+Model!$B$18)^5))</f>
        <v/>
      </c>
      <c r="T96" s="7">
        <f>IF(A96="","",IF((A96+6)&gt;Model!$B$4,0,MAX(0,Model!$B$6-IF((A96+6)&gt;=Model!$B$11,Model!$B$20,0)-IF(6&lt;Model!$B$15,Model!$B$22,0))/(1-Model!$B$9)/(1+Model!$B$18)^6))</f>
        <v/>
      </c>
      <c r="U96" s="7">
        <f>IF(A96="","",IF((A96+7)&gt;Model!$B$4,0,MAX(0,Model!$B$6-IF((A96+7)&gt;=Model!$B$11,Model!$B$20,0)-IF(7&lt;Model!$B$15,Model!$B$22,0))/(1-Model!$B$9)/(1+Model!$B$18)^7))</f>
        <v/>
      </c>
      <c r="V96" s="7">
        <f>IF(A96="","",IF((A96+8)&gt;Model!$B$4,0,MAX(0,Model!$B$6-IF((A96+8)&gt;=Model!$B$11,Model!$B$20,0)-IF(8&lt;Model!$B$15,Model!$B$22,0))/(1-Model!$B$9)/(1+Model!$B$18)^8))</f>
        <v/>
      </c>
      <c r="W96" s="7">
        <f>IF(A96="","",IF((A96+9)&gt;Model!$B$4,0,MAX(0,Model!$B$6-IF((A96+9)&gt;=Model!$B$11,Model!$B$20,0)-IF(9&lt;Model!$B$15,Model!$B$22,0))/(1-Model!$B$9)/(1+Model!$B$18)^9))</f>
        <v/>
      </c>
      <c r="X96" s="7">
        <f>IF(A96="","",IF((A96+10)&gt;Model!$B$4,0,MAX(0,Model!$B$6-IF((A96+10)&gt;=Model!$B$11,Model!$B$20,0)-IF(10&lt;Model!$B$15,Model!$B$22,0))/(1-Model!$B$9)/(1+Model!$B$18)^10))</f>
        <v/>
      </c>
      <c r="Y96" s="7">
        <f>IF(A96="","",IF((A96+11)&gt;Model!$B$4,0,MAX(0,Model!$B$6-IF((A96+11)&gt;=Model!$B$11,Model!$B$20,0)-IF(11&lt;Model!$B$15,Model!$B$22,0))/(1-Model!$B$9)/(1+Model!$B$18)^11))</f>
        <v/>
      </c>
      <c r="Z96" s="7">
        <f>IF(A96="","",IF((A96+12)&gt;Model!$B$4,0,MAX(0,Model!$B$6-IF((A96+12)&gt;=Model!$B$11,Model!$B$20,0)-IF(12&lt;Model!$B$15,Model!$B$22,0))/(1-Model!$B$9)/(1+Model!$B$18)^12))</f>
        <v/>
      </c>
      <c r="AA96" s="7">
        <f>IF(A96="","",IF((A96+13)&gt;Model!$B$4,0,MAX(0,Model!$B$6-IF((A96+13)&gt;=Model!$B$11,Model!$B$20,0)-IF(13&lt;Model!$B$15,Model!$B$22,0))/(1-Model!$B$9)/(1+Model!$B$18)^13))</f>
        <v/>
      </c>
      <c r="AB96" s="7">
        <f>IF(A96="","",IF((A96+14)&gt;Model!$B$4,0,MAX(0,Model!$B$6-IF((A96+14)&gt;=Model!$B$11,Model!$B$20,0)-IF(14&lt;Model!$B$15,Model!$B$22,0))/(1-Model!$B$9)/(1+Model!$B$18)^14))</f>
        <v/>
      </c>
      <c r="AC96" s="7">
        <f>IF(A96="","",IF((A96+15)&gt;Model!$B$4,0,MAX(0,Model!$B$6-IF((A96+15)&gt;=Model!$B$11,Model!$B$20,0)-IF(15&lt;Model!$B$15,Model!$B$22,0))/(1-Model!$B$9)/(1+Model!$B$18)^15))</f>
        <v/>
      </c>
      <c r="AD96" s="7">
        <f>IF(A96="","",IF((A96+16)&gt;Model!$B$4,0,MAX(0,Model!$B$6-IF((A96+16)&gt;=Model!$B$11,Model!$B$20,0)-IF(16&lt;Model!$B$15,Model!$B$22,0))/(1-Model!$B$9)/(1+Model!$B$18)^16))</f>
        <v/>
      </c>
      <c r="AE96" s="7">
        <f>IF(A96="","",IF((A96+17)&gt;Model!$B$4,0,MAX(0,Model!$B$6-IF((A96+17)&gt;=Model!$B$11,Model!$B$20,0)-IF(17&lt;Model!$B$15,Model!$B$22,0))/(1-Model!$B$9)/(1+Model!$B$18)^17))</f>
        <v/>
      </c>
      <c r="AF96" s="7">
        <f>IF(A96="","",IF((A96+18)&gt;Model!$B$4,0,MAX(0,Model!$B$6-IF((A96+18)&gt;=Model!$B$11,Model!$B$20,0)-IF(18&lt;Model!$B$15,Model!$B$22,0))/(1-Model!$B$9)/(1+Model!$B$18)^18))</f>
        <v/>
      </c>
      <c r="AG96" s="7">
        <f>IF(A96="","",IF((A96+19)&gt;Model!$B$4,0,MAX(0,Model!$B$6-IF((A96+19)&gt;=Model!$B$11,Model!$B$20,0)-IF(19&lt;Model!$B$15,Model!$B$22,0))/(1-Model!$B$9)/(1+Model!$B$18)^19))</f>
        <v/>
      </c>
      <c r="AH96" s="7">
        <f>IF(A96="","",IF((A96+20)&gt;Model!$B$4,0,MAX(0,Model!$B$6-IF((A96+20)&gt;=Model!$B$11,Model!$B$20,0)-IF(20&lt;Model!$B$15,Model!$B$22,0))/(1-Model!$B$9)/(1+Model!$B$18)^20))</f>
        <v/>
      </c>
      <c r="AI96" s="7">
        <f>IF(A96="","",IF((A96+21)&gt;Model!$B$4,0,MAX(0,Model!$B$6-IF((A96+21)&gt;=Model!$B$11,Model!$B$20,0)-IF(21&lt;Model!$B$15,Model!$B$22,0))/(1-Model!$B$9)/(1+Model!$B$18)^21))</f>
        <v/>
      </c>
      <c r="AJ96" s="7">
        <f>IF(A96="","",IF((A96+22)&gt;Model!$B$4,0,MAX(0,Model!$B$6-IF((A96+22)&gt;=Model!$B$11,Model!$B$20,0)-IF(22&lt;Model!$B$15,Model!$B$22,0))/(1-Model!$B$9)/(1+Model!$B$18)^22))</f>
        <v/>
      </c>
      <c r="AK96" s="7">
        <f>IF(A96="","",IF((A96+23)&gt;Model!$B$4,0,MAX(0,Model!$B$6-IF((A96+23)&gt;=Model!$B$11,Model!$B$20,0)-IF(23&lt;Model!$B$15,Model!$B$22,0))/(1-Model!$B$9)/(1+Model!$B$18)^23))</f>
        <v/>
      </c>
      <c r="AL96" s="7">
        <f>IF(A96="","",IF((A96+24)&gt;Model!$B$4,0,MAX(0,Model!$B$6-IF((A96+24)&gt;=Model!$B$11,Model!$B$20,0)-IF(24&lt;Model!$B$15,Model!$B$22,0))/(1-Model!$B$9)/(1+Model!$B$18)^24))</f>
        <v/>
      </c>
      <c r="AM96" s="7">
        <f>IF(A96="","",IF((A96+25)&gt;Model!$B$4,0,MAX(0,Model!$B$6-IF((A96+25)&gt;=Model!$B$11,Model!$B$20,0)-IF(25&lt;Model!$B$15,Model!$B$22,0))/(1-Model!$B$9)/(1+Model!$B$18)^25))</f>
        <v/>
      </c>
      <c r="AN96" s="7">
        <f>IF(A96="","",IF((A96+26)&gt;Model!$B$4,0,MAX(0,Model!$B$6-IF((A96+26)&gt;=Model!$B$11,Model!$B$20,0)-IF(26&lt;Model!$B$15,Model!$B$22,0))/(1-Model!$B$9)/(1+Model!$B$18)^26))</f>
        <v/>
      </c>
      <c r="AO96" s="7">
        <f>IF(A96="","",IF((A96+27)&gt;Model!$B$4,0,MAX(0,Model!$B$6-IF((A96+27)&gt;=Model!$B$11,Model!$B$20,0)-IF(27&lt;Model!$B$15,Model!$B$22,0))/(1-Model!$B$9)/(1+Model!$B$18)^27))</f>
        <v/>
      </c>
      <c r="AP96" s="7">
        <f>IF(A96="","",IF((A96+28)&gt;Model!$B$4,0,MAX(0,Model!$B$6-IF((A96+28)&gt;=Model!$B$11,Model!$B$20,0)-IF(28&lt;Model!$B$15,Model!$B$22,0))/(1-Model!$B$9)/(1+Model!$B$18)^28))</f>
        <v/>
      </c>
      <c r="AQ96" s="7">
        <f>IF(A96="","",IF((A96+29)&gt;Model!$B$4,0,MAX(0,Model!$B$6-IF((A96+29)&gt;=Model!$B$11,Model!$B$20,0)-IF(29&lt;Model!$B$15,Model!$B$22,0))/(1-Model!$B$9)/(1+Model!$B$18)^29))</f>
        <v/>
      </c>
      <c r="AR96" s="7">
        <f>IF(A96="","",IF((A96+30)&gt;Model!$B$4,0,MAX(0,Model!$B$6-IF((A96+30)&gt;=Model!$B$11,Model!$B$20,0)-IF(30&lt;Model!$B$15,Model!$B$22,0))/(1-Model!$B$9)/(1+Model!$B$18)^30))</f>
        <v/>
      </c>
      <c r="AS96" s="7">
        <f>IF(A96="","",IF((A96+31)&gt;Model!$B$4,0,MAX(0,Model!$B$6-IF((A96+31)&gt;=Model!$B$11,Model!$B$20,0)-IF(31&lt;Model!$B$15,Model!$B$22,0))/(1-Model!$B$9)/(1+Model!$B$18)^31))</f>
        <v/>
      </c>
      <c r="AT96" s="7">
        <f>IF(A96="","",IF((A96+32)&gt;Model!$B$4,0,MAX(0,Model!$B$6-IF((A96+32)&gt;=Model!$B$11,Model!$B$20,0)-IF(32&lt;Model!$B$15,Model!$B$22,0))/(1-Model!$B$9)/(1+Model!$B$18)^32))</f>
        <v/>
      </c>
      <c r="AU96" s="7">
        <f>IF(A96="","",IF((A96+33)&gt;Model!$B$4,0,MAX(0,Model!$B$6-IF((A96+33)&gt;=Model!$B$11,Model!$B$20,0)-IF(33&lt;Model!$B$15,Model!$B$22,0))/(1-Model!$B$9)/(1+Model!$B$18)^33))</f>
        <v/>
      </c>
      <c r="AV96" s="7">
        <f>IF(A96="","",IF((A96+34)&gt;Model!$B$4,0,MAX(0,Model!$B$6-IF((A96+34)&gt;=Model!$B$11,Model!$B$20,0)-IF(34&lt;Model!$B$15,Model!$B$22,0))/(1-Model!$B$9)/(1+Model!$B$18)^34))</f>
        <v/>
      </c>
      <c r="AW96" s="7">
        <f>IF(A96="","",IF((A96+35)&gt;Model!$B$4,0,MAX(0,Model!$B$6-IF((A96+35)&gt;=Model!$B$11,Model!$B$20,0)-IF(35&lt;Model!$B$15,Model!$B$22,0))/(1-Model!$B$9)/(1+Model!$B$18)^35))</f>
        <v/>
      </c>
      <c r="AX96" s="7">
        <f>IF(A96="","",IF((A96+36)&gt;Model!$B$4,0,MAX(0,Model!$B$6-IF((A96+36)&gt;=Model!$B$11,Model!$B$20,0)-IF(36&lt;Model!$B$15,Model!$B$22,0))/(1-Model!$B$9)/(1+Model!$B$18)^36))</f>
        <v/>
      </c>
      <c r="AY96" s="7">
        <f>IF(A96="","",IF((A96+37)&gt;Model!$B$4,0,MAX(0,Model!$B$6-IF((A96+37)&gt;=Model!$B$11,Model!$B$20,0)-IF(37&lt;Model!$B$15,Model!$B$22,0))/(1-Model!$B$9)/(1+Model!$B$18)^37))</f>
        <v/>
      </c>
      <c r="AZ96" s="7">
        <f>IF(A96="","",IF((A96+38)&gt;Model!$B$4,0,MAX(0,Model!$B$6-IF((A96+38)&gt;=Model!$B$11,Model!$B$20,0)-IF(38&lt;Model!$B$15,Model!$B$22,0))/(1-Model!$B$9)/(1+Model!$B$18)^38))</f>
        <v/>
      </c>
      <c r="BA96" s="7">
        <f>IF(A96="","",IF((A96+39)&gt;Model!$B$4,0,MAX(0,Model!$B$6-IF((A96+39)&gt;=Model!$B$11,Model!$B$20,0)-IF(39&lt;Model!$B$15,Model!$B$22,0))/(1-Model!$B$9)/(1+Model!$B$18)^39))</f>
        <v/>
      </c>
      <c r="BB96" s="7">
        <f>IF(A96="","",IF((A96+40)&gt;Model!$B$4,0,MAX(0,Model!$B$6-IF((A96+40)&gt;=Model!$B$11,Model!$B$20,0)-IF(40&lt;Model!$B$15,Model!$B$22,0))/(1-Model!$B$9)/(1+Model!$B$18)^40))</f>
        <v/>
      </c>
      <c r="BC96" s="7">
        <f>IF(A96="","",IF((A96+41)&gt;Model!$B$4,0,MAX(0,Model!$B$6-IF((A96+41)&gt;=Model!$B$11,Model!$B$20,0)-IF(41&lt;Model!$B$15,Model!$B$22,0))/(1-Model!$B$9)/(1+Model!$B$18)^41))</f>
        <v/>
      </c>
      <c r="BD96" s="7">
        <f>IF(A96="","",IF((A96+42)&gt;Model!$B$4,0,MAX(0,Model!$B$6-IF((A96+42)&gt;=Model!$B$11,Model!$B$20,0)-IF(42&lt;Model!$B$15,Model!$B$22,0))/(1-Model!$B$9)/(1+Model!$B$18)^42))</f>
        <v/>
      </c>
      <c r="BE96" s="7">
        <f>IF(A96="","",IF((A96+43)&gt;Model!$B$4,0,MAX(0,Model!$B$6-IF((A96+43)&gt;=Model!$B$11,Model!$B$20,0)-IF(43&lt;Model!$B$15,Model!$B$22,0))/(1-Model!$B$9)/(1+Model!$B$18)^43))</f>
        <v/>
      </c>
      <c r="BF96" s="7">
        <f>IF(A96="","",IF((A96+44)&gt;Model!$B$4,0,MAX(0,Model!$B$6-IF((A96+44)&gt;=Model!$B$11,Model!$B$20,0)-IF(44&lt;Model!$B$15,Model!$B$22,0))/(1-Model!$B$9)/(1+Model!$B$18)^44))</f>
        <v/>
      </c>
      <c r="BG96" s="7">
        <f>IF(A96="","",IF((A96+45)&gt;Model!$B$4,0,MAX(0,Model!$B$6-IF((A96+45)&gt;=Model!$B$11,Model!$B$20,0)-IF(45&lt;Model!$B$15,Model!$B$22,0))/(1-Model!$B$9)/(1+Model!$B$18)^45))</f>
        <v/>
      </c>
      <c r="BH96" s="7">
        <f>IF(A96="","",IF((A96+46)&gt;Model!$B$4,0,MAX(0,Model!$B$6-IF((A96+46)&gt;=Model!$B$11,Model!$B$20,0)-IF(46&lt;Model!$B$15,Model!$B$22,0))/(1-Model!$B$9)/(1+Model!$B$18)^46))</f>
        <v/>
      </c>
      <c r="BI96" s="7">
        <f>IF(A96="","",IF((A96+47)&gt;Model!$B$4,0,MAX(0,Model!$B$6-IF((A96+47)&gt;=Model!$B$11,Model!$B$20,0)-IF(47&lt;Model!$B$15,Model!$B$22,0))/(1-Model!$B$9)/(1+Model!$B$18)^47))</f>
        <v/>
      </c>
      <c r="BJ96" s="7">
        <f>IF(A96="","",IF((A96+48)&gt;Model!$B$4,0,MAX(0,Model!$B$6-IF((A96+48)&gt;=Model!$B$11,Model!$B$20,0)-IF(48&lt;Model!$B$15,Model!$B$22,0))/(1-Model!$B$9)/(1+Model!$B$18)^48))</f>
        <v/>
      </c>
      <c r="BK96" s="7">
        <f>IF(A96="","",IF((A96+49)&gt;Model!$B$4,0,MAX(0,Model!$B$6-IF((A96+49)&gt;=Model!$B$11,Model!$B$20,0)-IF(49&lt;Model!$B$15,Model!$B$22,0))/(1-Model!$B$9)/(1+Model!$B$18)^49))</f>
        <v/>
      </c>
      <c r="BL96" s="7">
        <f>IF(A96="","",IF((A96+50)&gt;Model!$B$4,0,MAX(0,Model!$B$6-IF((A96+50)&gt;=Model!$B$11,Model!$B$20,0)-IF(50&lt;Model!$B$15,Model!$B$22,0))/(1-Model!$B$9)/(1+Model!$B$18)^50))</f>
        <v/>
      </c>
      <c r="BM96" s="7">
        <f>IF(A96="","",IF((A96+51)&gt;Model!$B$4,0,MAX(0,Model!$B$6-IF((A96+51)&gt;=Model!$B$11,Model!$B$20,0)-IF(51&lt;Model!$B$15,Model!$B$22,0))/(1-Model!$B$9)/(1+Model!$B$18)^51))</f>
        <v/>
      </c>
      <c r="BN96" s="7">
        <f>IF(A96="","",IF((A96+52)&gt;Model!$B$4,0,MAX(0,Model!$B$6-IF((A96+52)&gt;=Model!$B$11,Model!$B$20,0)-IF(52&lt;Model!$B$15,Model!$B$22,0))/(1-Model!$B$9)/(1+Model!$B$18)^52))</f>
        <v/>
      </c>
      <c r="BO96" s="7">
        <f>IF(A96="","",IF((A96+53)&gt;Model!$B$4,0,MAX(0,Model!$B$6-IF((A96+53)&gt;=Model!$B$11,Model!$B$20,0)-IF(53&lt;Model!$B$15,Model!$B$22,0))/(1-Model!$B$9)/(1+Model!$B$18)^53))</f>
        <v/>
      </c>
      <c r="BP96" s="7">
        <f>IF(A96="","",IF((A96+54)&gt;Model!$B$4,0,MAX(0,Model!$B$6-IF((A96+54)&gt;=Model!$B$11,Model!$B$20,0)-IF(54&lt;Model!$B$15,Model!$B$22,0))/(1-Model!$B$9)/(1+Model!$B$18)^54))</f>
        <v/>
      </c>
      <c r="BQ96" s="7">
        <f>IF(A96="","",IF((A96+55)&gt;Model!$B$4,0,MAX(0,Model!$B$6-IF((A96+55)&gt;=Model!$B$11,Model!$B$20,0)-IF(55&lt;Model!$B$15,Model!$B$22,0))/(1-Model!$B$9)/(1+Model!$B$18)^55))</f>
        <v/>
      </c>
      <c r="BR96" s="7">
        <f>IF(A96="","",IF((A96+56)&gt;Model!$B$4,0,MAX(0,Model!$B$6-IF((A96+56)&gt;=Model!$B$11,Model!$B$20,0)-IF(56&lt;Model!$B$15,Model!$B$22,0))/(1-Model!$B$9)/(1+Model!$B$18)^56))</f>
        <v/>
      </c>
      <c r="BS96" s="7">
        <f>IF(A96="","",IF((A96+57)&gt;Model!$B$4,0,MAX(0,Model!$B$6-IF((A96+57)&gt;=Model!$B$11,Model!$B$20,0)-IF(57&lt;Model!$B$15,Model!$B$22,0))/(1-Model!$B$9)/(1+Model!$B$18)^57))</f>
        <v/>
      </c>
      <c r="BT96" s="7">
        <f>IF(A96="","",IF((A96+58)&gt;Model!$B$4,0,MAX(0,Model!$B$6-IF((A96+58)&gt;=Model!$B$11,Model!$B$20,0)-IF(58&lt;Model!$B$15,Model!$B$22,0))/(1-Model!$B$9)/(1+Model!$B$18)^58))</f>
        <v/>
      </c>
      <c r="BU96" s="7">
        <f>IF(A96="","",IF((A96+59)&gt;Model!$B$4,0,MAX(0,Model!$B$6-IF((A96+59)&gt;=Model!$B$11,Model!$B$20,0)-IF(59&lt;Model!$B$15,Model!$B$22,0))/(1-Model!$B$9)/(1+Model!$B$18)^59))</f>
        <v/>
      </c>
      <c r="BV96" s="7">
        <f>IF(A96="","",IF((A96+60)&gt;Model!$B$4,0,MAX(0,Model!$B$6-IF((A96+60)&gt;=Model!$B$11,Model!$B$20,0)-IF(60&lt;Model!$B$15,Model!$B$22,0))/(1-Model!$B$9)/(1+Model!$B$18)^60))</f>
        <v/>
      </c>
      <c r="BW96" s="7">
        <f>IF(A96="","",IF((A96+61)&gt;Model!$B$4,0,MAX(0,Model!$B$6-IF((A96+61)&gt;=Model!$B$11,Model!$B$20,0)-IF(61&lt;Model!$B$15,Model!$B$22,0))/(1-Model!$B$9)/(1+Model!$B$18)^61))</f>
        <v/>
      </c>
      <c r="BX96" s="7">
        <f>IF(A96="","",IF((A96+62)&gt;Model!$B$4,0,MAX(0,Model!$B$6-IF((A96+62)&gt;=Model!$B$11,Model!$B$20,0)-IF(62&lt;Model!$B$15,Model!$B$22,0))/(1-Model!$B$9)/(1+Model!$B$18)^62))</f>
        <v/>
      </c>
      <c r="BY96" s="7">
        <f>IF(A96="","",IF((A96+63)&gt;Model!$B$4,0,MAX(0,Model!$B$6-IF((A96+63)&gt;=Model!$B$11,Model!$B$20,0)-IF(63&lt;Model!$B$15,Model!$B$22,0))/(1-Model!$B$9)/(1+Model!$B$18)^63))</f>
        <v/>
      </c>
      <c r="BZ96" s="7">
        <f>IF(A96="","",IF((A96+64)&gt;Model!$B$4,0,MAX(0,Model!$B$6-IF((A96+64)&gt;=Model!$B$11,Model!$B$20,0)-IF(64&lt;Model!$B$15,Model!$B$22,0))/(1-Model!$B$9)/(1+Model!$B$18)^64))</f>
        <v/>
      </c>
      <c r="CA96" s="7">
        <f>IF(A96="","",IF((A96+65)&gt;Model!$B$4,0,MAX(0,Model!$B$6-IF((A96+65)&gt;=Model!$B$11,Model!$B$20,0)-IF(65&lt;Model!$B$15,Model!$B$22,0))/(1-Model!$B$9)/(1+Model!$B$18)^65))</f>
        <v/>
      </c>
      <c r="CB96" s="7">
        <f>IF(A96="","",IF((A96+66)&gt;Model!$B$4,0,MAX(0,Model!$B$6-IF((A96+66)&gt;=Model!$B$11,Model!$B$20,0)-IF(66&lt;Model!$B$15,Model!$B$22,0))/(1-Model!$B$9)/(1+Model!$B$18)^66))</f>
        <v/>
      </c>
      <c r="CC96" s="7">
        <f>IF(A96="","",IF((A96+67)&gt;Model!$B$4,0,MAX(0,Model!$B$6-IF((A96+67)&gt;=Model!$B$11,Model!$B$20,0)-IF(67&lt;Model!$B$15,Model!$B$22,0))/(1-Model!$B$9)/(1+Model!$B$18)^67))</f>
        <v/>
      </c>
      <c r="CD96" s="7">
        <f>IF(A96="","",IF((A96+68)&gt;Model!$B$4,0,MAX(0,Model!$B$6-IF((A96+68)&gt;=Model!$B$11,Model!$B$20,0)-IF(68&lt;Model!$B$15,Model!$B$22,0))/(1-Model!$B$9)/(1+Model!$B$18)^68))</f>
        <v/>
      </c>
      <c r="CE96" s="7">
        <f>IF(A96="","",IF((A96+69)&gt;Model!$B$4,0,MAX(0,Model!$B$6-IF((A96+69)&gt;=Model!$B$11,Model!$B$20,0)-IF(69&lt;Model!$B$15,Model!$B$22,0))/(1-Model!$B$9)/(1+Model!$B$18)^69))</f>
        <v/>
      </c>
      <c r="CF96" s="7">
        <f>IF(A96="","",IF((A96+70)&gt;Model!$B$4,0,MAX(0,Model!$B$6-IF((A96+70)&gt;=Model!$B$11,Model!$B$20,0)-IF(70&lt;Model!$B$15,Model!$B$22,0))/(1-Model!$B$9)/(1+Model!$B$18)^70))</f>
        <v/>
      </c>
      <c r="CG96" s="7">
        <f>IF(A96="","",IF((A96+71)&gt;Model!$B$4,0,MAX(0,Model!$B$6-IF((A96+71)&gt;=Model!$B$11,Model!$B$20,0)-IF(71&lt;Model!$B$15,Model!$B$22,0))/(1-Model!$B$9)/(1+Model!$B$18)^71))</f>
        <v/>
      </c>
      <c r="CH96" s="7">
        <f>IF(A96="","",IF((A96+72)&gt;Model!$B$4,0,MAX(0,Model!$B$6-IF((A96+72)&gt;=Model!$B$11,Model!$B$20,0)-IF(72&lt;Model!$B$15,Model!$B$22,0))/(1-Model!$B$9)/(1+Model!$B$18)^72))</f>
        <v/>
      </c>
      <c r="CI96" s="7">
        <f>IF(A96="","",IF((A96+73)&gt;Model!$B$4,0,MAX(0,Model!$B$6-IF((A96+73)&gt;=Model!$B$11,Model!$B$20,0)-IF(73&lt;Model!$B$15,Model!$B$22,0))/(1-Model!$B$9)/(1+Model!$B$18)^73))</f>
        <v/>
      </c>
      <c r="CJ96" s="7">
        <f>IF(A96="","",IF((A96+74)&gt;Model!$B$4,0,MAX(0,Model!$B$6-IF((A96+74)&gt;=Model!$B$11,Model!$B$20,0)-IF(74&lt;Model!$B$15,Model!$B$22,0))/(1-Model!$B$9)/(1+Model!$B$18)^74))</f>
        <v/>
      </c>
      <c r="CK96" s="7">
        <f>IF(A96="","",IF((A96+75)&gt;Model!$B$4,0,MAX(0,Model!$B$6-IF((A96+75)&gt;=Model!$B$11,Model!$B$20,0)-IF(75&lt;Model!$B$15,Model!$B$22,0))/(1-Model!$B$9)/(1+Model!$B$18)^75))</f>
        <v/>
      </c>
      <c r="CL96" s="7">
        <f>IF(A96="","",IF((A96+76)&gt;Model!$B$4,0,MAX(0,Model!$B$6-IF((A96+76)&gt;=Model!$B$11,Model!$B$20,0)-IF(76&lt;Model!$B$15,Model!$B$22,0))/(1-Model!$B$9)/(1+Model!$B$18)^76))</f>
        <v/>
      </c>
      <c r="CM96" s="7">
        <f>IF(A96="","",IF((A96+77)&gt;Model!$B$4,0,MAX(0,Model!$B$6-IF((A96+77)&gt;=Model!$B$11,Model!$B$20,0)-IF(77&lt;Model!$B$15,Model!$B$22,0))/(1-Model!$B$9)/(1+Model!$B$18)^77))</f>
        <v/>
      </c>
      <c r="CN96" s="7">
        <f>IF(A96="","",IF((A96+78)&gt;Model!$B$4,0,MAX(0,Model!$B$6-IF((A96+78)&gt;=Model!$B$11,Model!$B$20,0)-IF(78&lt;Model!$B$15,Model!$B$22,0))/(1-Model!$B$9)/(1+Model!$B$18)^78))</f>
        <v/>
      </c>
      <c r="CO96" s="7">
        <f>IF(A96="","",IF((A96+79)&gt;Model!$B$4,0,MAX(0,Model!$B$6-IF((A96+79)&gt;=Model!$B$11,Model!$B$20,0)-IF(79&lt;Model!$B$15,Model!$B$22,0))/(1-Model!$B$9)/(1+Model!$B$18)^79))</f>
        <v/>
      </c>
      <c r="CP96" s="7">
        <f>IF(A96="","",IF((A96+80)&gt;Model!$B$4,0,MAX(0,Model!$B$6-IF((A96+80)&gt;=Model!$B$11,Model!$B$20,0)-IF(80&lt;Model!$B$15,Model!$B$22,0))/(1-Model!$B$9)/(1+Model!$B$18)^80))</f>
        <v/>
      </c>
      <c r="CQ96" s="7">
        <f>IF(A96="","",IF((A96+81)&gt;Model!$B$4,0,MAX(0,Model!$B$6-IF((A96+81)&gt;=Model!$B$11,Model!$B$20,0)-IF(81&lt;Model!$B$15,Model!$B$22,0))/(1-Model!$B$9)/(1+Model!$B$18)^81))</f>
        <v/>
      </c>
      <c r="CR96" s="7">
        <f>IF(A96="","",IF((A96+82)&gt;Model!$B$4,0,MAX(0,Model!$B$6-IF((A96+82)&gt;=Model!$B$11,Model!$B$20,0)-IF(82&lt;Model!$B$15,Model!$B$22,0))/(1-Model!$B$9)/(1+Model!$B$18)^82))</f>
        <v/>
      </c>
      <c r="CS96" s="7">
        <f>IF(A96="","",IF((A96+83)&gt;Model!$B$4,0,MAX(0,Model!$B$6-IF((A96+83)&gt;=Model!$B$11,Model!$B$20,0)-IF(83&lt;Model!$B$15,Model!$B$22,0))/(1-Model!$B$9)/(1+Model!$B$18)^83))</f>
        <v/>
      </c>
      <c r="CT96" s="7">
        <f>IF(A96="","",IF((A96+84)&gt;Model!$B$4,0,MAX(0,Model!$B$6-IF((A96+84)&gt;=Model!$B$11,Model!$B$20,0)-IF(84&lt;Model!$B$15,Model!$B$22,0))/(1-Model!$B$9)/(1+Model!$B$18)^84))</f>
        <v/>
      </c>
      <c r="CU96" s="7">
        <f>IF(A96="","",IF((A96+85)&gt;Model!$B$4,0,MAX(0,Model!$B$6-IF((A96+85)&gt;=Model!$B$11,Model!$B$20,0)-IF(85&lt;Model!$B$15,Model!$B$22,0))/(1-Model!$B$9)/(1+Model!$B$18)^85))</f>
        <v/>
      </c>
      <c r="CV96" s="7">
        <f>IF(A96="","",IF((A96+86)&gt;Model!$B$4,0,MAX(0,Model!$B$6-IF((A96+86)&gt;=Model!$B$11,Model!$B$20,0)-IF(86&lt;Model!$B$15,Model!$B$22,0))/(1-Model!$B$9)/(1+Model!$B$18)^86))</f>
        <v/>
      </c>
      <c r="CW96" s="7">
        <f>IF(A96="","",IF((A96+87)&gt;Model!$B$4,0,MAX(0,Model!$B$6-IF((A96+87)&gt;=Model!$B$11,Model!$B$20,0)-IF(87&lt;Model!$B$15,Model!$B$22,0))/(1-Model!$B$9)/(1+Model!$B$18)^87))</f>
        <v/>
      </c>
      <c r="CX96" s="7">
        <f>IF(A96="","",IF((A96+88)&gt;Model!$B$4,0,MAX(0,Model!$B$6-IF((A96+88)&gt;=Model!$B$11,Model!$B$20,0)-IF(88&lt;Model!$B$15,Model!$B$22,0))/(1-Model!$B$9)/(1+Model!$B$18)^88))</f>
        <v/>
      </c>
      <c r="CY96" s="7">
        <f>IF(A96="","",IF((A96+89)&gt;Model!$B$4,0,MAX(0,Model!$B$6-IF((A96+89)&gt;=Model!$B$11,Model!$B$20,0)-IF(89&lt;Model!$B$15,Model!$B$22,0))/(1-Model!$B$9)/(1+Model!$B$18)^89))</f>
        <v/>
      </c>
      <c r="CZ96" s="7">
        <f>IF(A96="","",IF((A96+90)&gt;Model!$B$4,0,MAX(0,Model!$B$6-IF((A96+90)&gt;=Model!$B$11,Model!$B$20,0)-IF(90&lt;Model!$B$15,Model!$B$22,0))/(1-Model!$B$9)/(1+Model!$B$18)^90))</f>
        <v/>
      </c>
      <c r="DA96" s="7">
        <f>IF(A96="","",IF((A96+91)&gt;Model!$B$4,0,MAX(0,Model!$B$6-IF((A96+91)&gt;=Model!$B$11,Model!$B$20,0)-IF(91&lt;Model!$B$15,Model!$B$22,0))/(1-Model!$B$9)/(1+Model!$B$18)^91))</f>
        <v/>
      </c>
      <c r="DB96" s="7">
        <f>IF(A96="","",IF((A96+92)&gt;Model!$B$4,0,MAX(0,Model!$B$6-IF((A96+92)&gt;=Model!$B$11,Model!$B$20,0)-IF(92&lt;Model!$B$15,Model!$B$22,0))/(1-Model!$B$9)/(1+Model!$B$18)^92))</f>
        <v/>
      </c>
      <c r="DC96" s="7">
        <f>IF(A96="","",IF((A96+93)&gt;Model!$B$4,0,MAX(0,Model!$B$6-IF((A96+93)&gt;=Model!$B$11,Model!$B$20,0)-IF(93&lt;Model!$B$15,Model!$B$22,0))/(1-Model!$B$9)/(1+Model!$B$18)^93))</f>
        <v/>
      </c>
      <c r="DD96" s="7">
        <f>IF(A96="","",IF((A96+94)&gt;Model!$B$4,0,MAX(0,Model!$B$6-IF((A96+94)&gt;=Model!$B$11,Model!$B$20,0)-IF(94&lt;Model!$B$15,Model!$B$22,0))/(1-Model!$B$9)/(1+Model!$B$18)^94))</f>
        <v/>
      </c>
      <c r="DE96" s="7">
        <f>IF(A96="","",IF((A96+95)&gt;Model!$B$4,0,MAX(0,Model!$B$6-IF((A96+95)&gt;=Model!$B$11,Model!$B$20,0)-IF(95&lt;Model!$B$15,Model!$B$22,0))/(1-Model!$B$9)/(1+Model!$B$18)^95))</f>
        <v/>
      </c>
      <c r="DF96" s="7">
        <f>IF(A96="","",IF((A96+96)&gt;Model!$B$4,0,MAX(0,Model!$B$6-IF((A96+96)&gt;=Model!$B$11,Model!$B$20,0)-IF(96&lt;Model!$B$15,Model!$B$22,0))/(1-Model!$B$9)/(1+Model!$B$18)^96))</f>
        <v/>
      </c>
      <c r="DG96" s="7">
        <f>IF(A96="","",IF((A96+97)&gt;Model!$B$4,0,MAX(0,Model!$B$6-IF((A96+97)&gt;=Model!$B$11,Model!$B$20,0)-IF(97&lt;Model!$B$15,Model!$B$22,0))/(1-Model!$B$9)/(1+Model!$B$18)^97))</f>
        <v/>
      </c>
      <c r="DH96" s="7">
        <f>IF(A96="","",IF((A96+98)&gt;Model!$B$4,0,MAX(0,Model!$B$6-IF((A96+98)&gt;=Model!$B$11,Model!$B$20,0)-IF(98&lt;Model!$B$15,Model!$B$22,0))/(1-Model!$B$9)/(1+Model!$B$18)^98))</f>
        <v/>
      </c>
      <c r="DI96" s="7">
        <f>IF(A96="","",IF((A96+99)&gt;Model!$B$4,0,MAX(0,Model!$B$6-IF((A96+99)&gt;=Model!$B$11,Model!$B$20,0)-IF(99&lt;Model!$B$15,Model!$B$22,0))/(1-Model!$B$9)/(1+Model!$B$18)^99))</f>
        <v/>
      </c>
      <c r="DJ96" s="7">
        <f>IF(A96="","",IF((A96+100)&gt;Model!$B$4,0,MAX(0,Model!$B$6-IF((A96+100)&gt;=Model!$B$11,Model!$B$20,0)-IF(100&lt;Model!$B$15,Model!$B$22,0))/(1-Model!$B$9)/(1+Model!$B$18)^100))</f>
        <v/>
      </c>
      <c r="DK96" s="7">
        <f>IF(A96="","",IF((A96+101)&gt;Model!$B$4,0,MAX(0,Model!$B$6-IF((A96+101)&gt;=Model!$B$11,Model!$B$20,0)-IF(101&lt;Model!$B$15,Model!$B$22,0))/(1-Model!$B$9)/(1+Model!$B$18)^101))</f>
        <v/>
      </c>
      <c r="DL96" s="7">
        <f>IF(A96="","",IF((A96+102)&gt;Model!$B$4,0,MAX(0,Model!$B$6-IF((A96+102)&gt;=Model!$B$11,Model!$B$20,0)-IF(102&lt;Model!$B$15,Model!$B$22,0))/(1-Model!$B$9)/(1+Model!$B$18)^102))</f>
        <v/>
      </c>
      <c r="DM96" s="7">
        <f>IF(A96="","",IF((A96+103)&gt;Model!$B$4,0,MAX(0,Model!$B$6-IF((A96+103)&gt;=Model!$B$11,Model!$B$20,0)-IF(103&lt;Model!$B$15,Model!$B$22,0))/(1-Model!$B$9)/(1+Model!$B$18)^103))</f>
        <v/>
      </c>
      <c r="DN96" s="7">
        <f>IF(A96="","",IF((A96+104)&gt;Model!$B$4,0,MAX(0,Model!$B$6-IF((A96+104)&gt;=Model!$B$11,Model!$B$20,0)-IF(104&lt;Model!$B$15,Model!$B$22,0))/(1-Model!$B$9)/(1+Model!$B$18)^104))</f>
        <v/>
      </c>
      <c r="DO96" s="7">
        <f>IF(A96="","",IF((A96+105)&gt;Model!$B$4,0,MAX(0,Model!$B$6-IF((A96+105)&gt;=Model!$B$11,Model!$B$20,0)-IF(105&lt;Model!$B$15,Model!$B$22,0))/(1-Model!$B$9)/(1+Model!$B$18)^105))</f>
        <v/>
      </c>
      <c r="DP96" s="7">
        <f>IF(A96="","",IF((A96+106)&gt;Model!$B$4,0,MAX(0,Model!$B$6-IF((A96+106)&gt;=Model!$B$11,Model!$B$20,0)-IF(106&lt;Model!$B$15,Model!$B$22,0))/(1-Model!$B$9)/(1+Model!$B$18)^106))</f>
        <v/>
      </c>
      <c r="DQ96" s="7">
        <f>IF(A96="","",IF((A96+107)&gt;Model!$B$4,0,MAX(0,Model!$B$6-IF((A96+107)&gt;=Model!$B$11,Model!$B$20,0)-IF(107&lt;Model!$B$15,Model!$B$22,0))/(1-Model!$B$9)/(1+Model!$B$18)^107))</f>
        <v/>
      </c>
      <c r="DR96" s="7">
        <f>IF(A96="","",IF((A96+108)&gt;Model!$B$4,0,MAX(0,Model!$B$6-IF((A96+108)&gt;=Model!$B$11,Model!$B$20,0)-IF(108&lt;Model!$B$15,Model!$B$22,0))/(1-Model!$B$9)/(1+Model!$B$18)^108))</f>
        <v/>
      </c>
      <c r="DS96" s="7">
        <f>IF(A96="","",IF((A96+109)&gt;Model!$B$4,0,MAX(0,Model!$B$6-IF((A96+109)&gt;=Model!$B$11,Model!$B$20,0)-IF(109&lt;Model!$B$15,Model!$B$22,0))/(1-Model!$B$9)/(1+Model!$B$18)^109))</f>
        <v/>
      </c>
      <c r="DT96" s="7">
        <f>IF(A96="","",IF((A96+110)&gt;Model!$B$4,0,MAX(0,Model!$B$6-IF((A96+110)&gt;=Model!$B$11,Model!$B$20,0)-IF(110&lt;Model!$B$15,Model!$B$22,0))/(1-Model!$B$9)/(1+Model!$B$18)^110))</f>
        <v/>
      </c>
      <c r="DU96" s="7">
        <f>IF(A96="","",IF((A96+111)&gt;Model!$B$4,0,MAX(0,Model!$B$6-IF((A96+111)&gt;=Model!$B$11,Model!$B$20,0)-IF(111&lt;Model!$B$15,Model!$B$22,0))/(1-Model!$B$9)/(1+Model!$B$18)^111))</f>
        <v/>
      </c>
      <c r="DV96" s="7">
        <f>IF(A96="","",IF((A96+112)&gt;Model!$B$4,0,MAX(0,Model!$B$6-IF((A96+112)&gt;=Model!$B$11,Model!$B$20,0)-IF(112&lt;Model!$B$15,Model!$B$22,0))/(1-Model!$B$9)/(1+Model!$B$18)^112))</f>
        <v/>
      </c>
      <c r="DW96" s="7">
        <f>IF(A96="","",IF((A96+113)&gt;Model!$B$4,0,MAX(0,Model!$B$6-IF((A96+113)&gt;=Model!$B$11,Model!$B$20,0)-IF(113&lt;Model!$B$15,Model!$B$22,0))/(1-Model!$B$9)/(1+Model!$B$18)^113))</f>
        <v/>
      </c>
      <c r="DX96" s="7">
        <f>IF(A96="","",IF((A96+114)&gt;Model!$B$4,0,MAX(0,Model!$B$6-IF((A96+114)&gt;=Model!$B$11,Model!$B$20,0)-IF(114&lt;Model!$B$15,Model!$B$22,0))/(1-Model!$B$9)/(1+Model!$B$18)^114))</f>
        <v/>
      </c>
      <c r="DY96" s="7">
        <f>IF(A96="","",IF((A96+115)&gt;Model!$B$4,0,MAX(0,Model!$B$6-IF((A96+115)&gt;=Model!$B$11,Model!$B$20,0)-IF(115&lt;Model!$B$15,Model!$B$22,0))/(1-Model!$B$9)/(1+Model!$B$18)^115))</f>
        <v/>
      </c>
      <c r="DZ96" s="7">
        <f>IF(A96="","",IF((A96+116)&gt;Model!$B$4,0,MAX(0,Model!$B$6-IF((A96+116)&gt;=Model!$B$11,Model!$B$20,0)-IF(116&lt;Model!$B$15,Model!$B$22,0))/(1-Model!$B$9)/(1+Model!$B$18)^116))</f>
        <v/>
      </c>
      <c r="EA96" s="7">
        <f>IF(A96="","",IF((A96+117)&gt;Model!$B$4,0,MAX(0,Model!$B$6-IF((A96+117)&gt;=Model!$B$11,Model!$B$20,0)-IF(117&lt;Model!$B$15,Model!$B$22,0))/(1-Model!$B$9)/(1+Model!$B$18)^117))</f>
        <v/>
      </c>
      <c r="EB96" s="7">
        <f>IF(A96="","",IF((A96+118)&gt;Model!$B$4,0,MAX(0,Model!$B$6-IF((A96+118)&gt;=Model!$B$11,Model!$B$20,0)-IF(118&lt;Model!$B$15,Model!$B$22,0))/(1-Model!$B$9)/(1+Model!$B$18)^118))</f>
        <v/>
      </c>
      <c r="EC96" s="7">
        <f>IF(A96="","",IF((A96+119)&gt;Model!$B$4,0,MAX(0,Model!$B$6-IF((A96+119)&gt;=Model!$B$11,Model!$B$20,0)-IF(119&lt;Model!$B$15,Model!$B$22,0))/(1-Model!$B$9)/(1+Model!$B$18)^119))</f>
        <v/>
      </c>
      <c r="ED96" s="7">
        <f>IF(A96="","",IF((A96+120)&gt;Model!$B$4,0,MAX(0,Model!$B$6-IF((A96+120)&gt;=Model!$B$11,Model!$B$20,0)-IF(120&lt;Model!$B$15,Model!$B$22,0))/(1-Model!$B$9)/(1+Model!$B$18)^120))</f>
        <v/>
      </c>
    </row>
    <row r="97">
      <c r="A97">
        <f>IF(Model!$B$10+ROW()-2&lt;=Model!$B$4,Model!$B$10+ROW()-2,"")</f>
        <v/>
      </c>
      <c r="B97">
        <f>IF(A97="","",A97-Model!$B$10)</f>
        <v/>
      </c>
      <c r="C97" s="7">
        <f>IF(A97="","",Model!$B$5*(1+Model!$B$18)^B97)</f>
        <v/>
      </c>
      <c r="D97" s="7">
        <f>IF(A97="","",SUM(N97:ED97))</f>
        <v/>
      </c>
      <c r="E97" s="7">
        <f>IF(A97="","",IF(A97&gt;=Model!$B$11,Model!$B$20,0))</f>
        <v/>
      </c>
      <c r="F97" s="7">
        <f>IF(A97="","",IF(Model!$B$15&gt;0,Model!$B$22,0))</f>
        <v/>
      </c>
      <c r="G97" s="7">
        <f>IF(A97="","",E97+F97)</f>
        <v/>
      </c>
      <c r="H97" s="7">
        <f>IF(A97="","",MAX(0,Model!$B$6-G97))</f>
        <v/>
      </c>
      <c r="I97" s="7">
        <f>IF(A97="","",H97/(1-Model!$B$9))</f>
        <v/>
      </c>
      <c r="J97" s="7">
        <f>IF(A97="","",C97-D97)</f>
        <v/>
      </c>
      <c r="K97">
        <f>IF(A97="","",C97&gt;=D97)</f>
        <v/>
      </c>
      <c r="L97" s="7">
        <f>IF(A97="","",IF(A97&gt;=Model!$B$11,Model!$B$19*(1+Model!$B$13)^B97,0))</f>
        <v/>
      </c>
      <c r="M97" s="7">
        <f>IF(A97="","",IF(Model!$B$15&gt;0,Model!$B$21*(1+Model!$B$13)^B97,0))</f>
        <v/>
      </c>
      <c r="N97" s="7">
        <f>IF(A97="","",IF((A97+0)&gt;Model!$B$4,0,MAX(0,Model!$B$6-IF((A97+0)&gt;=Model!$B$11,Model!$B$20,0)-IF(0&lt;Model!$B$15,Model!$B$22,0))/(1-Model!$B$9)/(1+Model!$B$18)^0))</f>
        <v/>
      </c>
      <c r="O97" s="7">
        <f>IF(A97="","",IF((A97+1)&gt;Model!$B$4,0,MAX(0,Model!$B$6-IF((A97+1)&gt;=Model!$B$11,Model!$B$20,0)-IF(1&lt;Model!$B$15,Model!$B$22,0))/(1-Model!$B$9)/(1+Model!$B$18)^1))</f>
        <v/>
      </c>
      <c r="P97" s="7">
        <f>IF(A97="","",IF((A97+2)&gt;Model!$B$4,0,MAX(0,Model!$B$6-IF((A97+2)&gt;=Model!$B$11,Model!$B$20,0)-IF(2&lt;Model!$B$15,Model!$B$22,0))/(1-Model!$B$9)/(1+Model!$B$18)^2))</f>
        <v/>
      </c>
      <c r="Q97" s="7">
        <f>IF(A97="","",IF((A97+3)&gt;Model!$B$4,0,MAX(0,Model!$B$6-IF((A97+3)&gt;=Model!$B$11,Model!$B$20,0)-IF(3&lt;Model!$B$15,Model!$B$22,0))/(1-Model!$B$9)/(1+Model!$B$18)^3))</f>
        <v/>
      </c>
      <c r="R97" s="7">
        <f>IF(A97="","",IF((A97+4)&gt;Model!$B$4,0,MAX(0,Model!$B$6-IF((A97+4)&gt;=Model!$B$11,Model!$B$20,0)-IF(4&lt;Model!$B$15,Model!$B$22,0))/(1-Model!$B$9)/(1+Model!$B$18)^4))</f>
        <v/>
      </c>
      <c r="S97" s="7">
        <f>IF(A97="","",IF((A97+5)&gt;Model!$B$4,0,MAX(0,Model!$B$6-IF((A97+5)&gt;=Model!$B$11,Model!$B$20,0)-IF(5&lt;Model!$B$15,Model!$B$22,0))/(1-Model!$B$9)/(1+Model!$B$18)^5))</f>
        <v/>
      </c>
      <c r="T97" s="7">
        <f>IF(A97="","",IF((A97+6)&gt;Model!$B$4,0,MAX(0,Model!$B$6-IF((A97+6)&gt;=Model!$B$11,Model!$B$20,0)-IF(6&lt;Model!$B$15,Model!$B$22,0))/(1-Model!$B$9)/(1+Model!$B$18)^6))</f>
        <v/>
      </c>
      <c r="U97" s="7">
        <f>IF(A97="","",IF((A97+7)&gt;Model!$B$4,0,MAX(0,Model!$B$6-IF((A97+7)&gt;=Model!$B$11,Model!$B$20,0)-IF(7&lt;Model!$B$15,Model!$B$22,0))/(1-Model!$B$9)/(1+Model!$B$18)^7))</f>
        <v/>
      </c>
      <c r="V97" s="7">
        <f>IF(A97="","",IF((A97+8)&gt;Model!$B$4,0,MAX(0,Model!$B$6-IF((A97+8)&gt;=Model!$B$11,Model!$B$20,0)-IF(8&lt;Model!$B$15,Model!$B$22,0))/(1-Model!$B$9)/(1+Model!$B$18)^8))</f>
        <v/>
      </c>
      <c r="W97" s="7">
        <f>IF(A97="","",IF((A97+9)&gt;Model!$B$4,0,MAX(0,Model!$B$6-IF((A97+9)&gt;=Model!$B$11,Model!$B$20,0)-IF(9&lt;Model!$B$15,Model!$B$22,0))/(1-Model!$B$9)/(1+Model!$B$18)^9))</f>
        <v/>
      </c>
      <c r="X97" s="7">
        <f>IF(A97="","",IF((A97+10)&gt;Model!$B$4,0,MAX(0,Model!$B$6-IF((A97+10)&gt;=Model!$B$11,Model!$B$20,0)-IF(10&lt;Model!$B$15,Model!$B$22,0))/(1-Model!$B$9)/(1+Model!$B$18)^10))</f>
        <v/>
      </c>
      <c r="Y97" s="7">
        <f>IF(A97="","",IF((A97+11)&gt;Model!$B$4,0,MAX(0,Model!$B$6-IF((A97+11)&gt;=Model!$B$11,Model!$B$20,0)-IF(11&lt;Model!$B$15,Model!$B$22,0))/(1-Model!$B$9)/(1+Model!$B$18)^11))</f>
        <v/>
      </c>
      <c r="Z97" s="7">
        <f>IF(A97="","",IF((A97+12)&gt;Model!$B$4,0,MAX(0,Model!$B$6-IF((A97+12)&gt;=Model!$B$11,Model!$B$20,0)-IF(12&lt;Model!$B$15,Model!$B$22,0))/(1-Model!$B$9)/(1+Model!$B$18)^12))</f>
        <v/>
      </c>
      <c r="AA97" s="7">
        <f>IF(A97="","",IF((A97+13)&gt;Model!$B$4,0,MAX(0,Model!$B$6-IF((A97+13)&gt;=Model!$B$11,Model!$B$20,0)-IF(13&lt;Model!$B$15,Model!$B$22,0))/(1-Model!$B$9)/(1+Model!$B$18)^13))</f>
        <v/>
      </c>
      <c r="AB97" s="7">
        <f>IF(A97="","",IF((A97+14)&gt;Model!$B$4,0,MAX(0,Model!$B$6-IF((A97+14)&gt;=Model!$B$11,Model!$B$20,0)-IF(14&lt;Model!$B$15,Model!$B$22,0))/(1-Model!$B$9)/(1+Model!$B$18)^14))</f>
        <v/>
      </c>
      <c r="AC97" s="7">
        <f>IF(A97="","",IF((A97+15)&gt;Model!$B$4,0,MAX(0,Model!$B$6-IF((A97+15)&gt;=Model!$B$11,Model!$B$20,0)-IF(15&lt;Model!$B$15,Model!$B$22,0))/(1-Model!$B$9)/(1+Model!$B$18)^15))</f>
        <v/>
      </c>
      <c r="AD97" s="7">
        <f>IF(A97="","",IF((A97+16)&gt;Model!$B$4,0,MAX(0,Model!$B$6-IF((A97+16)&gt;=Model!$B$11,Model!$B$20,0)-IF(16&lt;Model!$B$15,Model!$B$22,0))/(1-Model!$B$9)/(1+Model!$B$18)^16))</f>
        <v/>
      </c>
      <c r="AE97" s="7">
        <f>IF(A97="","",IF((A97+17)&gt;Model!$B$4,0,MAX(0,Model!$B$6-IF((A97+17)&gt;=Model!$B$11,Model!$B$20,0)-IF(17&lt;Model!$B$15,Model!$B$22,0))/(1-Model!$B$9)/(1+Model!$B$18)^17))</f>
        <v/>
      </c>
      <c r="AF97" s="7">
        <f>IF(A97="","",IF((A97+18)&gt;Model!$B$4,0,MAX(0,Model!$B$6-IF((A97+18)&gt;=Model!$B$11,Model!$B$20,0)-IF(18&lt;Model!$B$15,Model!$B$22,0))/(1-Model!$B$9)/(1+Model!$B$18)^18))</f>
        <v/>
      </c>
      <c r="AG97" s="7">
        <f>IF(A97="","",IF((A97+19)&gt;Model!$B$4,0,MAX(0,Model!$B$6-IF((A97+19)&gt;=Model!$B$11,Model!$B$20,0)-IF(19&lt;Model!$B$15,Model!$B$22,0))/(1-Model!$B$9)/(1+Model!$B$18)^19))</f>
        <v/>
      </c>
      <c r="AH97" s="7">
        <f>IF(A97="","",IF((A97+20)&gt;Model!$B$4,0,MAX(0,Model!$B$6-IF((A97+20)&gt;=Model!$B$11,Model!$B$20,0)-IF(20&lt;Model!$B$15,Model!$B$22,0))/(1-Model!$B$9)/(1+Model!$B$18)^20))</f>
        <v/>
      </c>
      <c r="AI97" s="7">
        <f>IF(A97="","",IF((A97+21)&gt;Model!$B$4,0,MAX(0,Model!$B$6-IF((A97+21)&gt;=Model!$B$11,Model!$B$20,0)-IF(21&lt;Model!$B$15,Model!$B$22,0))/(1-Model!$B$9)/(1+Model!$B$18)^21))</f>
        <v/>
      </c>
      <c r="AJ97" s="7">
        <f>IF(A97="","",IF((A97+22)&gt;Model!$B$4,0,MAX(0,Model!$B$6-IF((A97+22)&gt;=Model!$B$11,Model!$B$20,0)-IF(22&lt;Model!$B$15,Model!$B$22,0))/(1-Model!$B$9)/(1+Model!$B$18)^22))</f>
        <v/>
      </c>
      <c r="AK97" s="7">
        <f>IF(A97="","",IF((A97+23)&gt;Model!$B$4,0,MAX(0,Model!$B$6-IF((A97+23)&gt;=Model!$B$11,Model!$B$20,0)-IF(23&lt;Model!$B$15,Model!$B$22,0))/(1-Model!$B$9)/(1+Model!$B$18)^23))</f>
        <v/>
      </c>
      <c r="AL97" s="7">
        <f>IF(A97="","",IF((A97+24)&gt;Model!$B$4,0,MAX(0,Model!$B$6-IF((A97+24)&gt;=Model!$B$11,Model!$B$20,0)-IF(24&lt;Model!$B$15,Model!$B$22,0))/(1-Model!$B$9)/(1+Model!$B$18)^24))</f>
        <v/>
      </c>
      <c r="AM97" s="7">
        <f>IF(A97="","",IF((A97+25)&gt;Model!$B$4,0,MAX(0,Model!$B$6-IF((A97+25)&gt;=Model!$B$11,Model!$B$20,0)-IF(25&lt;Model!$B$15,Model!$B$22,0))/(1-Model!$B$9)/(1+Model!$B$18)^25))</f>
        <v/>
      </c>
      <c r="AN97" s="7">
        <f>IF(A97="","",IF((A97+26)&gt;Model!$B$4,0,MAX(0,Model!$B$6-IF((A97+26)&gt;=Model!$B$11,Model!$B$20,0)-IF(26&lt;Model!$B$15,Model!$B$22,0))/(1-Model!$B$9)/(1+Model!$B$18)^26))</f>
        <v/>
      </c>
      <c r="AO97" s="7">
        <f>IF(A97="","",IF((A97+27)&gt;Model!$B$4,0,MAX(0,Model!$B$6-IF((A97+27)&gt;=Model!$B$11,Model!$B$20,0)-IF(27&lt;Model!$B$15,Model!$B$22,0))/(1-Model!$B$9)/(1+Model!$B$18)^27))</f>
        <v/>
      </c>
      <c r="AP97" s="7">
        <f>IF(A97="","",IF((A97+28)&gt;Model!$B$4,0,MAX(0,Model!$B$6-IF((A97+28)&gt;=Model!$B$11,Model!$B$20,0)-IF(28&lt;Model!$B$15,Model!$B$22,0))/(1-Model!$B$9)/(1+Model!$B$18)^28))</f>
        <v/>
      </c>
      <c r="AQ97" s="7">
        <f>IF(A97="","",IF((A97+29)&gt;Model!$B$4,0,MAX(0,Model!$B$6-IF((A97+29)&gt;=Model!$B$11,Model!$B$20,0)-IF(29&lt;Model!$B$15,Model!$B$22,0))/(1-Model!$B$9)/(1+Model!$B$18)^29))</f>
        <v/>
      </c>
      <c r="AR97" s="7">
        <f>IF(A97="","",IF((A97+30)&gt;Model!$B$4,0,MAX(0,Model!$B$6-IF((A97+30)&gt;=Model!$B$11,Model!$B$20,0)-IF(30&lt;Model!$B$15,Model!$B$22,0))/(1-Model!$B$9)/(1+Model!$B$18)^30))</f>
        <v/>
      </c>
      <c r="AS97" s="7">
        <f>IF(A97="","",IF((A97+31)&gt;Model!$B$4,0,MAX(0,Model!$B$6-IF((A97+31)&gt;=Model!$B$11,Model!$B$20,0)-IF(31&lt;Model!$B$15,Model!$B$22,0))/(1-Model!$B$9)/(1+Model!$B$18)^31))</f>
        <v/>
      </c>
      <c r="AT97" s="7">
        <f>IF(A97="","",IF((A97+32)&gt;Model!$B$4,0,MAX(0,Model!$B$6-IF((A97+32)&gt;=Model!$B$11,Model!$B$20,0)-IF(32&lt;Model!$B$15,Model!$B$22,0))/(1-Model!$B$9)/(1+Model!$B$18)^32))</f>
        <v/>
      </c>
      <c r="AU97" s="7">
        <f>IF(A97="","",IF((A97+33)&gt;Model!$B$4,0,MAX(0,Model!$B$6-IF((A97+33)&gt;=Model!$B$11,Model!$B$20,0)-IF(33&lt;Model!$B$15,Model!$B$22,0))/(1-Model!$B$9)/(1+Model!$B$18)^33))</f>
        <v/>
      </c>
      <c r="AV97" s="7">
        <f>IF(A97="","",IF((A97+34)&gt;Model!$B$4,0,MAX(0,Model!$B$6-IF((A97+34)&gt;=Model!$B$11,Model!$B$20,0)-IF(34&lt;Model!$B$15,Model!$B$22,0))/(1-Model!$B$9)/(1+Model!$B$18)^34))</f>
        <v/>
      </c>
      <c r="AW97" s="7">
        <f>IF(A97="","",IF((A97+35)&gt;Model!$B$4,0,MAX(0,Model!$B$6-IF((A97+35)&gt;=Model!$B$11,Model!$B$20,0)-IF(35&lt;Model!$B$15,Model!$B$22,0))/(1-Model!$B$9)/(1+Model!$B$18)^35))</f>
        <v/>
      </c>
      <c r="AX97" s="7">
        <f>IF(A97="","",IF((A97+36)&gt;Model!$B$4,0,MAX(0,Model!$B$6-IF((A97+36)&gt;=Model!$B$11,Model!$B$20,0)-IF(36&lt;Model!$B$15,Model!$B$22,0))/(1-Model!$B$9)/(1+Model!$B$18)^36))</f>
        <v/>
      </c>
      <c r="AY97" s="7">
        <f>IF(A97="","",IF((A97+37)&gt;Model!$B$4,0,MAX(0,Model!$B$6-IF((A97+37)&gt;=Model!$B$11,Model!$B$20,0)-IF(37&lt;Model!$B$15,Model!$B$22,0))/(1-Model!$B$9)/(1+Model!$B$18)^37))</f>
        <v/>
      </c>
      <c r="AZ97" s="7">
        <f>IF(A97="","",IF((A97+38)&gt;Model!$B$4,0,MAX(0,Model!$B$6-IF((A97+38)&gt;=Model!$B$11,Model!$B$20,0)-IF(38&lt;Model!$B$15,Model!$B$22,0))/(1-Model!$B$9)/(1+Model!$B$18)^38))</f>
        <v/>
      </c>
      <c r="BA97" s="7">
        <f>IF(A97="","",IF((A97+39)&gt;Model!$B$4,0,MAX(0,Model!$B$6-IF((A97+39)&gt;=Model!$B$11,Model!$B$20,0)-IF(39&lt;Model!$B$15,Model!$B$22,0))/(1-Model!$B$9)/(1+Model!$B$18)^39))</f>
        <v/>
      </c>
      <c r="BB97" s="7">
        <f>IF(A97="","",IF((A97+40)&gt;Model!$B$4,0,MAX(0,Model!$B$6-IF((A97+40)&gt;=Model!$B$11,Model!$B$20,0)-IF(40&lt;Model!$B$15,Model!$B$22,0))/(1-Model!$B$9)/(1+Model!$B$18)^40))</f>
        <v/>
      </c>
      <c r="BC97" s="7">
        <f>IF(A97="","",IF((A97+41)&gt;Model!$B$4,0,MAX(0,Model!$B$6-IF((A97+41)&gt;=Model!$B$11,Model!$B$20,0)-IF(41&lt;Model!$B$15,Model!$B$22,0))/(1-Model!$B$9)/(1+Model!$B$18)^41))</f>
        <v/>
      </c>
      <c r="BD97" s="7">
        <f>IF(A97="","",IF((A97+42)&gt;Model!$B$4,0,MAX(0,Model!$B$6-IF((A97+42)&gt;=Model!$B$11,Model!$B$20,0)-IF(42&lt;Model!$B$15,Model!$B$22,0))/(1-Model!$B$9)/(1+Model!$B$18)^42))</f>
        <v/>
      </c>
      <c r="BE97" s="7">
        <f>IF(A97="","",IF((A97+43)&gt;Model!$B$4,0,MAX(0,Model!$B$6-IF((A97+43)&gt;=Model!$B$11,Model!$B$20,0)-IF(43&lt;Model!$B$15,Model!$B$22,0))/(1-Model!$B$9)/(1+Model!$B$18)^43))</f>
        <v/>
      </c>
      <c r="BF97" s="7">
        <f>IF(A97="","",IF((A97+44)&gt;Model!$B$4,0,MAX(0,Model!$B$6-IF((A97+44)&gt;=Model!$B$11,Model!$B$20,0)-IF(44&lt;Model!$B$15,Model!$B$22,0))/(1-Model!$B$9)/(1+Model!$B$18)^44))</f>
        <v/>
      </c>
      <c r="BG97" s="7">
        <f>IF(A97="","",IF((A97+45)&gt;Model!$B$4,0,MAX(0,Model!$B$6-IF((A97+45)&gt;=Model!$B$11,Model!$B$20,0)-IF(45&lt;Model!$B$15,Model!$B$22,0))/(1-Model!$B$9)/(1+Model!$B$18)^45))</f>
        <v/>
      </c>
      <c r="BH97" s="7">
        <f>IF(A97="","",IF((A97+46)&gt;Model!$B$4,0,MAX(0,Model!$B$6-IF((A97+46)&gt;=Model!$B$11,Model!$B$20,0)-IF(46&lt;Model!$B$15,Model!$B$22,0))/(1-Model!$B$9)/(1+Model!$B$18)^46))</f>
        <v/>
      </c>
      <c r="BI97" s="7">
        <f>IF(A97="","",IF((A97+47)&gt;Model!$B$4,0,MAX(0,Model!$B$6-IF((A97+47)&gt;=Model!$B$11,Model!$B$20,0)-IF(47&lt;Model!$B$15,Model!$B$22,0))/(1-Model!$B$9)/(1+Model!$B$18)^47))</f>
        <v/>
      </c>
      <c r="BJ97" s="7">
        <f>IF(A97="","",IF((A97+48)&gt;Model!$B$4,0,MAX(0,Model!$B$6-IF((A97+48)&gt;=Model!$B$11,Model!$B$20,0)-IF(48&lt;Model!$B$15,Model!$B$22,0))/(1-Model!$B$9)/(1+Model!$B$18)^48))</f>
        <v/>
      </c>
      <c r="BK97" s="7">
        <f>IF(A97="","",IF((A97+49)&gt;Model!$B$4,0,MAX(0,Model!$B$6-IF((A97+49)&gt;=Model!$B$11,Model!$B$20,0)-IF(49&lt;Model!$B$15,Model!$B$22,0))/(1-Model!$B$9)/(1+Model!$B$18)^49))</f>
        <v/>
      </c>
      <c r="BL97" s="7">
        <f>IF(A97="","",IF((A97+50)&gt;Model!$B$4,0,MAX(0,Model!$B$6-IF((A97+50)&gt;=Model!$B$11,Model!$B$20,0)-IF(50&lt;Model!$B$15,Model!$B$22,0))/(1-Model!$B$9)/(1+Model!$B$18)^50))</f>
        <v/>
      </c>
      <c r="BM97" s="7">
        <f>IF(A97="","",IF((A97+51)&gt;Model!$B$4,0,MAX(0,Model!$B$6-IF((A97+51)&gt;=Model!$B$11,Model!$B$20,0)-IF(51&lt;Model!$B$15,Model!$B$22,0))/(1-Model!$B$9)/(1+Model!$B$18)^51))</f>
        <v/>
      </c>
      <c r="BN97" s="7">
        <f>IF(A97="","",IF((A97+52)&gt;Model!$B$4,0,MAX(0,Model!$B$6-IF((A97+52)&gt;=Model!$B$11,Model!$B$20,0)-IF(52&lt;Model!$B$15,Model!$B$22,0))/(1-Model!$B$9)/(1+Model!$B$18)^52))</f>
        <v/>
      </c>
      <c r="BO97" s="7">
        <f>IF(A97="","",IF((A97+53)&gt;Model!$B$4,0,MAX(0,Model!$B$6-IF((A97+53)&gt;=Model!$B$11,Model!$B$20,0)-IF(53&lt;Model!$B$15,Model!$B$22,0))/(1-Model!$B$9)/(1+Model!$B$18)^53))</f>
        <v/>
      </c>
      <c r="BP97" s="7">
        <f>IF(A97="","",IF((A97+54)&gt;Model!$B$4,0,MAX(0,Model!$B$6-IF((A97+54)&gt;=Model!$B$11,Model!$B$20,0)-IF(54&lt;Model!$B$15,Model!$B$22,0))/(1-Model!$B$9)/(1+Model!$B$18)^54))</f>
        <v/>
      </c>
      <c r="BQ97" s="7">
        <f>IF(A97="","",IF((A97+55)&gt;Model!$B$4,0,MAX(0,Model!$B$6-IF((A97+55)&gt;=Model!$B$11,Model!$B$20,0)-IF(55&lt;Model!$B$15,Model!$B$22,0))/(1-Model!$B$9)/(1+Model!$B$18)^55))</f>
        <v/>
      </c>
      <c r="BR97" s="7">
        <f>IF(A97="","",IF((A97+56)&gt;Model!$B$4,0,MAX(0,Model!$B$6-IF((A97+56)&gt;=Model!$B$11,Model!$B$20,0)-IF(56&lt;Model!$B$15,Model!$B$22,0))/(1-Model!$B$9)/(1+Model!$B$18)^56))</f>
        <v/>
      </c>
      <c r="BS97" s="7">
        <f>IF(A97="","",IF((A97+57)&gt;Model!$B$4,0,MAX(0,Model!$B$6-IF((A97+57)&gt;=Model!$B$11,Model!$B$20,0)-IF(57&lt;Model!$B$15,Model!$B$22,0))/(1-Model!$B$9)/(1+Model!$B$18)^57))</f>
        <v/>
      </c>
      <c r="BT97" s="7">
        <f>IF(A97="","",IF((A97+58)&gt;Model!$B$4,0,MAX(0,Model!$B$6-IF((A97+58)&gt;=Model!$B$11,Model!$B$20,0)-IF(58&lt;Model!$B$15,Model!$B$22,0))/(1-Model!$B$9)/(1+Model!$B$18)^58))</f>
        <v/>
      </c>
      <c r="BU97" s="7">
        <f>IF(A97="","",IF((A97+59)&gt;Model!$B$4,0,MAX(0,Model!$B$6-IF((A97+59)&gt;=Model!$B$11,Model!$B$20,0)-IF(59&lt;Model!$B$15,Model!$B$22,0))/(1-Model!$B$9)/(1+Model!$B$18)^59))</f>
        <v/>
      </c>
      <c r="BV97" s="7">
        <f>IF(A97="","",IF((A97+60)&gt;Model!$B$4,0,MAX(0,Model!$B$6-IF((A97+60)&gt;=Model!$B$11,Model!$B$20,0)-IF(60&lt;Model!$B$15,Model!$B$22,0))/(1-Model!$B$9)/(1+Model!$B$18)^60))</f>
        <v/>
      </c>
      <c r="BW97" s="7">
        <f>IF(A97="","",IF((A97+61)&gt;Model!$B$4,0,MAX(0,Model!$B$6-IF((A97+61)&gt;=Model!$B$11,Model!$B$20,0)-IF(61&lt;Model!$B$15,Model!$B$22,0))/(1-Model!$B$9)/(1+Model!$B$18)^61))</f>
        <v/>
      </c>
      <c r="BX97" s="7">
        <f>IF(A97="","",IF((A97+62)&gt;Model!$B$4,0,MAX(0,Model!$B$6-IF((A97+62)&gt;=Model!$B$11,Model!$B$20,0)-IF(62&lt;Model!$B$15,Model!$B$22,0))/(1-Model!$B$9)/(1+Model!$B$18)^62))</f>
        <v/>
      </c>
      <c r="BY97" s="7">
        <f>IF(A97="","",IF((A97+63)&gt;Model!$B$4,0,MAX(0,Model!$B$6-IF((A97+63)&gt;=Model!$B$11,Model!$B$20,0)-IF(63&lt;Model!$B$15,Model!$B$22,0))/(1-Model!$B$9)/(1+Model!$B$18)^63))</f>
        <v/>
      </c>
      <c r="BZ97" s="7">
        <f>IF(A97="","",IF((A97+64)&gt;Model!$B$4,0,MAX(0,Model!$B$6-IF((A97+64)&gt;=Model!$B$11,Model!$B$20,0)-IF(64&lt;Model!$B$15,Model!$B$22,0))/(1-Model!$B$9)/(1+Model!$B$18)^64))</f>
        <v/>
      </c>
      <c r="CA97" s="7">
        <f>IF(A97="","",IF((A97+65)&gt;Model!$B$4,0,MAX(0,Model!$B$6-IF((A97+65)&gt;=Model!$B$11,Model!$B$20,0)-IF(65&lt;Model!$B$15,Model!$B$22,0))/(1-Model!$B$9)/(1+Model!$B$18)^65))</f>
        <v/>
      </c>
      <c r="CB97" s="7">
        <f>IF(A97="","",IF((A97+66)&gt;Model!$B$4,0,MAX(0,Model!$B$6-IF((A97+66)&gt;=Model!$B$11,Model!$B$20,0)-IF(66&lt;Model!$B$15,Model!$B$22,0))/(1-Model!$B$9)/(1+Model!$B$18)^66))</f>
        <v/>
      </c>
      <c r="CC97" s="7">
        <f>IF(A97="","",IF((A97+67)&gt;Model!$B$4,0,MAX(0,Model!$B$6-IF((A97+67)&gt;=Model!$B$11,Model!$B$20,0)-IF(67&lt;Model!$B$15,Model!$B$22,0))/(1-Model!$B$9)/(1+Model!$B$18)^67))</f>
        <v/>
      </c>
      <c r="CD97" s="7">
        <f>IF(A97="","",IF((A97+68)&gt;Model!$B$4,0,MAX(0,Model!$B$6-IF((A97+68)&gt;=Model!$B$11,Model!$B$20,0)-IF(68&lt;Model!$B$15,Model!$B$22,0))/(1-Model!$B$9)/(1+Model!$B$18)^68))</f>
        <v/>
      </c>
      <c r="CE97" s="7">
        <f>IF(A97="","",IF((A97+69)&gt;Model!$B$4,0,MAX(0,Model!$B$6-IF((A97+69)&gt;=Model!$B$11,Model!$B$20,0)-IF(69&lt;Model!$B$15,Model!$B$22,0))/(1-Model!$B$9)/(1+Model!$B$18)^69))</f>
        <v/>
      </c>
      <c r="CF97" s="7">
        <f>IF(A97="","",IF((A97+70)&gt;Model!$B$4,0,MAX(0,Model!$B$6-IF((A97+70)&gt;=Model!$B$11,Model!$B$20,0)-IF(70&lt;Model!$B$15,Model!$B$22,0))/(1-Model!$B$9)/(1+Model!$B$18)^70))</f>
        <v/>
      </c>
      <c r="CG97" s="7">
        <f>IF(A97="","",IF((A97+71)&gt;Model!$B$4,0,MAX(0,Model!$B$6-IF((A97+71)&gt;=Model!$B$11,Model!$B$20,0)-IF(71&lt;Model!$B$15,Model!$B$22,0))/(1-Model!$B$9)/(1+Model!$B$18)^71))</f>
        <v/>
      </c>
      <c r="CH97" s="7">
        <f>IF(A97="","",IF((A97+72)&gt;Model!$B$4,0,MAX(0,Model!$B$6-IF((A97+72)&gt;=Model!$B$11,Model!$B$20,0)-IF(72&lt;Model!$B$15,Model!$B$22,0))/(1-Model!$B$9)/(1+Model!$B$18)^72))</f>
        <v/>
      </c>
      <c r="CI97" s="7">
        <f>IF(A97="","",IF((A97+73)&gt;Model!$B$4,0,MAX(0,Model!$B$6-IF((A97+73)&gt;=Model!$B$11,Model!$B$20,0)-IF(73&lt;Model!$B$15,Model!$B$22,0))/(1-Model!$B$9)/(1+Model!$B$18)^73))</f>
        <v/>
      </c>
      <c r="CJ97" s="7">
        <f>IF(A97="","",IF((A97+74)&gt;Model!$B$4,0,MAX(0,Model!$B$6-IF((A97+74)&gt;=Model!$B$11,Model!$B$20,0)-IF(74&lt;Model!$B$15,Model!$B$22,0))/(1-Model!$B$9)/(1+Model!$B$18)^74))</f>
        <v/>
      </c>
      <c r="CK97" s="7">
        <f>IF(A97="","",IF((A97+75)&gt;Model!$B$4,0,MAX(0,Model!$B$6-IF((A97+75)&gt;=Model!$B$11,Model!$B$20,0)-IF(75&lt;Model!$B$15,Model!$B$22,0))/(1-Model!$B$9)/(1+Model!$B$18)^75))</f>
        <v/>
      </c>
      <c r="CL97" s="7">
        <f>IF(A97="","",IF((A97+76)&gt;Model!$B$4,0,MAX(0,Model!$B$6-IF((A97+76)&gt;=Model!$B$11,Model!$B$20,0)-IF(76&lt;Model!$B$15,Model!$B$22,0))/(1-Model!$B$9)/(1+Model!$B$18)^76))</f>
        <v/>
      </c>
      <c r="CM97" s="7">
        <f>IF(A97="","",IF((A97+77)&gt;Model!$B$4,0,MAX(0,Model!$B$6-IF((A97+77)&gt;=Model!$B$11,Model!$B$20,0)-IF(77&lt;Model!$B$15,Model!$B$22,0))/(1-Model!$B$9)/(1+Model!$B$18)^77))</f>
        <v/>
      </c>
      <c r="CN97" s="7">
        <f>IF(A97="","",IF((A97+78)&gt;Model!$B$4,0,MAX(0,Model!$B$6-IF((A97+78)&gt;=Model!$B$11,Model!$B$20,0)-IF(78&lt;Model!$B$15,Model!$B$22,0))/(1-Model!$B$9)/(1+Model!$B$18)^78))</f>
        <v/>
      </c>
      <c r="CO97" s="7">
        <f>IF(A97="","",IF((A97+79)&gt;Model!$B$4,0,MAX(0,Model!$B$6-IF((A97+79)&gt;=Model!$B$11,Model!$B$20,0)-IF(79&lt;Model!$B$15,Model!$B$22,0))/(1-Model!$B$9)/(1+Model!$B$18)^79))</f>
        <v/>
      </c>
      <c r="CP97" s="7">
        <f>IF(A97="","",IF((A97+80)&gt;Model!$B$4,0,MAX(0,Model!$B$6-IF((A97+80)&gt;=Model!$B$11,Model!$B$20,0)-IF(80&lt;Model!$B$15,Model!$B$22,0))/(1-Model!$B$9)/(1+Model!$B$18)^80))</f>
        <v/>
      </c>
      <c r="CQ97" s="7">
        <f>IF(A97="","",IF((A97+81)&gt;Model!$B$4,0,MAX(0,Model!$B$6-IF((A97+81)&gt;=Model!$B$11,Model!$B$20,0)-IF(81&lt;Model!$B$15,Model!$B$22,0))/(1-Model!$B$9)/(1+Model!$B$18)^81))</f>
        <v/>
      </c>
      <c r="CR97" s="7">
        <f>IF(A97="","",IF((A97+82)&gt;Model!$B$4,0,MAX(0,Model!$B$6-IF((A97+82)&gt;=Model!$B$11,Model!$B$20,0)-IF(82&lt;Model!$B$15,Model!$B$22,0))/(1-Model!$B$9)/(1+Model!$B$18)^82))</f>
        <v/>
      </c>
      <c r="CS97" s="7">
        <f>IF(A97="","",IF((A97+83)&gt;Model!$B$4,0,MAX(0,Model!$B$6-IF((A97+83)&gt;=Model!$B$11,Model!$B$20,0)-IF(83&lt;Model!$B$15,Model!$B$22,0))/(1-Model!$B$9)/(1+Model!$B$18)^83))</f>
        <v/>
      </c>
      <c r="CT97" s="7">
        <f>IF(A97="","",IF((A97+84)&gt;Model!$B$4,0,MAX(0,Model!$B$6-IF((A97+84)&gt;=Model!$B$11,Model!$B$20,0)-IF(84&lt;Model!$B$15,Model!$B$22,0))/(1-Model!$B$9)/(1+Model!$B$18)^84))</f>
        <v/>
      </c>
      <c r="CU97" s="7">
        <f>IF(A97="","",IF((A97+85)&gt;Model!$B$4,0,MAX(0,Model!$B$6-IF((A97+85)&gt;=Model!$B$11,Model!$B$20,0)-IF(85&lt;Model!$B$15,Model!$B$22,0))/(1-Model!$B$9)/(1+Model!$B$18)^85))</f>
        <v/>
      </c>
      <c r="CV97" s="7">
        <f>IF(A97="","",IF((A97+86)&gt;Model!$B$4,0,MAX(0,Model!$B$6-IF((A97+86)&gt;=Model!$B$11,Model!$B$20,0)-IF(86&lt;Model!$B$15,Model!$B$22,0))/(1-Model!$B$9)/(1+Model!$B$18)^86))</f>
        <v/>
      </c>
      <c r="CW97" s="7">
        <f>IF(A97="","",IF((A97+87)&gt;Model!$B$4,0,MAX(0,Model!$B$6-IF((A97+87)&gt;=Model!$B$11,Model!$B$20,0)-IF(87&lt;Model!$B$15,Model!$B$22,0))/(1-Model!$B$9)/(1+Model!$B$18)^87))</f>
        <v/>
      </c>
      <c r="CX97" s="7">
        <f>IF(A97="","",IF((A97+88)&gt;Model!$B$4,0,MAX(0,Model!$B$6-IF((A97+88)&gt;=Model!$B$11,Model!$B$20,0)-IF(88&lt;Model!$B$15,Model!$B$22,0))/(1-Model!$B$9)/(1+Model!$B$18)^88))</f>
        <v/>
      </c>
      <c r="CY97" s="7">
        <f>IF(A97="","",IF((A97+89)&gt;Model!$B$4,0,MAX(0,Model!$B$6-IF((A97+89)&gt;=Model!$B$11,Model!$B$20,0)-IF(89&lt;Model!$B$15,Model!$B$22,0))/(1-Model!$B$9)/(1+Model!$B$18)^89))</f>
        <v/>
      </c>
      <c r="CZ97" s="7">
        <f>IF(A97="","",IF((A97+90)&gt;Model!$B$4,0,MAX(0,Model!$B$6-IF((A97+90)&gt;=Model!$B$11,Model!$B$20,0)-IF(90&lt;Model!$B$15,Model!$B$22,0))/(1-Model!$B$9)/(1+Model!$B$18)^90))</f>
        <v/>
      </c>
      <c r="DA97" s="7">
        <f>IF(A97="","",IF((A97+91)&gt;Model!$B$4,0,MAX(0,Model!$B$6-IF((A97+91)&gt;=Model!$B$11,Model!$B$20,0)-IF(91&lt;Model!$B$15,Model!$B$22,0))/(1-Model!$B$9)/(1+Model!$B$18)^91))</f>
        <v/>
      </c>
      <c r="DB97" s="7">
        <f>IF(A97="","",IF((A97+92)&gt;Model!$B$4,0,MAX(0,Model!$B$6-IF((A97+92)&gt;=Model!$B$11,Model!$B$20,0)-IF(92&lt;Model!$B$15,Model!$B$22,0))/(1-Model!$B$9)/(1+Model!$B$18)^92))</f>
        <v/>
      </c>
      <c r="DC97" s="7">
        <f>IF(A97="","",IF((A97+93)&gt;Model!$B$4,0,MAX(0,Model!$B$6-IF((A97+93)&gt;=Model!$B$11,Model!$B$20,0)-IF(93&lt;Model!$B$15,Model!$B$22,0))/(1-Model!$B$9)/(1+Model!$B$18)^93))</f>
        <v/>
      </c>
      <c r="DD97" s="7">
        <f>IF(A97="","",IF((A97+94)&gt;Model!$B$4,0,MAX(0,Model!$B$6-IF((A97+94)&gt;=Model!$B$11,Model!$B$20,0)-IF(94&lt;Model!$B$15,Model!$B$22,0))/(1-Model!$B$9)/(1+Model!$B$18)^94))</f>
        <v/>
      </c>
      <c r="DE97" s="7">
        <f>IF(A97="","",IF((A97+95)&gt;Model!$B$4,0,MAX(0,Model!$B$6-IF((A97+95)&gt;=Model!$B$11,Model!$B$20,0)-IF(95&lt;Model!$B$15,Model!$B$22,0))/(1-Model!$B$9)/(1+Model!$B$18)^95))</f>
        <v/>
      </c>
      <c r="DF97" s="7">
        <f>IF(A97="","",IF((A97+96)&gt;Model!$B$4,0,MAX(0,Model!$B$6-IF((A97+96)&gt;=Model!$B$11,Model!$B$20,0)-IF(96&lt;Model!$B$15,Model!$B$22,0))/(1-Model!$B$9)/(1+Model!$B$18)^96))</f>
        <v/>
      </c>
      <c r="DG97" s="7">
        <f>IF(A97="","",IF((A97+97)&gt;Model!$B$4,0,MAX(0,Model!$B$6-IF((A97+97)&gt;=Model!$B$11,Model!$B$20,0)-IF(97&lt;Model!$B$15,Model!$B$22,0))/(1-Model!$B$9)/(1+Model!$B$18)^97))</f>
        <v/>
      </c>
      <c r="DH97" s="7">
        <f>IF(A97="","",IF((A97+98)&gt;Model!$B$4,0,MAX(0,Model!$B$6-IF((A97+98)&gt;=Model!$B$11,Model!$B$20,0)-IF(98&lt;Model!$B$15,Model!$B$22,0))/(1-Model!$B$9)/(1+Model!$B$18)^98))</f>
        <v/>
      </c>
      <c r="DI97" s="7">
        <f>IF(A97="","",IF((A97+99)&gt;Model!$B$4,0,MAX(0,Model!$B$6-IF((A97+99)&gt;=Model!$B$11,Model!$B$20,0)-IF(99&lt;Model!$B$15,Model!$B$22,0))/(1-Model!$B$9)/(1+Model!$B$18)^99))</f>
        <v/>
      </c>
      <c r="DJ97" s="7">
        <f>IF(A97="","",IF((A97+100)&gt;Model!$B$4,0,MAX(0,Model!$B$6-IF((A97+100)&gt;=Model!$B$11,Model!$B$20,0)-IF(100&lt;Model!$B$15,Model!$B$22,0))/(1-Model!$B$9)/(1+Model!$B$18)^100))</f>
        <v/>
      </c>
      <c r="DK97" s="7">
        <f>IF(A97="","",IF((A97+101)&gt;Model!$B$4,0,MAX(0,Model!$B$6-IF((A97+101)&gt;=Model!$B$11,Model!$B$20,0)-IF(101&lt;Model!$B$15,Model!$B$22,0))/(1-Model!$B$9)/(1+Model!$B$18)^101))</f>
        <v/>
      </c>
      <c r="DL97" s="7">
        <f>IF(A97="","",IF((A97+102)&gt;Model!$B$4,0,MAX(0,Model!$B$6-IF((A97+102)&gt;=Model!$B$11,Model!$B$20,0)-IF(102&lt;Model!$B$15,Model!$B$22,0))/(1-Model!$B$9)/(1+Model!$B$18)^102))</f>
        <v/>
      </c>
      <c r="DM97" s="7">
        <f>IF(A97="","",IF((A97+103)&gt;Model!$B$4,0,MAX(0,Model!$B$6-IF((A97+103)&gt;=Model!$B$11,Model!$B$20,0)-IF(103&lt;Model!$B$15,Model!$B$22,0))/(1-Model!$B$9)/(1+Model!$B$18)^103))</f>
        <v/>
      </c>
      <c r="DN97" s="7">
        <f>IF(A97="","",IF((A97+104)&gt;Model!$B$4,0,MAX(0,Model!$B$6-IF((A97+104)&gt;=Model!$B$11,Model!$B$20,0)-IF(104&lt;Model!$B$15,Model!$B$22,0))/(1-Model!$B$9)/(1+Model!$B$18)^104))</f>
        <v/>
      </c>
      <c r="DO97" s="7">
        <f>IF(A97="","",IF((A97+105)&gt;Model!$B$4,0,MAX(0,Model!$B$6-IF((A97+105)&gt;=Model!$B$11,Model!$B$20,0)-IF(105&lt;Model!$B$15,Model!$B$22,0))/(1-Model!$B$9)/(1+Model!$B$18)^105))</f>
        <v/>
      </c>
      <c r="DP97" s="7">
        <f>IF(A97="","",IF((A97+106)&gt;Model!$B$4,0,MAX(0,Model!$B$6-IF((A97+106)&gt;=Model!$B$11,Model!$B$20,0)-IF(106&lt;Model!$B$15,Model!$B$22,0))/(1-Model!$B$9)/(1+Model!$B$18)^106))</f>
        <v/>
      </c>
      <c r="DQ97" s="7">
        <f>IF(A97="","",IF((A97+107)&gt;Model!$B$4,0,MAX(0,Model!$B$6-IF((A97+107)&gt;=Model!$B$11,Model!$B$20,0)-IF(107&lt;Model!$B$15,Model!$B$22,0))/(1-Model!$B$9)/(1+Model!$B$18)^107))</f>
        <v/>
      </c>
      <c r="DR97" s="7">
        <f>IF(A97="","",IF((A97+108)&gt;Model!$B$4,0,MAX(0,Model!$B$6-IF((A97+108)&gt;=Model!$B$11,Model!$B$20,0)-IF(108&lt;Model!$B$15,Model!$B$22,0))/(1-Model!$B$9)/(1+Model!$B$18)^108))</f>
        <v/>
      </c>
      <c r="DS97" s="7">
        <f>IF(A97="","",IF((A97+109)&gt;Model!$B$4,0,MAX(0,Model!$B$6-IF((A97+109)&gt;=Model!$B$11,Model!$B$20,0)-IF(109&lt;Model!$B$15,Model!$B$22,0))/(1-Model!$B$9)/(1+Model!$B$18)^109))</f>
        <v/>
      </c>
      <c r="DT97" s="7">
        <f>IF(A97="","",IF((A97+110)&gt;Model!$B$4,0,MAX(0,Model!$B$6-IF((A97+110)&gt;=Model!$B$11,Model!$B$20,0)-IF(110&lt;Model!$B$15,Model!$B$22,0))/(1-Model!$B$9)/(1+Model!$B$18)^110))</f>
        <v/>
      </c>
      <c r="DU97" s="7">
        <f>IF(A97="","",IF((A97+111)&gt;Model!$B$4,0,MAX(0,Model!$B$6-IF((A97+111)&gt;=Model!$B$11,Model!$B$20,0)-IF(111&lt;Model!$B$15,Model!$B$22,0))/(1-Model!$B$9)/(1+Model!$B$18)^111))</f>
        <v/>
      </c>
      <c r="DV97" s="7">
        <f>IF(A97="","",IF((A97+112)&gt;Model!$B$4,0,MAX(0,Model!$B$6-IF((A97+112)&gt;=Model!$B$11,Model!$B$20,0)-IF(112&lt;Model!$B$15,Model!$B$22,0))/(1-Model!$B$9)/(1+Model!$B$18)^112))</f>
        <v/>
      </c>
      <c r="DW97" s="7">
        <f>IF(A97="","",IF((A97+113)&gt;Model!$B$4,0,MAX(0,Model!$B$6-IF((A97+113)&gt;=Model!$B$11,Model!$B$20,0)-IF(113&lt;Model!$B$15,Model!$B$22,0))/(1-Model!$B$9)/(1+Model!$B$18)^113))</f>
        <v/>
      </c>
      <c r="DX97" s="7">
        <f>IF(A97="","",IF((A97+114)&gt;Model!$B$4,0,MAX(0,Model!$B$6-IF((A97+114)&gt;=Model!$B$11,Model!$B$20,0)-IF(114&lt;Model!$B$15,Model!$B$22,0))/(1-Model!$B$9)/(1+Model!$B$18)^114))</f>
        <v/>
      </c>
      <c r="DY97" s="7">
        <f>IF(A97="","",IF((A97+115)&gt;Model!$B$4,0,MAX(0,Model!$B$6-IF((A97+115)&gt;=Model!$B$11,Model!$B$20,0)-IF(115&lt;Model!$B$15,Model!$B$22,0))/(1-Model!$B$9)/(1+Model!$B$18)^115))</f>
        <v/>
      </c>
      <c r="DZ97" s="7">
        <f>IF(A97="","",IF((A97+116)&gt;Model!$B$4,0,MAX(0,Model!$B$6-IF((A97+116)&gt;=Model!$B$11,Model!$B$20,0)-IF(116&lt;Model!$B$15,Model!$B$22,0))/(1-Model!$B$9)/(1+Model!$B$18)^116))</f>
        <v/>
      </c>
      <c r="EA97" s="7">
        <f>IF(A97="","",IF((A97+117)&gt;Model!$B$4,0,MAX(0,Model!$B$6-IF((A97+117)&gt;=Model!$B$11,Model!$B$20,0)-IF(117&lt;Model!$B$15,Model!$B$22,0))/(1-Model!$B$9)/(1+Model!$B$18)^117))</f>
        <v/>
      </c>
      <c r="EB97" s="7">
        <f>IF(A97="","",IF((A97+118)&gt;Model!$B$4,0,MAX(0,Model!$B$6-IF((A97+118)&gt;=Model!$B$11,Model!$B$20,0)-IF(118&lt;Model!$B$15,Model!$B$22,0))/(1-Model!$B$9)/(1+Model!$B$18)^118))</f>
        <v/>
      </c>
      <c r="EC97" s="7">
        <f>IF(A97="","",IF((A97+119)&gt;Model!$B$4,0,MAX(0,Model!$B$6-IF((A97+119)&gt;=Model!$B$11,Model!$B$20,0)-IF(119&lt;Model!$B$15,Model!$B$22,0))/(1-Model!$B$9)/(1+Model!$B$18)^119))</f>
        <v/>
      </c>
      <c r="ED97" s="7">
        <f>IF(A97="","",IF((A97+120)&gt;Model!$B$4,0,MAX(0,Model!$B$6-IF((A97+120)&gt;=Model!$B$11,Model!$B$20,0)-IF(120&lt;Model!$B$15,Model!$B$22,0))/(1-Model!$B$9)/(1+Model!$B$18)^120))</f>
        <v/>
      </c>
    </row>
    <row r="98">
      <c r="A98">
        <f>IF(Model!$B$10+ROW()-2&lt;=Model!$B$4,Model!$B$10+ROW()-2,"")</f>
        <v/>
      </c>
      <c r="B98">
        <f>IF(A98="","",A98-Model!$B$10)</f>
        <v/>
      </c>
      <c r="C98" s="7">
        <f>IF(A98="","",Model!$B$5*(1+Model!$B$18)^B98)</f>
        <v/>
      </c>
      <c r="D98" s="7">
        <f>IF(A98="","",SUM(N98:ED98))</f>
        <v/>
      </c>
      <c r="E98" s="7">
        <f>IF(A98="","",IF(A98&gt;=Model!$B$11,Model!$B$20,0))</f>
        <v/>
      </c>
      <c r="F98" s="7">
        <f>IF(A98="","",IF(Model!$B$15&gt;0,Model!$B$22,0))</f>
        <v/>
      </c>
      <c r="G98" s="7">
        <f>IF(A98="","",E98+F98)</f>
        <v/>
      </c>
      <c r="H98" s="7">
        <f>IF(A98="","",MAX(0,Model!$B$6-G98))</f>
        <v/>
      </c>
      <c r="I98" s="7">
        <f>IF(A98="","",H98/(1-Model!$B$9))</f>
        <v/>
      </c>
      <c r="J98" s="7">
        <f>IF(A98="","",C98-D98)</f>
        <v/>
      </c>
      <c r="K98">
        <f>IF(A98="","",C98&gt;=D98)</f>
        <v/>
      </c>
      <c r="L98" s="7">
        <f>IF(A98="","",IF(A98&gt;=Model!$B$11,Model!$B$19*(1+Model!$B$13)^B98,0))</f>
        <v/>
      </c>
      <c r="M98" s="7">
        <f>IF(A98="","",IF(Model!$B$15&gt;0,Model!$B$21*(1+Model!$B$13)^B98,0))</f>
        <v/>
      </c>
      <c r="N98" s="7">
        <f>IF(A98="","",IF((A98+0)&gt;Model!$B$4,0,MAX(0,Model!$B$6-IF((A98+0)&gt;=Model!$B$11,Model!$B$20,0)-IF(0&lt;Model!$B$15,Model!$B$22,0))/(1-Model!$B$9)/(1+Model!$B$18)^0))</f>
        <v/>
      </c>
      <c r="O98" s="7">
        <f>IF(A98="","",IF((A98+1)&gt;Model!$B$4,0,MAX(0,Model!$B$6-IF((A98+1)&gt;=Model!$B$11,Model!$B$20,0)-IF(1&lt;Model!$B$15,Model!$B$22,0))/(1-Model!$B$9)/(1+Model!$B$18)^1))</f>
        <v/>
      </c>
      <c r="P98" s="7">
        <f>IF(A98="","",IF((A98+2)&gt;Model!$B$4,0,MAX(0,Model!$B$6-IF((A98+2)&gt;=Model!$B$11,Model!$B$20,0)-IF(2&lt;Model!$B$15,Model!$B$22,0))/(1-Model!$B$9)/(1+Model!$B$18)^2))</f>
        <v/>
      </c>
      <c r="Q98" s="7">
        <f>IF(A98="","",IF((A98+3)&gt;Model!$B$4,0,MAX(0,Model!$B$6-IF((A98+3)&gt;=Model!$B$11,Model!$B$20,0)-IF(3&lt;Model!$B$15,Model!$B$22,0))/(1-Model!$B$9)/(1+Model!$B$18)^3))</f>
        <v/>
      </c>
      <c r="R98" s="7">
        <f>IF(A98="","",IF((A98+4)&gt;Model!$B$4,0,MAX(0,Model!$B$6-IF((A98+4)&gt;=Model!$B$11,Model!$B$20,0)-IF(4&lt;Model!$B$15,Model!$B$22,0))/(1-Model!$B$9)/(1+Model!$B$18)^4))</f>
        <v/>
      </c>
      <c r="S98" s="7">
        <f>IF(A98="","",IF((A98+5)&gt;Model!$B$4,0,MAX(0,Model!$B$6-IF((A98+5)&gt;=Model!$B$11,Model!$B$20,0)-IF(5&lt;Model!$B$15,Model!$B$22,0))/(1-Model!$B$9)/(1+Model!$B$18)^5))</f>
        <v/>
      </c>
      <c r="T98" s="7">
        <f>IF(A98="","",IF((A98+6)&gt;Model!$B$4,0,MAX(0,Model!$B$6-IF((A98+6)&gt;=Model!$B$11,Model!$B$20,0)-IF(6&lt;Model!$B$15,Model!$B$22,0))/(1-Model!$B$9)/(1+Model!$B$18)^6))</f>
        <v/>
      </c>
      <c r="U98" s="7">
        <f>IF(A98="","",IF((A98+7)&gt;Model!$B$4,0,MAX(0,Model!$B$6-IF((A98+7)&gt;=Model!$B$11,Model!$B$20,0)-IF(7&lt;Model!$B$15,Model!$B$22,0))/(1-Model!$B$9)/(1+Model!$B$18)^7))</f>
        <v/>
      </c>
      <c r="V98" s="7">
        <f>IF(A98="","",IF((A98+8)&gt;Model!$B$4,0,MAX(0,Model!$B$6-IF((A98+8)&gt;=Model!$B$11,Model!$B$20,0)-IF(8&lt;Model!$B$15,Model!$B$22,0))/(1-Model!$B$9)/(1+Model!$B$18)^8))</f>
        <v/>
      </c>
      <c r="W98" s="7">
        <f>IF(A98="","",IF((A98+9)&gt;Model!$B$4,0,MAX(0,Model!$B$6-IF((A98+9)&gt;=Model!$B$11,Model!$B$20,0)-IF(9&lt;Model!$B$15,Model!$B$22,0))/(1-Model!$B$9)/(1+Model!$B$18)^9))</f>
        <v/>
      </c>
      <c r="X98" s="7">
        <f>IF(A98="","",IF((A98+10)&gt;Model!$B$4,0,MAX(0,Model!$B$6-IF((A98+10)&gt;=Model!$B$11,Model!$B$20,0)-IF(10&lt;Model!$B$15,Model!$B$22,0))/(1-Model!$B$9)/(1+Model!$B$18)^10))</f>
        <v/>
      </c>
      <c r="Y98" s="7">
        <f>IF(A98="","",IF((A98+11)&gt;Model!$B$4,0,MAX(0,Model!$B$6-IF((A98+11)&gt;=Model!$B$11,Model!$B$20,0)-IF(11&lt;Model!$B$15,Model!$B$22,0))/(1-Model!$B$9)/(1+Model!$B$18)^11))</f>
        <v/>
      </c>
      <c r="Z98" s="7">
        <f>IF(A98="","",IF((A98+12)&gt;Model!$B$4,0,MAX(0,Model!$B$6-IF((A98+12)&gt;=Model!$B$11,Model!$B$20,0)-IF(12&lt;Model!$B$15,Model!$B$22,0))/(1-Model!$B$9)/(1+Model!$B$18)^12))</f>
        <v/>
      </c>
      <c r="AA98" s="7">
        <f>IF(A98="","",IF((A98+13)&gt;Model!$B$4,0,MAX(0,Model!$B$6-IF((A98+13)&gt;=Model!$B$11,Model!$B$20,0)-IF(13&lt;Model!$B$15,Model!$B$22,0))/(1-Model!$B$9)/(1+Model!$B$18)^13))</f>
        <v/>
      </c>
      <c r="AB98" s="7">
        <f>IF(A98="","",IF((A98+14)&gt;Model!$B$4,0,MAX(0,Model!$B$6-IF((A98+14)&gt;=Model!$B$11,Model!$B$20,0)-IF(14&lt;Model!$B$15,Model!$B$22,0))/(1-Model!$B$9)/(1+Model!$B$18)^14))</f>
        <v/>
      </c>
      <c r="AC98" s="7">
        <f>IF(A98="","",IF((A98+15)&gt;Model!$B$4,0,MAX(0,Model!$B$6-IF((A98+15)&gt;=Model!$B$11,Model!$B$20,0)-IF(15&lt;Model!$B$15,Model!$B$22,0))/(1-Model!$B$9)/(1+Model!$B$18)^15))</f>
        <v/>
      </c>
      <c r="AD98" s="7">
        <f>IF(A98="","",IF((A98+16)&gt;Model!$B$4,0,MAX(0,Model!$B$6-IF((A98+16)&gt;=Model!$B$11,Model!$B$20,0)-IF(16&lt;Model!$B$15,Model!$B$22,0))/(1-Model!$B$9)/(1+Model!$B$18)^16))</f>
        <v/>
      </c>
      <c r="AE98" s="7">
        <f>IF(A98="","",IF((A98+17)&gt;Model!$B$4,0,MAX(0,Model!$B$6-IF((A98+17)&gt;=Model!$B$11,Model!$B$20,0)-IF(17&lt;Model!$B$15,Model!$B$22,0))/(1-Model!$B$9)/(1+Model!$B$18)^17))</f>
        <v/>
      </c>
      <c r="AF98" s="7">
        <f>IF(A98="","",IF((A98+18)&gt;Model!$B$4,0,MAX(0,Model!$B$6-IF((A98+18)&gt;=Model!$B$11,Model!$B$20,0)-IF(18&lt;Model!$B$15,Model!$B$22,0))/(1-Model!$B$9)/(1+Model!$B$18)^18))</f>
        <v/>
      </c>
      <c r="AG98" s="7">
        <f>IF(A98="","",IF((A98+19)&gt;Model!$B$4,0,MAX(0,Model!$B$6-IF((A98+19)&gt;=Model!$B$11,Model!$B$20,0)-IF(19&lt;Model!$B$15,Model!$B$22,0))/(1-Model!$B$9)/(1+Model!$B$18)^19))</f>
        <v/>
      </c>
      <c r="AH98" s="7">
        <f>IF(A98="","",IF((A98+20)&gt;Model!$B$4,0,MAX(0,Model!$B$6-IF((A98+20)&gt;=Model!$B$11,Model!$B$20,0)-IF(20&lt;Model!$B$15,Model!$B$22,0))/(1-Model!$B$9)/(1+Model!$B$18)^20))</f>
        <v/>
      </c>
      <c r="AI98" s="7">
        <f>IF(A98="","",IF((A98+21)&gt;Model!$B$4,0,MAX(0,Model!$B$6-IF((A98+21)&gt;=Model!$B$11,Model!$B$20,0)-IF(21&lt;Model!$B$15,Model!$B$22,0))/(1-Model!$B$9)/(1+Model!$B$18)^21))</f>
        <v/>
      </c>
      <c r="AJ98" s="7">
        <f>IF(A98="","",IF((A98+22)&gt;Model!$B$4,0,MAX(0,Model!$B$6-IF((A98+22)&gt;=Model!$B$11,Model!$B$20,0)-IF(22&lt;Model!$B$15,Model!$B$22,0))/(1-Model!$B$9)/(1+Model!$B$18)^22))</f>
        <v/>
      </c>
      <c r="AK98" s="7">
        <f>IF(A98="","",IF((A98+23)&gt;Model!$B$4,0,MAX(0,Model!$B$6-IF((A98+23)&gt;=Model!$B$11,Model!$B$20,0)-IF(23&lt;Model!$B$15,Model!$B$22,0))/(1-Model!$B$9)/(1+Model!$B$18)^23))</f>
        <v/>
      </c>
      <c r="AL98" s="7">
        <f>IF(A98="","",IF((A98+24)&gt;Model!$B$4,0,MAX(0,Model!$B$6-IF((A98+24)&gt;=Model!$B$11,Model!$B$20,0)-IF(24&lt;Model!$B$15,Model!$B$22,0))/(1-Model!$B$9)/(1+Model!$B$18)^24))</f>
        <v/>
      </c>
      <c r="AM98" s="7">
        <f>IF(A98="","",IF((A98+25)&gt;Model!$B$4,0,MAX(0,Model!$B$6-IF((A98+25)&gt;=Model!$B$11,Model!$B$20,0)-IF(25&lt;Model!$B$15,Model!$B$22,0))/(1-Model!$B$9)/(1+Model!$B$18)^25))</f>
        <v/>
      </c>
      <c r="AN98" s="7">
        <f>IF(A98="","",IF((A98+26)&gt;Model!$B$4,0,MAX(0,Model!$B$6-IF((A98+26)&gt;=Model!$B$11,Model!$B$20,0)-IF(26&lt;Model!$B$15,Model!$B$22,0))/(1-Model!$B$9)/(1+Model!$B$18)^26))</f>
        <v/>
      </c>
      <c r="AO98" s="7">
        <f>IF(A98="","",IF((A98+27)&gt;Model!$B$4,0,MAX(0,Model!$B$6-IF((A98+27)&gt;=Model!$B$11,Model!$B$20,0)-IF(27&lt;Model!$B$15,Model!$B$22,0))/(1-Model!$B$9)/(1+Model!$B$18)^27))</f>
        <v/>
      </c>
      <c r="AP98" s="7">
        <f>IF(A98="","",IF((A98+28)&gt;Model!$B$4,0,MAX(0,Model!$B$6-IF((A98+28)&gt;=Model!$B$11,Model!$B$20,0)-IF(28&lt;Model!$B$15,Model!$B$22,0))/(1-Model!$B$9)/(1+Model!$B$18)^28))</f>
        <v/>
      </c>
      <c r="AQ98" s="7">
        <f>IF(A98="","",IF((A98+29)&gt;Model!$B$4,0,MAX(0,Model!$B$6-IF((A98+29)&gt;=Model!$B$11,Model!$B$20,0)-IF(29&lt;Model!$B$15,Model!$B$22,0))/(1-Model!$B$9)/(1+Model!$B$18)^29))</f>
        <v/>
      </c>
      <c r="AR98" s="7">
        <f>IF(A98="","",IF((A98+30)&gt;Model!$B$4,0,MAX(0,Model!$B$6-IF((A98+30)&gt;=Model!$B$11,Model!$B$20,0)-IF(30&lt;Model!$B$15,Model!$B$22,0))/(1-Model!$B$9)/(1+Model!$B$18)^30))</f>
        <v/>
      </c>
      <c r="AS98" s="7">
        <f>IF(A98="","",IF((A98+31)&gt;Model!$B$4,0,MAX(0,Model!$B$6-IF((A98+31)&gt;=Model!$B$11,Model!$B$20,0)-IF(31&lt;Model!$B$15,Model!$B$22,0))/(1-Model!$B$9)/(1+Model!$B$18)^31))</f>
        <v/>
      </c>
      <c r="AT98" s="7">
        <f>IF(A98="","",IF((A98+32)&gt;Model!$B$4,0,MAX(0,Model!$B$6-IF((A98+32)&gt;=Model!$B$11,Model!$B$20,0)-IF(32&lt;Model!$B$15,Model!$B$22,0))/(1-Model!$B$9)/(1+Model!$B$18)^32))</f>
        <v/>
      </c>
      <c r="AU98" s="7">
        <f>IF(A98="","",IF((A98+33)&gt;Model!$B$4,0,MAX(0,Model!$B$6-IF((A98+33)&gt;=Model!$B$11,Model!$B$20,0)-IF(33&lt;Model!$B$15,Model!$B$22,0))/(1-Model!$B$9)/(1+Model!$B$18)^33))</f>
        <v/>
      </c>
      <c r="AV98" s="7">
        <f>IF(A98="","",IF((A98+34)&gt;Model!$B$4,0,MAX(0,Model!$B$6-IF((A98+34)&gt;=Model!$B$11,Model!$B$20,0)-IF(34&lt;Model!$B$15,Model!$B$22,0))/(1-Model!$B$9)/(1+Model!$B$18)^34))</f>
        <v/>
      </c>
      <c r="AW98" s="7">
        <f>IF(A98="","",IF((A98+35)&gt;Model!$B$4,0,MAX(0,Model!$B$6-IF((A98+35)&gt;=Model!$B$11,Model!$B$20,0)-IF(35&lt;Model!$B$15,Model!$B$22,0))/(1-Model!$B$9)/(1+Model!$B$18)^35))</f>
        <v/>
      </c>
      <c r="AX98" s="7">
        <f>IF(A98="","",IF((A98+36)&gt;Model!$B$4,0,MAX(0,Model!$B$6-IF((A98+36)&gt;=Model!$B$11,Model!$B$20,0)-IF(36&lt;Model!$B$15,Model!$B$22,0))/(1-Model!$B$9)/(1+Model!$B$18)^36))</f>
        <v/>
      </c>
      <c r="AY98" s="7">
        <f>IF(A98="","",IF((A98+37)&gt;Model!$B$4,0,MAX(0,Model!$B$6-IF((A98+37)&gt;=Model!$B$11,Model!$B$20,0)-IF(37&lt;Model!$B$15,Model!$B$22,0))/(1-Model!$B$9)/(1+Model!$B$18)^37))</f>
        <v/>
      </c>
      <c r="AZ98" s="7">
        <f>IF(A98="","",IF((A98+38)&gt;Model!$B$4,0,MAX(0,Model!$B$6-IF((A98+38)&gt;=Model!$B$11,Model!$B$20,0)-IF(38&lt;Model!$B$15,Model!$B$22,0))/(1-Model!$B$9)/(1+Model!$B$18)^38))</f>
        <v/>
      </c>
      <c r="BA98" s="7">
        <f>IF(A98="","",IF((A98+39)&gt;Model!$B$4,0,MAX(0,Model!$B$6-IF((A98+39)&gt;=Model!$B$11,Model!$B$20,0)-IF(39&lt;Model!$B$15,Model!$B$22,0))/(1-Model!$B$9)/(1+Model!$B$18)^39))</f>
        <v/>
      </c>
      <c r="BB98" s="7">
        <f>IF(A98="","",IF((A98+40)&gt;Model!$B$4,0,MAX(0,Model!$B$6-IF((A98+40)&gt;=Model!$B$11,Model!$B$20,0)-IF(40&lt;Model!$B$15,Model!$B$22,0))/(1-Model!$B$9)/(1+Model!$B$18)^40))</f>
        <v/>
      </c>
      <c r="BC98" s="7">
        <f>IF(A98="","",IF((A98+41)&gt;Model!$B$4,0,MAX(0,Model!$B$6-IF((A98+41)&gt;=Model!$B$11,Model!$B$20,0)-IF(41&lt;Model!$B$15,Model!$B$22,0))/(1-Model!$B$9)/(1+Model!$B$18)^41))</f>
        <v/>
      </c>
      <c r="BD98" s="7">
        <f>IF(A98="","",IF((A98+42)&gt;Model!$B$4,0,MAX(0,Model!$B$6-IF((A98+42)&gt;=Model!$B$11,Model!$B$20,0)-IF(42&lt;Model!$B$15,Model!$B$22,0))/(1-Model!$B$9)/(1+Model!$B$18)^42))</f>
        <v/>
      </c>
      <c r="BE98" s="7">
        <f>IF(A98="","",IF((A98+43)&gt;Model!$B$4,0,MAX(0,Model!$B$6-IF((A98+43)&gt;=Model!$B$11,Model!$B$20,0)-IF(43&lt;Model!$B$15,Model!$B$22,0))/(1-Model!$B$9)/(1+Model!$B$18)^43))</f>
        <v/>
      </c>
      <c r="BF98" s="7">
        <f>IF(A98="","",IF((A98+44)&gt;Model!$B$4,0,MAX(0,Model!$B$6-IF((A98+44)&gt;=Model!$B$11,Model!$B$20,0)-IF(44&lt;Model!$B$15,Model!$B$22,0))/(1-Model!$B$9)/(1+Model!$B$18)^44))</f>
        <v/>
      </c>
      <c r="BG98" s="7">
        <f>IF(A98="","",IF((A98+45)&gt;Model!$B$4,0,MAX(0,Model!$B$6-IF((A98+45)&gt;=Model!$B$11,Model!$B$20,0)-IF(45&lt;Model!$B$15,Model!$B$22,0))/(1-Model!$B$9)/(1+Model!$B$18)^45))</f>
        <v/>
      </c>
      <c r="BH98" s="7">
        <f>IF(A98="","",IF((A98+46)&gt;Model!$B$4,0,MAX(0,Model!$B$6-IF((A98+46)&gt;=Model!$B$11,Model!$B$20,0)-IF(46&lt;Model!$B$15,Model!$B$22,0))/(1-Model!$B$9)/(1+Model!$B$18)^46))</f>
        <v/>
      </c>
      <c r="BI98" s="7">
        <f>IF(A98="","",IF((A98+47)&gt;Model!$B$4,0,MAX(0,Model!$B$6-IF((A98+47)&gt;=Model!$B$11,Model!$B$20,0)-IF(47&lt;Model!$B$15,Model!$B$22,0))/(1-Model!$B$9)/(1+Model!$B$18)^47))</f>
        <v/>
      </c>
      <c r="BJ98" s="7">
        <f>IF(A98="","",IF((A98+48)&gt;Model!$B$4,0,MAX(0,Model!$B$6-IF((A98+48)&gt;=Model!$B$11,Model!$B$20,0)-IF(48&lt;Model!$B$15,Model!$B$22,0))/(1-Model!$B$9)/(1+Model!$B$18)^48))</f>
        <v/>
      </c>
      <c r="BK98" s="7">
        <f>IF(A98="","",IF((A98+49)&gt;Model!$B$4,0,MAX(0,Model!$B$6-IF((A98+49)&gt;=Model!$B$11,Model!$B$20,0)-IF(49&lt;Model!$B$15,Model!$B$22,0))/(1-Model!$B$9)/(1+Model!$B$18)^49))</f>
        <v/>
      </c>
      <c r="BL98" s="7">
        <f>IF(A98="","",IF((A98+50)&gt;Model!$B$4,0,MAX(0,Model!$B$6-IF((A98+50)&gt;=Model!$B$11,Model!$B$20,0)-IF(50&lt;Model!$B$15,Model!$B$22,0))/(1-Model!$B$9)/(1+Model!$B$18)^50))</f>
        <v/>
      </c>
      <c r="BM98" s="7">
        <f>IF(A98="","",IF((A98+51)&gt;Model!$B$4,0,MAX(0,Model!$B$6-IF((A98+51)&gt;=Model!$B$11,Model!$B$20,0)-IF(51&lt;Model!$B$15,Model!$B$22,0))/(1-Model!$B$9)/(1+Model!$B$18)^51))</f>
        <v/>
      </c>
      <c r="BN98" s="7">
        <f>IF(A98="","",IF((A98+52)&gt;Model!$B$4,0,MAX(0,Model!$B$6-IF((A98+52)&gt;=Model!$B$11,Model!$B$20,0)-IF(52&lt;Model!$B$15,Model!$B$22,0))/(1-Model!$B$9)/(1+Model!$B$18)^52))</f>
        <v/>
      </c>
      <c r="BO98" s="7">
        <f>IF(A98="","",IF((A98+53)&gt;Model!$B$4,0,MAX(0,Model!$B$6-IF((A98+53)&gt;=Model!$B$11,Model!$B$20,0)-IF(53&lt;Model!$B$15,Model!$B$22,0))/(1-Model!$B$9)/(1+Model!$B$18)^53))</f>
        <v/>
      </c>
      <c r="BP98" s="7">
        <f>IF(A98="","",IF((A98+54)&gt;Model!$B$4,0,MAX(0,Model!$B$6-IF((A98+54)&gt;=Model!$B$11,Model!$B$20,0)-IF(54&lt;Model!$B$15,Model!$B$22,0))/(1-Model!$B$9)/(1+Model!$B$18)^54))</f>
        <v/>
      </c>
      <c r="BQ98" s="7">
        <f>IF(A98="","",IF((A98+55)&gt;Model!$B$4,0,MAX(0,Model!$B$6-IF((A98+55)&gt;=Model!$B$11,Model!$B$20,0)-IF(55&lt;Model!$B$15,Model!$B$22,0))/(1-Model!$B$9)/(1+Model!$B$18)^55))</f>
        <v/>
      </c>
      <c r="BR98" s="7">
        <f>IF(A98="","",IF((A98+56)&gt;Model!$B$4,0,MAX(0,Model!$B$6-IF((A98+56)&gt;=Model!$B$11,Model!$B$20,0)-IF(56&lt;Model!$B$15,Model!$B$22,0))/(1-Model!$B$9)/(1+Model!$B$18)^56))</f>
        <v/>
      </c>
      <c r="BS98" s="7">
        <f>IF(A98="","",IF((A98+57)&gt;Model!$B$4,0,MAX(0,Model!$B$6-IF((A98+57)&gt;=Model!$B$11,Model!$B$20,0)-IF(57&lt;Model!$B$15,Model!$B$22,0))/(1-Model!$B$9)/(1+Model!$B$18)^57))</f>
        <v/>
      </c>
      <c r="BT98" s="7">
        <f>IF(A98="","",IF((A98+58)&gt;Model!$B$4,0,MAX(0,Model!$B$6-IF((A98+58)&gt;=Model!$B$11,Model!$B$20,0)-IF(58&lt;Model!$B$15,Model!$B$22,0))/(1-Model!$B$9)/(1+Model!$B$18)^58))</f>
        <v/>
      </c>
      <c r="BU98" s="7">
        <f>IF(A98="","",IF((A98+59)&gt;Model!$B$4,0,MAX(0,Model!$B$6-IF((A98+59)&gt;=Model!$B$11,Model!$B$20,0)-IF(59&lt;Model!$B$15,Model!$B$22,0))/(1-Model!$B$9)/(1+Model!$B$18)^59))</f>
        <v/>
      </c>
      <c r="BV98" s="7">
        <f>IF(A98="","",IF((A98+60)&gt;Model!$B$4,0,MAX(0,Model!$B$6-IF((A98+60)&gt;=Model!$B$11,Model!$B$20,0)-IF(60&lt;Model!$B$15,Model!$B$22,0))/(1-Model!$B$9)/(1+Model!$B$18)^60))</f>
        <v/>
      </c>
      <c r="BW98" s="7">
        <f>IF(A98="","",IF((A98+61)&gt;Model!$B$4,0,MAX(0,Model!$B$6-IF((A98+61)&gt;=Model!$B$11,Model!$B$20,0)-IF(61&lt;Model!$B$15,Model!$B$22,0))/(1-Model!$B$9)/(1+Model!$B$18)^61))</f>
        <v/>
      </c>
      <c r="BX98" s="7">
        <f>IF(A98="","",IF((A98+62)&gt;Model!$B$4,0,MAX(0,Model!$B$6-IF((A98+62)&gt;=Model!$B$11,Model!$B$20,0)-IF(62&lt;Model!$B$15,Model!$B$22,0))/(1-Model!$B$9)/(1+Model!$B$18)^62))</f>
        <v/>
      </c>
      <c r="BY98" s="7">
        <f>IF(A98="","",IF((A98+63)&gt;Model!$B$4,0,MAX(0,Model!$B$6-IF((A98+63)&gt;=Model!$B$11,Model!$B$20,0)-IF(63&lt;Model!$B$15,Model!$B$22,0))/(1-Model!$B$9)/(1+Model!$B$18)^63))</f>
        <v/>
      </c>
      <c r="BZ98" s="7">
        <f>IF(A98="","",IF((A98+64)&gt;Model!$B$4,0,MAX(0,Model!$B$6-IF((A98+64)&gt;=Model!$B$11,Model!$B$20,0)-IF(64&lt;Model!$B$15,Model!$B$22,0))/(1-Model!$B$9)/(1+Model!$B$18)^64))</f>
        <v/>
      </c>
      <c r="CA98" s="7">
        <f>IF(A98="","",IF((A98+65)&gt;Model!$B$4,0,MAX(0,Model!$B$6-IF((A98+65)&gt;=Model!$B$11,Model!$B$20,0)-IF(65&lt;Model!$B$15,Model!$B$22,0))/(1-Model!$B$9)/(1+Model!$B$18)^65))</f>
        <v/>
      </c>
      <c r="CB98" s="7">
        <f>IF(A98="","",IF((A98+66)&gt;Model!$B$4,0,MAX(0,Model!$B$6-IF((A98+66)&gt;=Model!$B$11,Model!$B$20,0)-IF(66&lt;Model!$B$15,Model!$B$22,0))/(1-Model!$B$9)/(1+Model!$B$18)^66))</f>
        <v/>
      </c>
      <c r="CC98" s="7">
        <f>IF(A98="","",IF((A98+67)&gt;Model!$B$4,0,MAX(0,Model!$B$6-IF((A98+67)&gt;=Model!$B$11,Model!$B$20,0)-IF(67&lt;Model!$B$15,Model!$B$22,0))/(1-Model!$B$9)/(1+Model!$B$18)^67))</f>
        <v/>
      </c>
      <c r="CD98" s="7">
        <f>IF(A98="","",IF((A98+68)&gt;Model!$B$4,0,MAX(0,Model!$B$6-IF((A98+68)&gt;=Model!$B$11,Model!$B$20,0)-IF(68&lt;Model!$B$15,Model!$B$22,0))/(1-Model!$B$9)/(1+Model!$B$18)^68))</f>
        <v/>
      </c>
      <c r="CE98" s="7">
        <f>IF(A98="","",IF((A98+69)&gt;Model!$B$4,0,MAX(0,Model!$B$6-IF((A98+69)&gt;=Model!$B$11,Model!$B$20,0)-IF(69&lt;Model!$B$15,Model!$B$22,0))/(1-Model!$B$9)/(1+Model!$B$18)^69))</f>
        <v/>
      </c>
      <c r="CF98" s="7">
        <f>IF(A98="","",IF((A98+70)&gt;Model!$B$4,0,MAX(0,Model!$B$6-IF((A98+70)&gt;=Model!$B$11,Model!$B$20,0)-IF(70&lt;Model!$B$15,Model!$B$22,0))/(1-Model!$B$9)/(1+Model!$B$18)^70))</f>
        <v/>
      </c>
      <c r="CG98" s="7">
        <f>IF(A98="","",IF((A98+71)&gt;Model!$B$4,0,MAX(0,Model!$B$6-IF((A98+71)&gt;=Model!$B$11,Model!$B$20,0)-IF(71&lt;Model!$B$15,Model!$B$22,0))/(1-Model!$B$9)/(1+Model!$B$18)^71))</f>
        <v/>
      </c>
      <c r="CH98" s="7">
        <f>IF(A98="","",IF((A98+72)&gt;Model!$B$4,0,MAX(0,Model!$B$6-IF((A98+72)&gt;=Model!$B$11,Model!$B$20,0)-IF(72&lt;Model!$B$15,Model!$B$22,0))/(1-Model!$B$9)/(1+Model!$B$18)^72))</f>
        <v/>
      </c>
      <c r="CI98" s="7">
        <f>IF(A98="","",IF((A98+73)&gt;Model!$B$4,0,MAX(0,Model!$B$6-IF((A98+73)&gt;=Model!$B$11,Model!$B$20,0)-IF(73&lt;Model!$B$15,Model!$B$22,0))/(1-Model!$B$9)/(1+Model!$B$18)^73))</f>
        <v/>
      </c>
      <c r="CJ98" s="7">
        <f>IF(A98="","",IF((A98+74)&gt;Model!$B$4,0,MAX(0,Model!$B$6-IF((A98+74)&gt;=Model!$B$11,Model!$B$20,0)-IF(74&lt;Model!$B$15,Model!$B$22,0))/(1-Model!$B$9)/(1+Model!$B$18)^74))</f>
        <v/>
      </c>
      <c r="CK98" s="7">
        <f>IF(A98="","",IF((A98+75)&gt;Model!$B$4,0,MAX(0,Model!$B$6-IF((A98+75)&gt;=Model!$B$11,Model!$B$20,0)-IF(75&lt;Model!$B$15,Model!$B$22,0))/(1-Model!$B$9)/(1+Model!$B$18)^75))</f>
        <v/>
      </c>
      <c r="CL98" s="7">
        <f>IF(A98="","",IF((A98+76)&gt;Model!$B$4,0,MAX(0,Model!$B$6-IF((A98+76)&gt;=Model!$B$11,Model!$B$20,0)-IF(76&lt;Model!$B$15,Model!$B$22,0))/(1-Model!$B$9)/(1+Model!$B$18)^76))</f>
        <v/>
      </c>
      <c r="CM98" s="7">
        <f>IF(A98="","",IF((A98+77)&gt;Model!$B$4,0,MAX(0,Model!$B$6-IF((A98+77)&gt;=Model!$B$11,Model!$B$20,0)-IF(77&lt;Model!$B$15,Model!$B$22,0))/(1-Model!$B$9)/(1+Model!$B$18)^77))</f>
        <v/>
      </c>
      <c r="CN98" s="7">
        <f>IF(A98="","",IF((A98+78)&gt;Model!$B$4,0,MAX(0,Model!$B$6-IF((A98+78)&gt;=Model!$B$11,Model!$B$20,0)-IF(78&lt;Model!$B$15,Model!$B$22,0))/(1-Model!$B$9)/(1+Model!$B$18)^78))</f>
        <v/>
      </c>
      <c r="CO98" s="7">
        <f>IF(A98="","",IF((A98+79)&gt;Model!$B$4,0,MAX(0,Model!$B$6-IF((A98+79)&gt;=Model!$B$11,Model!$B$20,0)-IF(79&lt;Model!$B$15,Model!$B$22,0))/(1-Model!$B$9)/(1+Model!$B$18)^79))</f>
        <v/>
      </c>
      <c r="CP98" s="7">
        <f>IF(A98="","",IF((A98+80)&gt;Model!$B$4,0,MAX(0,Model!$B$6-IF((A98+80)&gt;=Model!$B$11,Model!$B$20,0)-IF(80&lt;Model!$B$15,Model!$B$22,0))/(1-Model!$B$9)/(1+Model!$B$18)^80))</f>
        <v/>
      </c>
      <c r="CQ98" s="7">
        <f>IF(A98="","",IF((A98+81)&gt;Model!$B$4,0,MAX(0,Model!$B$6-IF((A98+81)&gt;=Model!$B$11,Model!$B$20,0)-IF(81&lt;Model!$B$15,Model!$B$22,0))/(1-Model!$B$9)/(1+Model!$B$18)^81))</f>
        <v/>
      </c>
      <c r="CR98" s="7">
        <f>IF(A98="","",IF((A98+82)&gt;Model!$B$4,0,MAX(0,Model!$B$6-IF((A98+82)&gt;=Model!$B$11,Model!$B$20,0)-IF(82&lt;Model!$B$15,Model!$B$22,0))/(1-Model!$B$9)/(1+Model!$B$18)^82))</f>
        <v/>
      </c>
      <c r="CS98" s="7">
        <f>IF(A98="","",IF((A98+83)&gt;Model!$B$4,0,MAX(0,Model!$B$6-IF((A98+83)&gt;=Model!$B$11,Model!$B$20,0)-IF(83&lt;Model!$B$15,Model!$B$22,0))/(1-Model!$B$9)/(1+Model!$B$18)^83))</f>
        <v/>
      </c>
      <c r="CT98" s="7">
        <f>IF(A98="","",IF((A98+84)&gt;Model!$B$4,0,MAX(0,Model!$B$6-IF((A98+84)&gt;=Model!$B$11,Model!$B$20,0)-IF(84&lt;Model!$B$15,Model!$B$22,0))/(1-Model!$B$9)/(1+Model!$B$18)^84))</f>
        <v/>
      </c>
      <c r="CU98" s="7">
        <f>IF(A98="","",IF((A98+85)&gt;Model!$B$4,0,MAX(0,Model!$B$6-IF((A98+85)&gt;=Model!$B$11,Model!$B$20,0)-IF(85&lt;Model!$B$15,Model!$B$22,0))/(1-Model!$B$9)/(1+Model!$B$18)^85))</f>
        <v/>
      </c>
      <c r="CV98" s="7">
        <f>IF(A98="","",IF((A98+86)&gt;Model!$B$4,0,MAX(0,Model!$B$6-IF((A98+86)&gt;=Model!$B$11,Model!$B$20,0)-IF(86&lt;Model!$B$15,Model!$B$22,0))/(1-Model!$B$9)/(1+Model!$B$18)^86))</f>
        <v/>
      </c>
      <c r="CW98" s="7">
        <f>IF(A98="","",IF((A98+87)&gt;Model!$B$4,0,MAX(0,Model!$B$6-IF((A98+87)&gt;=Model!$B$11,Model!$B$20,0)-IF(87&lt;Model!$B$15,Model!$B$22,0))/(1-Model!$B$9)/(1+Model!$B$18)^87))</f>
        <v/>
      </c>
      <c r="CX98" s="7">
        <f>IF(A98="","",IF((A98+88)&gt;Model!$B$4,0,MAX(0,Model!$B$6-IF((A98+88)&gt;=Model!$B$11,Model!$B$20,0)-IF(88&lt;Model!$B$15,Model!$B$22,0))/(1-Model!$B$9)/(1+Model!$B$18)^88))</f>
        <v/>
      </c>
      <c r="CY98" s="7">
        <f>IF(A98="","",IF((A98+89)&gt;Model!$B$4,0,MAX(0,Model!$B$6-IF((A98+89)&gt;=Model!$B$11,Model!$B$20,0)-IF(89&lt;Model!$B$15,Model!$B$22,0))/(1-Model!$B$9)/(1+Model!$B$18)^89))</f>
        <v/>
      </c>
      <c r="CZ98" s="7">
        <f>IF(A98="","",IF((A98+90)&gt;Model!$B$4,0,MAX(0,Model!$B$6-IF((A98+90)&gt;=Model!$B$11,Model!$B$20,0)-IF(90&lt;Model!$B$15,Model!$B$22,0))/(1-Model!$B$9)/(1+Model!$B$18)^90))</f>
        <v/>
      </c>
      <c r="DA98" s="7">
        <f>IF(A98="","",IF((A98+91)&gt;Model!$B$4,0,MAX(0,Model!$B$6-IF((A98+91)&gt;=Model!$B$11,Model!$B$20,0)-IF(91&lt;Model!$B$15,Model!$B$22,0))/(1-Model!$B$9)/(1+Model!$B$18)^91))</f>
        <v/>
      </c>
      <c r="DB98" s="7">
        <f>IF(A98="","",IF((A98+92)&gt;Model!$B$4,0,MAX(0,Model!$B$6-IF((A98+92)&gt;=Model!$B$11,Model!$B$20,0)-IF(92&lt;Model!$B$15,Model!$B$22,0))/(1-Model!$B$9)/(1+Model!$B$18)^92))</f>
        <v/>
      </c>
      <c r="DC98" s="7">
        <f>IF(A98="","",IF((A98+93)&gt;Model!$B$4,0,MAX(0,Model!$B$6-IF((A98+93)&gt;=Model!$B$11,Model!$B$20,0)-IF(93&lt;Model!$B$15,Model!$B$22,0))/(1-Model!$B$9)/(1+Model!$B$18)^93))</f>
        <v/>
      </c>
      <c r="DD98" s="7">
        <f>IF(A98="","",IF((A98+94)&gt;Model!$B$4,0,MAX(0,Model!$B$6-IF((A98+94)&gt;=Model!$B$11,Model!$B$20,0)-IF(94&lt;Model!$B$15,Model!$B$22,0))/(1-Model!$B$9)/(1+Model!$B$18)^94))</f>
        <v/>
      </c>
      <c r="DE98" s="7">
        <f>IF(A98="","",IF((A98+95)&gt;Model!$B$4,0,MAX(0,Model!$B$6-IF((A98+95)&gt;=Model!$B$11,Model!$B$20,0)-IF(95&lt;Model!$B$15,Model!$B$22,0))/(1-Model!$B$9)/(1+Model!$B$18)^95))</f>
        <v/>
      </c>
      <c r="DF98" s="7">
        <f>IF(A98="","",IF((A98+96)&gt;Model!$B$4,0,MAX(0,Model!$B$6-IF((A98+96)&gt;=Model!$B$11,Model!$B$20,0)-IF(96&lt;Model!$B$15,Model!$B$22,0))/(1-Model!$B$9)/(1+Model!$B$18)^96))</f>
        <v/>
      </c>
      <c r="DG98" s="7">
        <f>IF(A98="","",IF((A98+97)&gt;Model!$B$4,0,MAX(0,Model!$B$6-IF((A98+97)&gt;=Model!$B$11,Model!$B$20,0)-IF(97&lt;Model!$B$15,Model!$B$22,0))/(1-Model!$B$9)/(1+Model!$B$18)^97))</f>
        <v/>
      </c>
      <c r="DH98" s="7">
        <f>IF(A98="","",IF((A98+98)&gt;Model!$B$4,0,MAX(0,Model!$B$6-IF((A98+98)&gt;=Model!$B$11,Model!$B$20,0)-IF(98&lt;Model!$B$15,Model!$B$22,0))/(1-Model!$B$9)/(1+Model!$B$18)^98))</f>
        <v/>
      </c>
      <c r="DI98" s="7">
        <f>IF(A98="","",IF((A98+99)&gt;Model!$B$4,0,MAX(0,Model!$B$6-IF((A98+99)&gt;=Model!$B$11,Model!$B$20,0)-IF(99&lt;Model!$B$15,Model!$B$22,0))/(1-Model!$B$9)/(1+Model!$B$18)^99))</f>
        <v/>
      </c>
      <c r="DJ98" s="7">
        <f>IF(A98="","",IF((A98+100)&gt;Model!$B$4,0,MAX(0,Model!$B$6-IF((A98+100)&gt;=Model!$B$11,Model!$B$20,0)-IF(100&lt;Model!$B$15,Model!$B$22,0))/(1-Model!$B$9)/(1+Model!$B$18)^100))</f>
        <v/>
      </c>
      <c r="DK98" s="7">
        <f>IF(A98="","",IF((A98+101)&gt;Model!$B$4,0,MAX(0,Model!$B$6-IF((A98+101)&gt;=Model!$B$11,Model!$B$20,0)-IF(101&lt;Model!$B$15,Model!$B$22,0))/(1-Model!$B$9)/(1+Model!$B$18)^101))</f>
        <v/>
      </c>
      <c r="DL98" s="7">
        <f>IF(A98="","",IF((A98+102)&gt;Model!$B$4,0,MAX(0,Model!$B$6-IF((A98+102)&gt;=Model!$B$11,Model!$B$20,0)-IF(102&lt;Model!$B$15,Model!$B$22,0))/(1-Model!$B$9)/(1+Model!$B$18)^102))</f>
        <v/>
      </c>
      <c r="DM98" s="7">
        <f>IF(A98="","",IF((A98+103)&gt;Model!$B$4,0,MAX(0,Model!$B$6-IF((A98+103)&gt;=Model!$B$11,Model!$B$20,0)-IF(103&lt;Model!$B$15,Model!$B$22,0))/(1-Model!$B$9)/(1+Model!$B$18)^103))</f>
        <v/>
      </c>
      <c r="DN98" s="7">
        <f>IF(A98="","",IF((A98+104)&gt;Model!$B$4,0,MAX(0,Model!$B$6-IF((A98+104)&gt;=Model!$B$11,Model!$B$20,0)-IF(104&lt;Model!$B$15,Model!$B$22,0))/(1-Model!$B$9)/(1+Model!$B$18)^104))</f>
        <v/>
      </c>
      <c r="DO98" s="7">
        <f>IF(A98="","",IF((A98+105)&gt;Model!$B$4,0,MAX(0,Model!$B$6-IF((A98+105)&gt;=Model!$B$11,Model!$B$20,0)-IF(105&lt;Model!$B$15,Model!$B$22,0))/(1-Model!$B$9)/(1+Model!$B$18)^105))</f>
        <v/>
      </c>
      <c r="DP98" s="7">
        <f>IF(A98="","",IF((A98+106)&gt;Model!$B$4,0,MAX(0,Model!$B$6-IF((A98+106)&gt;=Model!$B$11,Model!$B$20,0)-IF(106&lt;Model!$B$15,Model!$B$22,0))/(1-Model!$B$9)/(1+Model!$B$18)^106))</f>
        <v/>
      </c>
      <c r="DQ98" s="7">
        <f>IF(A98="","",IF((A98+107)&gt;Model!$B$4,0,MAX(0,Model!$B$6-IF((A98+107)&gt;=Model!$B$11,Model!$B$20,0)-IF(107&lt;Model!$B$15,Model!$B$22,0))/(1-Model!$B$9)/(1+Model!$B$18)^107))</f>
        <v/>
      </c>
      <c r="DR98" s="7">
        <f>IF(A98="","",IF((A98+108)&gt;Model!$B$4,0,MAX(0,Model!$B$6-IF((A98+108)&gt;=Model!$B$11,Model!$B$20,0)-IF(108&lt;Model!$B$15,Model!$B$22,0))/(1-Model!$B$9)/(1+Model!$B$18)^108))</f>
        <v/>
      </c>
      <c r="DS98" s="7">
        <f>IF(A98="","",IF((A98+109)&gt;Model!$B$4,0,MAX(0,Model!$B$6-IF((A98+109)&gt;=Model!$B$11,Model!$B$20,0)-IF(109&lt;Model!$B$15,Model!$B$22,0))/(1-Model!$B$9)/(1+Model!$B$18)^109))</f>
        <v/>
      </c>
      <c r="DT98" s="7">
        <f>IF(A98="","",IF((A98+110)&gt;Model!$B$4,0,MAX(0,Model!$B$6-IF((A98+110)&gt;=Model!$B$11,Model!$B$20,0)-IF(110&lt;Model!$B$15,Model!$B$22,0))/(1-Model!$B$9)/(1+Model!$B$18)^110))</f>
        <v/>
      </c>
      <c r="DU98" s="7">
        <f>IF(A98="","",IF((A98+111)&gt;Model!$B$4,0,MAX(0,Model!$B$6-IF((A98+111)&gt;=Model!$B$11,Model!$B$20,0)-IF(111&lt;Model!$B$15,Model!$B$22,0))/(1-Model!$B$9)/(1+Model!$B$18)^111))</f>
        <v/>
      </c>
      <c r="DV98" s="7">
        <f>IF(A98="","",IF((A98+112)&gt;Model!$B$4,0,MAX(0,Model!$B$6-IF((A98+112)&gt;=Model!$B$11,Model!$B$20,0)-IF(112&lt;Model!$B$15,Model!$B$22,0))/(1-Model!$B$9)/(1+Model!$B$18)^112))</f>
        <v/>
      </c>
      <c r="DW98" s="7">
        <f>IF(A98="","",IF((A98+113)&gt;Model!$B$4,0,MAX(0,Model!$B$6-IF((A98+113)&gt;=Model!$B$11,Model!$B$20,0)-IF(113&lt;Model!$B$15,Model!$B$22,0))/(1-Model!$B$9)/(1+Model!$B$18)^113))</f>
        <v/>
      </c>
      <c r="DX98" s="7">
        <f>IF(A98="","",IF((A98+114)&gt;Model!$B$4,0,MAX(0,Model!$B$6-IF((A98+114)&gt;=Model!$B$11,Model!$B$20,0)-IF(114&lt;Model!$B$15,Model!$B$22,0))/(1-Model!$B$9)/(1+Model!$B$18)^114))</f>
        <v/>
      </c>
      <c r="DY98" s="7">
        <f>IF(A98="","",IF((A98+115)&gt;Model!$B$4,0,MAX(0,Model!$B$6-IF((A98+115)&gt;=Model!$B$11,Model!$B$20,0)-IF(115&lt;Model!$B$15,Model!$B$22,0))/(1-Model!$B$9)/(1+Model!$B$18)^115))</f>
        <v/>
      </c>
      <c r="DZ98" s="7">
        <f>IF(A98="","",IF((A98+116)&gt;Model!$B$4,0,MAX(0,Model!$B$6-IF((A98+116)&gt;=Model!$B$11,Model!$B$20,0)-IF(116&lt;Model!$B$15,Model!$B$22,0))/(1-Model!$B$9)/(1+Model!$B$18)^116))</f>
        <v/>
      </c>
      <c r="EA98" s="7">
        <f>IF(A98="","",IF((A98+117)&gt;Model!$B$4,0,MAX(0,Model!$B$6-IF((A98+117)&gt;=Model!$B$11,Model!$B$20,0)-IF(117&lt;Model!$B$15,Model!$B$22,0))/(1-Model!$B$9)/(1+Model!$B$18)^117))</f>
        <v/>
      </c>
      <c r="EB98" s="7">
        <f>IF(A98="","",IF((A98+118)&gt;Model!$B$4,0,MAX(0,Model!$B$6-IF((A98+118)&gt;=Model!$B$11,Model!$B$20,0)-IF(118&lt;Model!$B$15,Model!$B$22,0))/(1-Model!$B$9)/(1+Model!$B$18)^118))</f>
        <v/>
      </c>
      <c r="EC98" s="7">
        <f>IF(A98="","",IF((A98+119)&gt;Model!$B$4,0,MAX(0,Model!$B$6-IF((A98+119)&gt;=Model!$B$11,Model!$B$20,0)-IF(119&lt;Model!$B$15,Model!$B$22,0))/(1-Model!$B$9)/(1+Model!$B$18)^119))</f>
        <v/>
      </c>
      <c r="ED98" s="7">
        <f>IF(A98="","",IF((A98+120)&gt;Model!$B$4,0,MAX(0,Model!$B$6-IF((A98+120)&gt;=Model!$B$11,Model!$B$20,0)-IF(120&lt;Model!$B$15,Model!$B$22,0))/(1-Model!$B$9)/(1+Model!$B$18)^120))</f>
        <v/>
      </c>
    </row>
    <row r="99">
      <c r="A99">
        <f>IF(Model!$B$10+ROW()-2&lt;=Model!$B$4,Model!$B$10+ROW()-2,"")</f>
        <v/>
      </c>
      <c r="B99">
        <f>IF(A99="","",A99-Model!$B$10)</f>
        <v/>
      </c>
      <c r="C99" s="7">
        <f>IF(A99="","",Model!$B$5*(1+Model!$B$18)^B99)</f>
        <v/>
      </c>
      <c r="D99" s="7">
        <f>IF(A99="","",SUM(N99:ED99))</f>
        <v/>
      </c>
      <c r="E99" s="7">
        <f>IF(A99="","",IF(A99&gt;=Model!$B$11,Model!$B$20,0))</f>
        <v/>
      </c>
      <c r="F99" s="7">
        <f>IF(A99="","",IF(Model!$B$15&gt;0,Model!$B$22,0))</f>
        <v/>
      </c>
      <c r="G99" s="7">
        <f>IF(A99="","",E99+F99)</f>
        <v/>
      </c>
      <c r="H99" s="7">
        <f>IF(A99="","",MAX(0,Model!$B$6-G99))</f>
        <v/>
      </c>
      <c r="I99" s="7">
        <f>IF(A99="","",H99/(1-Model!$B$9))</f>
        <v/>
      </c>
      <c r="J99" s="7">
        <f>IF(A99="","",C99-D99)</f>
        <v/>
      </c>
      <c r="K99">
        <f>IF(A99="","",C99&gt;=D99)</f>
        <v/>
      </c>
      <c r="L99" s="7">
        <f>IF(A99="","",IF(A99&gt;=Model!$B$11,Model!$B$19*(1+Model!$B$13)^B99,0))</f>
        <v/>
      </c>
      <c r="M99" s="7">
        <f>IF(A99="","",IF(Model!$B$15&gt;0,Model!$B$21*(1+Model!$B$13)^B99,0))</f>
        <v/>
      </c>
      <c r="N99" s="7">
        <f>IF(A99="","",IF((A99+0)&gt;Model!$B$4,0,MAX(0,Model!$B$6-IF((A99+0)&gt;=Model!$B$11,Model!$B$20,0)-IF(0&lt;Model!$B$15,Model!$B$22,0))/(1-Model!$B$9)/(1+Model!$B$18)^0))</f>
        <v/>
      </c>
      <c r="O99" s="7">
        <f>IF(A99="","",IF((A99+1)&gt;Model!$B$4,0,MAX(0,Model!$B$6-IF((A99+1)&gt;=Model!$B$11,Model!$B$20,0)-IF(1&lt;Model!$B$15,Model!$B$22,0))/(1-Model!$B$9)/(1+Model!$B$18)^1))</f>
        <v/>
      </c>
      <c r="P99" s="7">
        <f>IF(A99="","",IF((A99+2)&gt;Model!$B$4,0,MAX(0,Model!$B$6-IF((A99+2)&gt;=Model!$B$11,Model!$B$20,0)-IF(2&lt;Model!$B$15,Model!$B$22,0))/(1-Model!$B$9)/(1+Model!$B$18)^2))</f>
        <v/>
      </c>
      <c r="Q99" s="7">
        <f>IF(A99="","",IF((A99+3)&gt;Model!$B$4,0,MAX(0,Model!$B$6-IF((A99+3)&gt;=Model!$B$11,Model!$B$20,0)-IF(3&lt;Model!$B$15,Model!$B$22,0))/(1-Model!$B$9)/(1+Model!$B$18)^3))</f>
        <v/>
      </c>
      <c r="R99" s="7">
        <f>IF(A99="","",IF((A99+4)&gt;Model!$B$4,0,MAX(0,Model!$B$6-IF((A99+4)&gt;=Model!$B$11,Model!$B$20,0)-IF(4&lt;Model!$B$15,Model!$B$22,0))/(1-Model!$B$9)/(1+Model!$B$18)^4))</f>
        <v/>
      </c>
      <c r="S99" s="7">
        <f>IF(A99="","",IF((A99+5)&gt;Model!$B$4,0,MAX(0,Model!$B$6-IF((A99+5)&gt;=Model!$B$11,Model!$B$20,0)-IF(5&lt;Model!$B$15,Model!$B$22,0))/(1-Model!$B$9)/(1+Model!$B$18)^5))</f>
        <v/>
      </c>
      <c r="T99" s="7">
        <f>IF(A99="","",IF((A99+6)&gt;Model!$B$4,0,MAX(0,Model!$B$6-IF((A99+6)&gt;=Model!$B$11,Model!$B$20,0)-IF(6&lt;Model!$B$15,Model!$B$22,0))/(1-Model!$B$9)/(1+Model!$B$18)^6))</f>
        <v/>
      </c>
      <c r="U99" s="7">
        <f>IF(A99="","",IF((A99+7)&gt;Model!$B$4,0,MAX(0,Model!$B$6-IF((A99+7)&gt;=Model!$B$11,Model!$B$20,0)-IF(7&lt;Model!$B$15,Model!$B$22,0))/(1-Model!$B$9)/(1+Model!$B$18)^7))</f>
        <v/>
      </c>
      <c r="V99" s="7">
        <f>IF(A99="","",IF((A99+8)&gt;Model!$B$4,0,MAX(0,Model!$B$6-IF((A99+8)&gt;=Model!$B$11,Model!$B$20,0)-IF(8&lt;Model!$B$15,Model!$B$22,0))/(1-Model!$B$9)/(1+Model!$B$18)^8))</f>
        <v/>
      </c>
      <c r="W99" s="7">
        <f>IF(A99="","",IF((A99+9)&gt;Model!$B$4,0,MAX(0,Model!$B$6-IF((A99+9)&gt;=Model!$B$11,Model!$B$20,0)-IF(9&lt;Model!$B$15,Model!$B$22,0))/(1-Model!$B$9)/(1+Model!$B$18)^9))</f>
        <v/>
      </c>
      <c r="X99" s="7">
        <f>IF(A99="","",IF((A99+10)&gt;Model!$B$4,0,MAX(0,Model!$B$6-IF((A99+10)&gt;=Model!$B$11,Model!$B$20,0)-IF(10&lt;Model!$B$15,Model!$B$22,0))/(1-Model!$B$9)/(1+Model!$B$18)^10))</f>
        <v/>
      </c>
      <c r="Y99" s="7">
        <f>IF(A99="","",IF((A99+11)&gt;Model!$B$4,0,MAX(0,Model!$B$6-IF((A99+11)&gt;=Model!$B$11,Model!$B$20,0)-IF(11&lt;Model!$B$15,Model!$B$22,0))/(1-Model!$B$9)/(1+Model!$B$18)^11))</f>
        <v/>
      </c>
      <c r="Z99" s="7">
        <f>IF(A99="","",IF((A99+12)&gt;Model!$B$4,0,MAX(0,Model!$B$6-IF((A99+12)&gt;=Model!$B$11,Model!$B$20,0)-IF(12&lt;Model!$B$15,Model!$B$22,0))/(1-Model!$B$9)/(1+Model!$B$18)^12))</f>
        <v/>
      </c>
      <c r="AA99" s="7">
        <f>IF(A99="","",IF((A99+13)&gt;Model!$B$4,0,MAX(0,Model!$B$6-IF((A99+13)&gt;=Model!$B$11,Model!$B$20,0)-IF(13&lt;Model!$B$15,Model!$B$22,0))/(1-Model!$B$9)/(1+Model!$B$18)^13))</f>
        <v/>
      </c>
      <c r="AB99" s="7">
        <f>IF(A99="","",IF((A99+14)&gt;Model!$B$4,0,MAX(0,Model!$B$6-IF((A99+14)&gt;=Model!$B$11,Model!$B$20,0)-IF(14&lt;Model!$B$15,Model!$B$22,0))/(1-Model!$B$9)/(1+Model!$B$18)^14))</f>
        <v/>
      </c>
      <c r="AC99" s="7">
        <f>IF(A99="","",IF((A99+15)&gt;Model!$B$4,0,MAX(0,Model!$B$6-IF((A99+15)&gt;=Model!$B$11,Model!$B$20,0)-IF(15&lt;Model!$B$15,Model!$B$22,0))/(1-Model!$B$9)/(1+Model!$B$18)^15))</f>
        <v/>
      </c>
      <c r="AD99" s="7">
        <f>IF(A99="","",IF((A99+16)&gt;Model!$B$4,0,MAX(0,Model!$B$6-IF((A99+16)&gt;=Model!$B$11,Model!$B$20,0)-IF(16&lt;Model!$B$15,Model!$B$22,0))/(1-Model!$B$9)/(1+Model!$B$18)^16))</f>
        <v/>
      </c>
      <c r="AE99" s="7">
        <f>IF(A99="","",IF((A99+17)&gt;Model!$B$4,0,MAX(0,Model!$B$6-IF((A99+17)&gt;=Model!$B$11,Model!$B$20,0)-IF(17&lt;Model!$B$15,Model!$B$22,0))/(1-Model!$B$9)/(1+Model!$B$18)^17))</f>
        <v/>
      </c>
      <c r="AF99" s="7">
        <f>IF(A99="","",IF((A99+18)&gt;Model!$B$4,0,MAX(0,Model!$B$6-IF((A99+18)&gt;=Model!$B$11,Model!$B$20,0)-IF(18&lt;Model!$B$15,Model!$B$22,0))/(1-Model!$B$9)/(1+Model!$B$18)^18))</f>
        <v/>
      </c>
      <c r="AG99" s="7">
        <f>IF(A99="","",IF((A99+19)&gt;Model!$B$4,0,MAX(0,Model!$B$6-IF((A99+19)&gt;=Model!$B$11,Model!$B$20,0)-IF(19&lt;Model!$B$15,Model!$B$22,0))/(1-Model!$B$9)/(1+Model!$B$18)^19))</f>
        <v/>
      </c>
      <c r="AH99" s="7">
        <f>IF(A99="","",IF((A99+20)&gt;Model!$B$4,0,MAX(0,Model!$B$6-IF((A99+20)&gt;=Model!$B$11,Model!$B$20,0)-IF(20&lt;Model!$B$15,Model!$B$22,0))/(1-Model!$B$9)/(1+Model!$B$18)^20))</f>
        <v/>
      </c>
      <c r="AI99" s="7">
        <f>IF(A99="","",IF((A99+21)&gt;Model!$B$4,0,MAX(0,Model!$B$6-IF((A99+21)&gt;=Model!$B$11,Model!$B$20,0)-IF(21&lt;Model!$B$15,Model!$B$22,0))/(1-Model!$B$9)/(1+Model!$B$18)^21))</f>
        <v/>
      </c>
      <c r="AJ99" s="7">
        <f>IF(A99="","",IF((A99+22)&gt;Model!$B$4,0,MAX(0,Model!$B$6-IF((A99+22)&gt;=Model!$B$11,Model!$B$20,0)-IF(22&lt;Model!$B$15,Model!$B$22,0))/(1-Model!$B$9)/(1+Model!$B$18)^22))</f>
        <v/>
      </c>
      <c r="AK99" s="7">
        <f>IF(A99="","",IF((A99+23)&gt;Model!$B$4,0,MAX(0,Model!$B$6-IF((A99+23)&gt;=Model!$B$11,Model!$B$20,0)-IF(23&lt;Model!$B$15,Model!$B$22,0))/(1-Model!$B$9)/(1+Model!$B$18)^23))</f>
        <v/>
      </c>
      <c r="AL99" s="7">
        <f>IF(A99="","",IF((A99+24)&gt;Model!$B$4,0,MAX(0,Model!$B$6-IF((A99+24)&gt;=Model!$B$11,Model!$B$20,0)-IF(24&lt;Model!$B$15,Model!$B$22,0))/(1-Model!$B$9)/(1+Model!$B$18)^24))</f>
        <v/>
      </c>
      <c r="AM99" s="7">
        <f>IF(A99="","",IF((A99+25)&gt;Model!$B$4,0,MAX(0,Model!$B$6-IF((A99+25)&gt;=Model!$B$11,Model!$B$20,0)-IF(25&lt;Model!$B$15,Model!$B$22,0))/(1-Model!$B$9)/(1+Model!$B$18)^25))</f>
        <v/>
      </c>
      <c r="AN99" s="7">
        <f>IF(A99="","",IF((A99+26)&gt;Model!$B$4,0,MAX(0,Model!$B$6-IF((A99+26)&gt;=Model!$B$11,Model!$B$20,0)-IF(26&lt;Model!$B$15,Model!$B$22,0))/(1-Model!$B$9)/(1+Model!$B$18)^26))</f>
        <v/>
      </c>
      <c r="AO99" s="7">
        <f>IF(A99="","",IF((A99+27)&gt;Model!$B$4,0,MAX(0,Model!$B$6-IF((A99+27)&gt;=Model!$B$11,Model!$B$20,0)-IF(27&lt;Model!$B$15,Model!$B$22,0))/(1-Model!$B$9)/(1+Model!$B$18)^27))</f>
        <v/>
      </c>
      <c r="AP99" s="7">
        <f>IF(A99="","",IF((A99+28)&gt;Model!$B$4,0,MAX(0,Model!$B$6-IF((A99+28)&gt;=Model!$B$11,Model!$B$20,0)-IF(28&lt;Model!$B$15,Model!$B$22,0))/(1-Model!$B$9)/(1+Model!$B$18)^28))</f>
        <v/>
      </c>
      <c r="AQ99" s="7">
        <f>IF(A99="","",IF((A99+29)&gt;Model!$B$4,0,MAX(0,Model!$B$6-IF((A99+29)&gt;=Model!$B$11,Model!$B$20,0)-IF(29&lt;Model!$B$15,Model!$B$22,0))/(1-Model!$B$9)/(1+Model!$B$18)^29))</f>
        <v/>
      </c>
      <c r="AR99" s="7">
        <f>IF(A99="","",IF((A99+30)&gt;Model!$B$4,0,MAX(0,Model!$B$6-IF((A99+30)&gt;=Model!$B$11,Model!$B$20,0)-IF(30&lt;Model!$B$15,Model!$B$22,0))/(1-Model!$B$9)/(1+Model!$B$18)^30))</f>
        <v/>
      </c>
      <c r="AS99" s="7">
        <f>IF(A99="","",IF((A99+31)&gt;Model!$B$4,0,MAX(0,Model!$B$6-IF((A99+31)&gt;=Model!$B$11,Model!$B$20,0)-IF(31&lt;Model!$B$15,Model!$B$22,0))/(1-Model!$B$9)/(1+Model!$B$18)^31))</f>
        <v/>
      </c>
      <c r="AT99" s="7">
        <f>IF(A99="","",IF((A99+32)&gt;Model!$B$4,0,MAX(0,Model!$B$6-IF((A99+32)&gt;=Model!$B$11,Model!$B$20,0)-IF(32&lt;Model!$B$15,Model!$B$22,0))/(1-Model!$B$9)/(1+Model!$B$18)^32))</f>
        <v/>
      </c>
      <c r="AU99" s="7">
        <f>IF(A99="","",IF((A99+33)&gt;Model!$B$4,0,MAX(0,Model!$B$6-IF((A99+33)&gt;=Model!$B$11,Model!$B$20,0)-IF(33&lt;Model!$B$15,Model!$B$22,0))/(1-Model!$B$9)/(1+Model!$B$18)^33))</f>
        <v/>
      </c>
      <c r="AV99" s="7">
        <f>IF(A99="","",IF((A99+34)&gt;Model!$B$4,0,MAX(0,Model!$B$6-IF((A99+34)&gt;=Model!$B$11,Model!$B$20,0)-IF(34&lt;Model!$B$15,Model!$B$22,0))/(1-Model!$B$9)/(1+Model!$B$18)^34))</f>
        <v/>
      </c>
      <c r="AW99" s="7">
        <f>IF(A99="","",IF((A99+35)&gt;Model!$B$4,0,MAX(0,Model!$B$6-IF((A99+35)&gt;=Model!$B$11,Model!$B$20,0)-IF(35&lt;Model!$B$15,Model!$B$22,0))/(1-Model!$B$9)/(1+Model!$B$18)^35))</f>
        <v/>
      </c>
      <c r="AX99" s="7">
        <f>IF(A99="","",IF((A99+36)&gt;Model!$B$4,0,MAX(0,Model!$B$6-IF((A99+36)&gt;=Model!$B$11,Model!$B$20,0)-IF(36&lt;Model!$B$15,Model!$B$22,0))/(1-Model!$B$9)/(1+Model!$B$18)^36))</f>
        <v/>
      </c>
      <c r="AY99" s="7">
        <f>IF(A99="","",IF((A99+37)&gt;Model!$B$4,0,MAX(0,Model!$B$6-IF((A99+37)&gt;=Model!$B$11,Model!$B$20,0)-IF(37&lt;Model!$B$15,Model!$B$22,0))/(1-Model!$B$9)/(1+Model!$B$18)^37))</f>
        <v/>
      </c>
      <c r="AZ99" s="7">
        <f>IF(A99="","",IF((A99+38)&gt;Model!$B$4,0,MAX(0,Model!$B$6-IF((A99+38)&gt;=Model!$B$11,Model!$B$20,0)-IF(38&lt;Model!$B$15,Model!$B$22,0))/(1-Model!$B$9)/(1+Model!$B$18)^38))</f>
        <v/>
      </c>
      <c r="BA99" s="7">
        <f>IF(A99="","",IF((A99+39)&gt;Model!$B$4,0,MAX(0,Model!$B$6-IF((A99+39)&gt;=Model!$B$11,Model!$B$20,0)-IF(39&lt;Model!$B$15,Model!$B$22,0))/(1-Model!$B$9)/(1+Model!$B$18)^39))</f>
        <v/>
      </c>
      <c r="BB99" s="7">
        <f>IF(A99="","",IF((A99+40)&gt;Model!$B$4,0,MAX(0,Model!$B$6-IF((A99+40)&gt;=Model!$B$11,Model!$B$20,0)-IF(40&lt;Model!$B$15,Model!$B$22,0))/(1-Model!$B$9)/(1+Model!$B$18)^40))</f>
        <v/>
      </c>
      <c r="BC99" s="7">
        <f>IF(A99="","",IF((A99+41)&gt;Model!$B$4,0,MAX(0,Model!$B$6-IF((A99+41)&gt;=Model!$B$11,Model!$B$20,0)-IF(41&lt;Model!$B$15,Model!$B$22,0))/(1-Model!$B$9)/(1+Model!$B$18)^41))</f>
        <v/>
      </c>
      <c r="BD99" s="7">
        <f>IF(A99="","",IF((A99+42)&gt;Model!$B$4,0,MAX(0,Model!$B$6-IF((A99+42)&gt;=Model!$B$11,Model!$B$20,0)-IF(42&lt;Model!$B$15,Model!$B$22,0))/(1-Model!$B$9)/(1+Model!$B$18)^42))</f>
        <v/>
      </c>
      <c r="BE99" s="7">
        <f>IF(A99="","",IF((A99+43)&gt;Model!$B$4,0,MAX(0,Model!$B$6-IF((A99+43)&gt;=Model!$B$11,Model!$B$20,0)-IF(43&lt;Model!$B$15,Model!$B$22,0))/(1-Model!$B$9)/(1+Model!$B$18)^43))</f>
        <v/>
      </c>
      <c r="BF99" s="7">
        <f>IF(A99="","",IF((A99+44)&gt;Model!$B$4,0,MAX(0,Model!$B$6-IF((A99+44)&gt;=Model!$B$11,Model!$B$20,0)-IF(44&lt;Model!$B$15,Model!$B$22,0))/(1-Model!$B$9)/(1+Model!$B$18)^44))</f>
        <v/>
      </c>
      <c r="BG99" s="7">
        <f>IF(A99="","",IF((A99+45)&gt;Model!$B$4,0,MAX(0,Model!$B$6-IF((A99+45)&gt;=Model!$B$11,Model!$B$20,0)-IF(45&lt;Model!$B$15,Model!$B$22,0))/(1-Model!$B$9)/(1+Model!$B$18)^45))</f>
        <v/>
      </c>
      <c r="BH99" s="7">
        <f>IF(A99="","",IF((A99+46)&gt;Model!$B$4,0,MAX(0,Model!$B$6-IF((A99+46)&gt;=Model!$B$11,Model!$B$20,0)-IF(46&lt;Model!$B$15,Model!$B$22,0))/(1-Model!$B$9)/(1+Model!$B$18)^46))</f>
        <v/>
      </c>
      <c r="BI99" s="7">
        <f>IF(A99="","",IF((A99+47)&gt;Model!$B$4,0,MAX(0,Model!$B$6-IF((A99+47)&gt;=Model!$B$11,Model!$B$20,0)-IF(47&lt;Model!$B$15,Model!$B$22,0))/(1-Model!$B$9)/(1+Model!$B$18)^47))</f>
        <v/>
      </c>
      <c r="BJ99" s="7">
        <f>IF(A99="","",IF((A99+48)&gt;Model!$B$4,0,MAX(0,Model!$B$6-IF((A99+48)&gt;=Model!$B$11,Model!$B$20,0)-IF(48&lt;Model!$B$15,Model!$B$22,0))/(1-Model!$B$9)/(1+Model!$B$18)^48))</f>
        <v/>
      </c>
      <c r="BK99" s="7">
        <f>IF(A99="","",IF((A99+49)&gt;Model!$B$4,0,MAX(0,Model!$B$6-IF((A99+49)&gt;=Model!$B$11,Model!$B$20,0)-IF(49&lt;Model!$B$15,Model!$B$22,0))/(1-Model!$B$9)/(1+Model!$B$18)^49))</f>
        <v/>
      </c>
      <c r="BL99" s="7">
        <f>IF(A99="","",IF((A99+50)&gt;Model!$B$4,0,MAX(0,Model!$B$6-IF((A99+50)&gt;=Model!$B$11,Model!$B$20,0)-IF(50&lt;Model!$B$15,Model!$B$22,0))/(1-Model!$B$9)/(1+Model!$B$18)^50))</f>
        <v/>
      </c>
      <c r="BM99" s="7">
        <f>IF(A99="","",IF((A99+51)&gt;Model!$B$4,0,MAX(0,Model!$B$6-IF((A99+51)&gt;=Model!$B$11,Model!$B$20,0)-IF(51&lt;Model!$B$15,Model!$B$22,0))/(1-Model!$B$9)/(1+Model!$B$18)^51))</f>
        <v/>
      </c>
      <c r="BN99" s="7">
        <f>IF(A99="","",IF((A99+52)&gt;Model!$B$4,0,MAX(0,Model!$B$6-IF((A99+52)&gt;=Model!$B$11,Model!$B$20,0)-IF(52&lt;Model!$B$15,Model!$B$22,0))/(1-Model!$B$9)/(1+Model!$B$18)^52))</f>
        <v/>
      </c>
      <c r="BO99" s="7">
        <f>IF(A99="","",IF((A99+53)&gt;Model!$B$4,0,MAX(0,Model!$B$6-IF((A99+53)&gt;=Model!$B$11,Model!$B$20,0)-IF(53&lt;Model!$B$15,Model!$B$22,0))/(1-Model!$B$9)/(1+Model!$B$18)^53))</f>
        <v/>
      </c>
      <c r="BP99" s="7">
        <f>IF(A99="","",IF((A99+54)&gt;Model!$B$4,0,MAX(0,Model!$B$6-IF((A99+54)&gt;=Model!$B$11,Model!$B$20,0)-IF(54&lt;Model!$B$15,Model!$B$22,0))/(1-Model!$B$9)/(1+Model!$B$18)^54))</f>
        <v/>
      </c>
      <c r="BQ99" s="7">
        <f>IF(A99="","",IF((A99+55)&gt;Model!$B$4,0,MAX(0,Model!$B$6-IF((A99+55)&gt;=Model!$B$11,Model!$B$20,0)-IF(55&lt;Model!$B$15,Model!$B$22,0))/(1-Model!$B$9)/(1+Model!$B$18)^55))</f>
        <v/>
      </c>
      <c r="BR99" s="7">
        <f>IF(A99="","",IF((A99+56)&gt;Model!$B$4,0,MAX(0,Model!$B$6-IF((A99+56)&gt;=Model!$B$11,Model!$B$20,0)-IF(56&lt;Model!$B$15,Model!$B$22,0))/(1-Model!$B$9)/(1+Model!$B$18)^56))</f>
        <v/>
      </c>
      <c r="BS99" s="7">
        <f>IF(A99="","",IF((A99+57)&gt;Model!$B$4,0,MAX(0,Model!$B$6-IF((A99+57)&gt;=Model!$B$11,Model!$B$20,0)-IF(57&lt;Model!$B$15,Model!$B$22,0))/(1-Model!$B$9)/(1+Model!$B$18)^57))</f>
        <v/>
      </c>
      <c r="BT99" s="7">
        <f>IF(A99="","",IF((A99+58)&gt;Model!$B$4,0,MAX(0,Model!$B$6-IF((A99+58)&gt;=Model!$B$11,Model!$B$20,0)-IF(58&lt;Model!$B$15,Model!$B$22,0))/(1-Model!$B$9)/(1+Model!$B$18)^58))</f>
        <v/>
      </c>
      <c r="BU99" s="7">
        <f>IF(A99="","",IF((A99+59)&gt;Model!$B$4,0,MAX(0,Model!$B$6-IF((A99+59)&gt;=Model!$B$11,Model!$B$20,0)-IF(59&lt;Model!$B$15,Model!$B$22,0))/(1-Model!$B$9)/(1+Model!$B$18)^59))</f>
        <v/>
      </c>
      <c r="BV99" s="7">
        <f>IF(A99="","",IF((A99+60)&gt;Model!$B$4,0,MAX(0,Model!$B$6-IF((A99+60)&gt;=Model!$B$11,Model!$B$20,0)-IF(60&lt;Model!$B$15,Model!$B$22,0))/(1-Model!$B$9)/(1+Model!$B$18)^60))</f>
        <v/>
      </c>
      <c r="BW99" s="7">
        <f>IF(A99="","",IF((A99+61)&gt;Model!$B$4,0,MAX(0,Model!$B$6-IF((A99+61)&gt;=Model!$B$11,Model!$B$20,0)-IF(61&lt;Model!$B$15,Model!$B$22,0))/(1-Model!$B$9)/(1+Model!$B$18)^61))</f>
        <v/>
      </c>
      <c r="BX99" s="7">
        <f>IF(A99="","",IF((A99+62)&gt;Model!$B$4,0,MAX(0,Model!$B$6-IF((A99+62)&gt;=Model!$B$11,Model!$B$20,0)-IF(62&lt;Model!$B$15,Model!$B$22,0))/(1-Model!$B$9)/(1+Model!$B$18)^62))</f>
        <v/>
      </c>
      <c r="BY99" s="7">
        <f>IF(A99="","",IF((A99+63)&gt;Model!$B$4,0,MAX(0,Model!$B$6-IF((A99+63)&gt;=Model!$B$11,Model!$B$20,0)-IF(63&lt;Model!$B$15,Model!$B$22,0))/(1-Model!$B$9)/(1+Model!$B$18)^63))</f>
        <v/>
      </c>
      <c r="BZ99" s="7">
        <f>IF(A99="","",IF((A99+64)&gt;Model!$B$4,0,MAX(0,Model!$B$6-IF((A99+64)&gt;=Model!$B$11,Model!$B$20,0)-IF(64&lt;Model!$B$15,Model!$B$22,0))/(1-Model!$B$9)/(1+Model!$B$18)^64))</f>
        <v/>
      </c>
      <c r="CA99" s="7">
        <f>IF(A99="","",IF((A99+65)&gt;Model!$B$4,0,MAX(0,Model!$B$6-IF((A99+65)&gt;=Model!$B$11,Model!$B$20,0)-IF(65&lt;Model!$B$15,Model!$B$22,0))/(1-Model!$B$9)/(1+Model!$B$18)^65))</f>
        <v/>
      </c>
      <c r="CB99" s="7">
        <f>IF(A99="","",IF((A99+66)&gt;Model!$B$4,0,MAX(0,Model!$B$6-IF((A99+66)&gt;=Model!$B$11,Model!$B$20,0)-IF(66&lt;Model!$B$15,Model!$B$22,0))/(1-Model!$B$9)/(1+Model!$B$18)^66))</f>
        <v/>
      </c>
      <c r="CC99" s="7">
        <f>IF(A99="","",IF((A99+67)&gt;Model!$B$4,0,MAX(0,Model!$B$6-IF((A99+67)&gt;=Model!$B$11,Model!$B$20,0)-IF(67&lt;Model!$B$15,Model!$B$22,0))/(1-Model!$B$9)/(1+Model!$B$18)^67))</f>
        <v/>
      </c>
      <c r="CD99" s="7">
        <f>IF(A99="","",IF((A99+68)&gt;Model!$B$4,0,MAX(0,Model!$B$6-IF((A99+68)&gt;=Model!$B$11,Model!$B$20,0)-IF(68&lt;Model!$B$15,Model!$B$22,0))/(1-Model!$B$9)/(1+Model!$B$18)^68))</f>
        <v/>
      </c>
      <c r="CE99" s="7">
        <f>IF(A99="","",IF((A99+69)&gt;Model!$B$4,0,MAX(0,Model!$B$6-IF((A99+69)&gt;=Model!$B$11,Model!$B$20,0)-IF(69&lt;Model!$B$15,Model!$B$22,0))/(1-Model!$B$9)/(1+Model!$B$18)^69))</f>
        <v/>
      </c>
      <c r="CF99" s="7">
        <f>IF(A99="","",IF((A99+70)&gt;Model!$B$4,0,MAX(0,Model!$B$6-IF((A99+70)&gt;=Model!$B$11,Model!$B$20,0)-IF(70&lt;Model!$B$15,Model!$B$22,0))/(1-Model!$B$9)/(1+Model!$B$18)^70))</f>
        <v/>
      </c>
      <c r="CG99" s="7">
        <f>IF(A99="","",IF((A99+71)&gt;Model!$B$4,0,MAX(0,Model!$B$6-IF((A99+71)&gt;=Model!$B$11,Model!$B$20,0)-IF(71&lt;Model!$B$15,Model!$B$22,0))/(1-Model!$B$9)/(1+Model!$B$18)^71))</f>
        <v/>
      </c>
      <c r="CH99" s="7">
        <f>IF(A99="","",IF((A99+72)&gt;Model!$B$4,0,MAX(0,Model!$B$6-IF((A99+72)&gt;=Model!$B$11,Model!$B$20,0)-IF(72&lt;Model!$B$15,Model!$B$22,0))/(1-Model!$B$9)/(1+Model!$B$18)^72))</f>
        <v/>
      </c>
      <c r="CI99" s="7">
        <f>IF(A99="","",IF((A99+73)&gt;Model!$B$4,0,MAX(0,Model!$B$6-IF((A99+73)&gt;=Model!$B$11,Model!$B$20,0)-IF(73&lt;Model!$B$15,Model!$B$22,0))/(1-Model!$B$9)/(1+Model!$B$18)^73))</f>
        <v/>
      </c>
      <c r="CJ99" s="7">
        <f>IF(A99="","",IF((A99+74)&gt;Model!$B$4,0,MAX(0,Model!$B$6-IF((A99+74)&gt;=Model!$B$11,Model!$B$20,0)-IF(74&lt;Model!$B$15,Model!$B$22,0))/(1-Model!$B$9)/(1+Model!$B$18)^74))</f>
        <v/>
      </c>
      <c r="CK99" s="7">
        <f>IF(A99="","",IF((A99+75)&gt;Model!$B$4,0,MAX(0,Model!$B$6-IF((A99+75)&gt;=Model!$B$11,Model!$B$20,0)-IF(75&lt;Model!$B$15,Model!$B$22,0))/(1-Model!$B$9)/(1+Model!$B$18)^75))</f>
        <v/>
      </c>
      <c r="CL99" s="7">
        <f>IF(A99="","",IF((A99+76)&gt;Model!$B$4,0,MAX(0,Model!$B$6-IF((A99+76)&gt;=Model!$B$11,Model!$B$20,0)-IF(76&lt;Model!$B$15,Model!$B$22,0))/(1-Model!$B$9)/(1+Model!$B$18)^76))</f>
        <v/>
      </c>
      <c r="CM99" s="7">
        <f>IF(A99="","",IF((A99+77)&gt;Model!$B$4,0,MAX(0,Model!$B$6-IF((A99+77)&gt;=Model!$B$11,Model!$B$20,0)-IF(77&lt;Model!$B$15,Model!$B$22,0))/(1-Model!$B$9)/(1+Model!$B$18)^77))</f>
        <v/>
      </c>
      <c r="CN99" s="7">
        <f>IF(A99="","",IF((A99+78)&gt;Model!$B$4,0,MAX(0,Model!$B$6-IF((A99+78)&gt;=Model!$B$11,Model!$B$20,0)-IF(78&lt;Model!$B$15,Model!$B$22,0))/(1-Model!$B$9)/(1+Model!$B$18)^78))</f>
        <v/>
      </c>
      <c r="CO99" s="7">
        <f>IF(A99="","",IF((A99+79)&gt;Model!$B$4,0,MAX(0,Model!$B$6-IF((A99+79)&gt;=Model!$B$11,Model!$B$20,0)-IF(79&lt;Model!$B$15,Model!$B$22,0))/(1-Model!$B$9)/(1+Model!$B$18)^79))</f>
        <v/>
      </c>
      <c r="CP99" s="7">
        <f>IF(A99="","",IF((A99+80)&gt;Model!$B$4,0,MAX(0,Model!$B$6-IF((A99+80)&gt;=Model!$B$11,Model!$B$20,0)-IF(80&lt;Model!$B$15,Model!$B$22,0))/(1-Model!$B$9)/(1+Model!$B$18)^80))</f>
        <v/>
      </c>
      <c r="CQ99" s="7">
        <f>IF(A99="","",IF((A99+81)&gt;Model!$B$4,0,MAX(0,Model!$B$6-IF((A99+81)&gt;=Model!$B$11,Model!$B$20,0)-IF(81&lt;Model!$B$15,Model!$B$22,0))/(1-Model!$B$9)/(1+Model!$B$18)^81))</f>
        <v/>
      </c>
      <c r="CR99" s="7">
        <f>IF(A99="","",IF((A99+82)&gt;Model!$B$4,0,MAX(0,Model!$B$6-IF((A99+82)&gt;=Model!$B$11,Model!$B$20,0)-IF(82&lt;Model!$B$15,Model!$B$22,0))/(1-Model!$B$9)/(1+Model!$B$18)^82))</f>
        <v/>
      </c>
      <c r="CS99" s="7">
        <f>IF(A99="","",IF((A99+83)&gt;Model!$B$4,0,MAX(0,Model!$B$6-IF((A99+83)&gt;=Model!$B$11,Model!$B$20,0)-IF(83&lt;Model!$B$15,Model!$B$22,0))/(1-Model!$B$9)/(1+Model!$B$18)^83))</f>
        <v/>
      </c>
      <c r="CT99" s="7">
        <f>IF(A99="","",IF((A99+84)&gt;Model!$B$4,0,MAX(0,Model!$B$6-IF((A99+84)&gt;=Model!$B$11,Model!$B$20,0)-IF(84&lt;Model!$B$15,Model!$B$22,0))/(1-Model!$B$9)/(1+Model!$B$18)^84))</f>
        <v/>
      </c>
      <c r="CU99" s="7">
        <f>IF(A99="","",IF((A99+85)&gt;Model!$B$4,0,MAX(0,Model!$B$6-IF((A99+85)&gt;=Model!$B$11,Model!$B$20,0)-IF(85&lt;Model!$B$15,Model!$B$22,0))/(1-Model!$B$9)/(1+Model!$B$18)^85))</f>
        <v/>
      </c>
      <c r="CV99" s="7">
        <f>IF(A99="","",IF((A99+86)&gt;Model!$B$4,0,MAX(0,Model!$B$6-IF((A99+86)&gt;=Model!$B$11,Model!$B$20,0)-IF(86&lt;Model!$B$15,Model!$B$22,0))/(1-Model!$B$9)/(1+Model!$B$18)^86))</f>
        <v/>
      </c>
      <c r="CW99" s="7">
        <f>IF(A99="","",IF((A99+87)&gt;Model!$B$4,0,MAX(0,Model!$B$6-IF((A99+87)&gt;=Model!$B$11,Model!$B$20,0)-IF(87&lt;Model!$B$15,Model!$B$22,0))/(1-Model!$B$9)/(1+Model!$B$18)^87))</f>
        <v/>
      </c>
      <c r="CX99" s="7">
        <f>IF(A99="","",IF((A99+88)&gt;Model!$B$4,0,MAX(0,Model!$B$6-IF((A99+88)&gt;=Model!$B$11,Model!$B$20,0)-IF(88&lt;Model!$B$15,Model!$B$22,0))/(1-Model!$B$9)/(1+Model!$B$18)^88))</f>
        <v/>
      </c>
      <c r="CY99" s="7">
        <f>IF(A99="","",IF((A99+89)&gt;Model!$B$4,0,MAX(0,Model!$B$6-IF((A99+89)&gt;=Model!$B$11,Model!$B$20,0)-IF(89&lt;Model!$B$15,Model!$B$22,0))/(1-Model!$B$9)/(1+Model!$B$18)^89))</f>
        <v/>
      </c>
      <c r="CZ99" s="7">
        <f>IF(A99="","",IF((A99+90)&gt;Model!$B$4,0,MAX(0,Model!$B$6-IF((A99+90)&gt;=Model!$B$11,Model!$B$20,0)-IF(90&lt;Model!$B$15,Model!$B$22,0))/(1-Model!$B$9)/(1+Model!$B$18)^90))</f>
        <v/>
      </c>
      <c r="DA99" s="7">
        <f>IF(A99="","",IF((A99+91)&gt;Model!$B$4,0,MAX(0,Model!$B$6-IF((A99+91)&gt;=Model!$B$11,Model!$B$20,0)-IF(91&lt;Model!$B$15,Model!$B$22,0))/(1-Model!$B$9)/(1+Model!$B$18)^91))</f>
        <v/>
      </c>
      <c r="DB99" s="7">
        <f>IF(A99="","",IF((A99+92)&gt;Model!$B$4,0,MAX(0,Model!$B$6-IF((A99+92)&gt;=Model!$B$11,Model!$B$20,0)-IF(92&lt;Model!$B$15,Model!$B$22,0))/(1-Model!$B$9)/(1+Model!$B$18)^92))</f>
        <v/>
      </c>
      <c r="DC99" s="7">
        <f>IF(A99="","",IF((A99+93)&gt;Model!$B$4,0,MAX(0,Model!$B$6-IF((A99+93)&gt;=Model!$B$11,Model!$B$20,0)-IF(93&lt;Model!$B$15,Model!$B$22,0))/(1-Model!$B$9)/(1+Model!$B$18)^93))</f>
        <v/>
      </c>
      <c r="DD99" s="7">
        <f>IF(A99="","",IF((A99+94)&gt;Model!$B$4,0,MAX(0,Model!$B$6-IF((A99+94)&gt;=Model!$B$11,Model!$B$20,0)-IF(94&lt;Model!$B$15,Model!$B$22,0))/(1-Model!$B$9)/(1+Model!$B$18)^94))</f>
        <v/>
      </c>
      <c r="DE99" s="7">
        <f>IF(A99="","",IF((A99+95)&gt;Model!$B$4,0,MAX(0,Model!$B$6-IF((A99+95)&gt;=Model!$B$11,Model!$B$20,0)-IF(95&lt;Model!$B$15,Model!$B$22,0))/(1-Model!$B$9)/(1+Model!$B$18)^95))</f>
        <v/>
      </c>
      <c r="DF99" s="7">
        <f>IF(A99="","",IF((A99+96)&gt;Model!$B$4,0,MAX(0,Model!$B$6-IF((A99+96)&gt;=Model!$B$11,Model!$B$20,0)-IF(96&lt;Model!$B$15,Model!$B$22,0))/(1-Model!$B$9)/(1+Model!$B$18)^96))</f>
        <v/>
      </c>
      <c r="DG99" s="7">
        <f>IF(A99="","",IF((A99+97)&gt;Model!$B$4,0,MAX(0,Model!$B$6-IF((A99+97)&gt;=Model!$B$11,Model!$B$20,0)-IF(97&lt;Model!$B$15,Model!$B$22,0))/(1-Model!$B$9)/(1+Model!$B$18)^97))</f>
        <v/>
      </c>
      <c r="DH99" s="7">
        <f>IF(A99="","",IF((A99+98)&gt;Model!$B$4,0,MAX(0,Model!$B$6-IF((A99+98)&gt;=Model!$B$11,Model!$B$20,0)-IF(98&lt;Model!$B$15,Model!$B$22,0))/(1-Model!$B$9)/(1+Model!$B$18)^98))</f>
        <v/>
      </c>
      <c r="DI99" s="7">
        <f>IF(A99="","",IF((A99+99)&gt;Model!$B$4,0,MAX(0,Model!$B$6-IF((A99+99)&gt;=Model!$B$11,Model!$B$20,0)-IF(99&lt;Model!$B$15,Model!$B$22,0))/(1-Model!$B$9)/(1+Model!$B$18)^99))</f>
        <v/>
      </c>
      <c r="DJ99" s="7">
        <f>IF(A99="","",IF((A99+100)&gt;Model!$B$4,0,MAX(0,Model!$B$6-IF((A99+100)&gt;=Model!$B$11,Model!$B$20,0)-IF(100&lt;Model!$B$15,Model!$B$22,0))/(1-Model!$B$9)/(1+Model!$B$18)^100))</f>
        <v/>
      </c>
      <c r="DK99" s="7">
        <f>IF(A99="","",IF((A99+101)&gt;Model!$B$4,0,MAX(0,Model!$B$6-IF((A99+101)&gt;=Model!$B$11,Model!$B$20,0)-IF(101&lt;Model!$B$15,Model!$B$22,0))/(1-Model!$B$9)/(1+Model!$B$18)^101))</f>
        <v/>
      </c>
      <c r="DL99" s="7">
        <f>IF(A99="","",IF((A99+102)&gt;Model!$B$4,0,MAX(0,Model!$B$6-IF((A99+102)&gt;=Model!$B$11,Model!$B$20,0)-IF(102&lt;Model!$B$15,Model!$B$22,0))/(1-Model!$B$9)/(1+Model!$B$18)^102))</f>
        <v/>
      </c>
      <c r="DM99" s="7">
        <f>IF(A99="","",IF((A99+103)&gt;Model!$B$4,0,MAX(0,Model!$B$6-IF((A99+103)&gt;=Model!$B$11,Model!$B$20,0)-IF(103&lt;Model!$B$15,Model!$B$22,0))/(1-Model!$B$9)/(1+Model!$B$18)^103))</f>
        <v/>
      </c>
      <c r="DN99" s="7">
        <f>IF(A99="","",IF((A99+104)&gt;Model!$B$4,0,MAX(0,Model!$B$6-IF((A99+104)&gt;=Model!$B$11,Model!$B$20,0)-IF(104&lt;Model!$B$15,Model!$B$22,0))/(1-Model!$B$9)/(1+Model!$B$18)^104))</f>
        <v/>
      </c>
      <c r="DO99" s="7">
        <f>IF(A99="","",IF((A99+105)&gt;Model!$B$4,0,MAX(0,Model!$B$6-IF((A99+105)&gt;=Model!$B$11,Model!$B$20,0)-IF(105&lt;Model!$B$15,Model!$B$22,0))/(1-Model!$B$9)/(1+Model!$B$18)^105))</f>
        <v/>
      </c>
      <c r="DP99" s="7">
        <f>IF(A99="","",IF((A99+106)&gt;Model!$B$4,0,MAX(0,Model!$B$6-IF((A99+106)&gt;=Model!$B$11,Model!$B$20,0)-IF(106&lt;Model!$B$15,Model!$B$22,0))/(1-Model!$B$9)/(1+Model!$B$18)^106))</f>
        <v/>
      </c>
      <c r="DQ99" s="7">
        <f>IF(A99="","",IF((A99+107)&gt;Model!$B$4,0,MAX(0,Model!$B$6-IF((A99+107)&gt;=Model!$B$11,Model!$B$20,0)-IF(107&lt;Model!$B$15,Model!$B$22,0))/(1-Model!$B$9)/(1+Model!$B$18)^107))</f>
        <v/>
      </c>
      <c r="DR99" s="7">
        <f>IF(A99="","",IF((A99+108)&gt;Model!$B$4,0,MAX(0,Model!$B$6-IF((A99+108)&gt;=Model!$B$11,Model!$B$20,0)-IF(108&lt;Model!$B$15,Model!$B$22,0))/(1-Model!$B$9)/(1+Model!$B$18)^108))</f>
        <v/>
      </c>
      <c r="DS99" s="7">
        <f>IF(A99="","",IF((A99+109)&gt;Model!$B$4,0,MAX(0,Model!$B$6-IF((A99+109)&gt;=Model!$B$11,Model!$B$20,0)-IF(109&lt;Model!$B$15,Model!$B$22,0))/(1-Model!$B$9)/(1+Model!$B$18)^109))</f>
        <v/>
      </c>
      <c r="DT99" s="7">
        <f>IF(A99="","",IF((A99+110)&gt;Model!$B$4,0,MAX(0,Model!$B$6-IF((A99+110)&gt;=Model!$B$11,Model!$B$20,0)-IF(110&lt;Model!$B$15,Model!$B$22,0))/(1-Model!$B$9)/(1+Model!$B$18)^110))</f>
        <v/>
      </c>
      <c r="DU99" s="7">
        <f>IF(A99="","",IF((A99+111)&gt;Model!$B$4,0,MAX(0,Model!$B$6-IF((A99+111)&gt;=Model!$B$11,Model!$B$20,0)-IF(111&lt;Model!$B$15,Model!$B$22,0))/(1-Model!$B$9)/(1+Model!$B$18)^111))</f>
        <v/>
      </c>
      <c r="DV99" s="7">
        <f>IF(A99="","",IF((A99+112)&gt;Model!$B$4,0,MAX(0,Model!$B$6-IF((A99+112)&gt;=Model!$B$11,Model!$B$20,0)-IF(112&lt;Model!$B$15,Model!$B$22,0))/(1-Model!$B$9)/(1+Model!$B$18)^112))</f>
        <v/>
      </c>
      <c r="DW99" s="7">
        <f>IF(A99="","",IF((A99+113)&gt;Model!$B$4,0,MAX(0,Model!$B$6-IF((A99+113)&gt;=Model!$B$11,Model!$B$20,0)-IF(113&lt;Model!$B$15,Model!$B$22,0))/(1-Model!$B$9)/(1+Model!$B$18)^113))</f>
        <v/>
      </c>
      <c r="DX99" s="7">
        <f>IF(A99="","",IF((A99+114)&gt;Model!$B$4,0,MAX(0,Model!$B$6-IF((A99+114)&gt;=Model!$B$11,Model!$B$20,0)-IF(114&lt;Model!$B$15,Model!$B$22,0))/(1-Model!$B$9)/(1+Model!$B$18)^114))</f>
        <v/>
      </c>
      <c r="DY99" s="7">
        <f>IF(A99="","",IF((A99+115)&gt;Model!$B$4,0,MAX(0,Model!$B$6-IF((A99+115)&gt;=Model!$B$11,Model!$B$20,0)-IF(115&lt;Model!$B$15,Model!$B$22,0))/(1-Model!$B$9)/(1+Model!$B$18)^115))</f>
        <v/>
      </c>
      <c r="DZ99" s="7">
        <f>IF(A99="","",IF((A99+116)&gt;Model!$B$4,0,MAX(0,Model!$B$6-IF((A99+116)&gt;=Model!$B$11,Model!$B$20,0)-IF(116&lt;Model!$B$15,Model!$B$22,0))/(1-Model!$B$9)/(1+Model!$B$18)^116))</f>
        <v/>
      </c>
      <c r="EA99" s="7">
        <f>IF(A99="","",IF((A99+117)&gt;Model!$B$4,0,MAX(0,Model!$B$6-IF((A99+117)&gt;=Model!$B$11,Model!$B$20,0)-IF(117&lt;Model!$B$15,Model!$B$22,0))/(1-Model!$B$9)/(1+Model!$B$18)^117))</f>
        <v/>
      </c>
      <c r="EB99" s="7">
        <f>IF(A99="","",IF((A99+118)&gt;Model!$B$4,0,MAX(0,Model!$B$6-IF((A99+118)&gt;=Model!$B$11,Model!$B$20,0)-IF(118&lt;Model!$B$15,Model!$B$22,0))/(1-Model!$B$9)/(1+Model!$B$18)^118))</f>
        <v/>
      </c>
      <c r="EC99" s="7">
        <f>IF(A99="","",IF((A99+119)&gt;Model!$B$4,0,MAX(0,Model!$B$6-IF((A99+119)&gt;=Model!$B$11,Model!$B$20,0)-IF(119&lt;Model!$B$15,Model!$B$22,0))/(1-Model!$B$9)/(1+Model!$B$18)^119))</f>
        <v/>
      </c>
      <c r="ED99" s="7">
        <f>IF(A99="","",IF((A99+120)&gt;Model!$B$4,0,MAX(0,Model!$B$6-IF((A99+120)&gt;=Model!$B$11,Model!$B$20,0)-IF(120&lt;Model!$B$15,Model!$B$22,0))/(1-Model!$B$9)/(1+Model!$B$18)^120))</f>
        <v/>
      </c>
    </row>
    <row r="100">
      <c r="A100">
        <f>IF(Model!$B$10+ROW()-2&lt;=Model!$B$4,Model!$B$10+ROW()-2,"")</f>
        <v/>
      </c>
      <c r="B100">
        <f>IF(A100="","",A100-Model!$B$10)</f>
        <v/>
      </c>
      <c r="C100" s="7">
        <f>IF(A100="","",Model!$B$5*(1+Model!$B$18)^B100)</f>
        <v/>
      </c>
      <c r="D100" s="7">
        <f>IF(A100="","",SUM(N100:ED100))</f>
        <v/>
      </c>
      <c r="E100" s="7">
        <f>IF(A100="","",IF(A100&gt;=Model!$B$11,Model!$B$20,0))</f>
        <v/>
      </c>
      <c r="F100" s="7">
        <f>IF(A100="","",IF(Model!$B$15&gt;0,Model!$B$22,0))</f>
        <v/>
      </c>
      <c r="G100" s="7">
        <f>IF(A100="","",E100+F100)</f>
        <v/>
      </c>
      <c r="H100" s="7">
        <f>IF(A100="","",MAX(0,Model!$B$6-G100))</f>
        <v/>
      </c>
      <c r="I100" s="7">
        <f>IF(A100="","",H100/(1-Model!$B$9))</f>
        <v/>
      </c>
      <c r="J100" s="7">
        <f>IF(A100="","",C100-D100)</f>
        <v/>
      </c>
      <c r="K100">
        <f>IF(A100="","",C100&gt;=D100)</f>
        <v/>
      </c>
      <c r="L100" s="7">
        <f>IF(A100="","",IF(A100&gt;=Model!$B$11,Model!$B$19*(1+Model!$B$13)^B100,0))</f>
        <v/>
      </c>
      <c r="M100" s="7">
        <f>IF(A100="","",IF(Model!$B$15&gt;0,Model!$B$21*(1+Model!$B$13)^B100,0))</f>
        <v/>
      </c>
      <c r="N100" s="7">
        <f>IF(A100="","",IF((A100+0)&gt;Model!$B$4,0,MAX(0,Model!$B$6-IF((A100+0)&gt;=Model!$B$11,Model!$B$20,0)-IF(0&lt;Model!$B$15,Model!$B$22,0))/(1-Model!$B$9)/(1+Model!$B$18)^0))</f>
        <v/>
      </c>
      <c r="O100" s="7">
        <f>IF(A100="","",IF((A100+1)&gt;Model!$B$4,0,MAX(0,Model!$B$6-IF((A100+1)&gt;=Model!$B$11,Model!$B$20,0)-IF(1&lt;Model!$B$15,Model!$B$22,0))/(1-Model!$B$9)/(1+Model!$B$18)^1))</f>
        <v/>
      </c>
      <c r="P100" s="7">
        <f>IF(A100="","",IF((A100+2)&gt;Model!$B$4,0,MAX(0,Model!$B$6-IF((A100+2)&gt;=Model!$B$11,Model!$B$20,0)-IF(2&lt;Model!$B$15,Model!$B$22,0))/(1-Model!$B$9)/(1+Model!$B$18)^2))</f>
        <v/>
      </c>
      <c r="Q100" s="7">
        <f>IF(A100="","",IF((A100+3)&gt;Model!$B$4,0,MAX(0,Model!$B$6-IF((A100+3)&gt;=Model!$B$11,Model!$B$20,0)-IF(3&lt;Model!$B$15,Model!$B$22,0))/(1-Model!$B$9)/(1+Model!$B$18)^3))</f>
        <v/>
      </c>
      <c r="R100" s="7">
        <f>IF(A100="","",IF((A100+4)&gt;Model!$B$4,0,MAX(0,Model!$B$6-IF((A100+4)&gt;=Model!$B$11,Model!$B$20,0)-IF(4&lt;Model!$B$15,Model!$B$22,0))/(1-Model!$B$9)/(1+Model!$B$18)^4))</f>
        <v/>
      </c>
      <c r="S100" s="7">
        <f>IF(A100="","",IF((A100+5)&gt;Model!$B$4,0,MAX(0,Model!$B$6-IF((A100+5)&gt;=Model!$B$11,Model!$B$20,0)-IF(5&lt;Model!$B$15,Model!$B$22,0))/(1-Model!$B$9)/(1+Model!$B$18)^5))</f>
        <v/>
      </c>
      <c r="T100" s="7">
        <f>IF(A100="","",IF((A100+6)&gt;Model!$B$4,0,MAX(0,Model!$B$6-IF((A100+6)&gt;=Model!$B$11,Model!$B$20,0)-IF(6&lt;Model!$B$15,Model!$B$22,0))/(1-Model!$B$9)/(1+Model!$B$18)^6))</f>
        <v/>
      </c>
      <c r="U100" s="7">
        <f>IF(A100="","",IF((A100+7)&gt;Model!$B$4,0,MAX(0,Model!$B$6-IF((A100+7)&gt;=Model!$B$11,Model!$B$20,0)-IF(7&lt;Model!$B$15,Model!$B$22,0))/(1-Model!$B$9)/(1+Model!$B$18)^7))</f>
        <v/>
      </c>
      <c r="V100" s="7">
        <f>IF(A100="","",IF((A100+8)&gt;Model!$B$4,0,MAX(0,Model!$B$6-IF((A100+8)&gt;=Model!$B$11,Model!$B$20,0)-IF(8&lt;Model!$B$15,Model!$B$22,0))/(1-Model!$B$9)/(1+Model!$B$18)^8))</f>
        <v/>
      </c>
      <c r="W100" s="7">
        <f>IF(A100="","",IF((A100+9)&gt;Model!$B$4,0,MAX(0,Model!$B$6-IF((A100+9)&gt;=Model!$B$11,Model!$B$20,0)-IF(9&lt;Model!$B$15,Model!$B$22,0))/(1-Model!$B$9)/(1+Model!$B$18)^9))</f>
        <v/>
      </c>
      <c r="X100" s="7">
        <f>IF(A100="","",IF((A100+10)&gt;Model!$B$4,0,MAX(0,Model!$B$6-IF((A100+10)&gt;=Model!$B$11,Model!$B$20,0)-IF(10&lt;Model!$B$15,Model!$B$22,0))/(1-Model!$B$9)/(1+Model!$B$18)^10))</f>
        <v/>
      </c>
      <c r="Y100" s="7">
        <f>IF(A100="","",IF((A100+11)&gt;Model!$B$4,0,MAX(0,Model!$B$6-IF((A100+11)&gt;=Model!$B$11,Model!$B$20,0)-IF(11&lt;Model!$B$15,Model!$B$22,0))/(1-Model!$B$9)/(1+Model!$B$18)^11))</f>
        <v/>
      </c>
      <c r="Z100" s="7">
        <f>IF(A100="","",IF((A100+12)&gt;Model!$B$4,0,MAX(0,Model!$B$6-IF((A100+12)&gt;=Model!$B$11,Model!$B$20,0)-IF(12&lt;Model!$B$15,Model!$B$22,0))/(1-Model!$B$9)/(1+Model!$B$18)^12))</f>
        <v/>
      </c>
      <c r="AA100" s="7">
        <f>IF(A100="","",IF((A100+13)&gt;Model!$B$4,0,MAX(0,Model!$B$6-IF((A100+13)&gt;=Model!$B$11,Model!$B$20,0)-IF(13&lt;Model!$B$15,Model!$B$22,0))/(1-Model!$B$9)/(1+Model!$B$18)^13))</f>
        <v/>
      </c>
      <c r="AB100" s="7">
        <f>IF(A100="","",IF((A100+14)&gt;Model!$B$4,0,MAX(0,Model!$B$6-IF((A100+14)&gt;=Model!$B$11,Model!$B$20,0)-IF(14&lt;Model!$B$15,Model!$B$22,0))/(1-Model!$B$9)/(1+Model!$B$18)^14))</f>
        <v/>
      </c>
      <c r="AC100" s="7">
        <f>IF(A100="","",IF((A100+15)&gt;Model!$B$4,0,MAX(0,Model!$B$6-IF((A100+15)&gt;=Model!$B$11,Model!$B$20,0)-IF(15&lt;Model!$B$15,Model!$B$22,0))/(1-Model!$B$9)/(1+Model!$B$18)^15))</f>
        <v/>
      </c>
      <c r="AD100" s="7">
        <f>IF(A100="","",IF((A100+16)&gt;Model!$B$4,0,MAX(0,Model!$B$6-IF((A100+16)&gt;=Model!$B$11,Model!$B$20,0)-IF(16&lt;Model!$B$15,Model!$B$22,0))/(1-Model!$B$9)/(1+Model!$B$18)^16))</f>
        <v/>
      </c>
      <c r="AE100" s="7">
        <f>IF(A100="","",IF((A100+17)&gt;Model!$B$4,0,MAX(0,Model!$B$6-IF((A100+17)&gt;=Model!$B$11,Model!$B$20,0)-IF(17&lt;Model!$B$15,Model!$B$22,0))/(1-Model!$B$9)/(1+Model!$B$18)^17))</f>
        <v/>
      </c>
      <c r="AF100" s="7">
        <f>IF(A100="","",IF((A100+18)&gt;Model!$B$4,0,MAX(0,Model!$B$6-IF((A100+18)&gt;=Model!$B$11,Model!$B$20,0)-IF(18&lt;Model!$B$15,Model!$B$22,0))/(1-Model!$B$9)/(1+Model!$B$18)^18))</f>
        <v/>
      </c>
      <c r="AG100" s="7">
        <f>IF(A100="","",IF((A100+19)&gt;Model!$B$4,0,MAX(0,Model!$B$6-IF((A100+19)&gt;=Model!$B$11,Model!$B$20,0)-IF(19&lt;Model!$B$15,Model!$B$22,0))/(1-Model!$B$9)/(1+Model!$B$18)^19))</f>
        <v/>
      </c>
      <c r="AH100" s="7">
        <f>IF(A100="","",IF((A100+20)&gt;Model!$B$4,0,MAX(0,Model!$B$6-IF((A100+20)&gt;=Model!$B$11,Model!$B$20,0)-IF(20&lt;Model!$B$15,Model!$B$22,0))/(1-Model!$B$9)/(1+Model!$B$18)^20))</f>
        <v/>
      </c>
      <c r="AI100" s="7">
        <f>IF(A100="","",IF((A100+21)&gt;Model!$B$4,0,MAX(0,Model!$B$6-IF((A100+21)&gt;=Model!$B$11,Model!$B$20,0)-IF(21&lt;Model!$B$15,Model!$B$22,0))/(1-Model!$B$9)/(1+Model!$B$18)^21))</f>
        <v/>
      </c>
      <c r="AJ100" s="7">
        <f>IF(A100="","",IF((A100+22)&gt;Model!$B$4,0,MAX(0,Model!$B$6-IF((A100+22)&gt;=Model!$B$11,Model!$B$20,0)-IF(22&lt;Model!$B$15,Model!$B$22,0))/(1-Model!$B$9)/(1+Model!$B$18)^22))</f>
        <v/>
      </c>
      <c r="AK100" s="7">
        <f>IF(A100="","",IF((A100+23)&gt;Model!$B$4,0,MAX(0,Model!$B$6-IF((A100+23)&gt;=Model!$B$11,Model!$B$20,0)-IF(23&lt;Model!$B$15,Model!$B$22,0))/(1-Model!$B$9)/(1+Model!$B$18)^23))</f>
        <v/>
      </c>
      <c r="AL100" s="7">
        <f>IF(A100="","",IF((A100+24)&gt;Model!$B$4,0,MAX(0,Model!$B$6-IF((A100+24)&gt;=Model!$B$11,Model!$B$20,0)-IF(24&lt;Model!$B$15,Model!$B$22,0))/(1-Model!$B$9)/(1+Model!$B$18)^24))</f>
        <v/>
      </c>
      <c r="AM100" s="7">
        <f>IF(A100="","",IF((A100+25)&gt;Model!$B$4,0,MAX(0,Model!$B$6-IF((A100+25)&gt;=Model!$B$11,Model!$B$20,0)-IF(25&lt;Model!$B$15,Model!$B$22,0))/(1-Model!$B$9)/(1+Model!$B$18)^25))</f>
        <v/>
      </c>
      <c r="AN100" s="7">
        <f>IF(A100="","",IF((A100+26)&gt;Model!$B$4,0,MAX(0,Model!$B$6-IF((A100+26)&gt;=Model!$B$11,Model!$B$20,0)-IF(26&lt;Model!$B$15,Model!$B$22,0))/(1-Model!$B$9)/(1+Model!$B$18)^26))</f>
        <v/>
      </c>
      <c r="AO100" s="7">
        <f>IF(A100="","",IF((A100+27)&gt;Model!$B$4,0,MAX(0,Model!$B$6-IF((A100+27)&gt;=Model!$B$11,Model!$B$20,0)-IF(27&lt;Model!$B$15,Model!$B$22,0))/(1-Model!$B$9)/(1+Model!$B$18)^27))</f>
        <v/>
      </c>
      <c r="AP100" s="7">
        <f>IF(A100="","",IF((A100+28)&gt;Model!$B$4,0,MAX(0,Model!$B$6-IF((A100+28)&gt;=Model!$B$11,Model!$B$20,0)-IF(28&lt;Model!$B$15,Model!$B$22,0))/(1-Model!$B$9)/(1+Model!$B$18)^28))</f>
        <v/>
      </c>
      <c r="AQ100" s="7">
        <f>IF(A100="","",IF((A100+29)&gt;Model!$B$4,0,MAX(0,Model!$B$6-IF((A100+29)&gt;=Model!$B$11,Model!$B$20,0)-IF(29&lt;Model!$B$15,Model!$B$22,0))/(1-Model!$B$9)/(1+Model!$B$18)^29))</f>
        <v/>
      </c>
      <c r="AR100" s="7">
        <f>IF(A100="","",IF((A100+30)&gt;Model!$B$4,0,MAX(0,Model!$B$6-IF((A100+30)&gt;=Model!$B$11,Model!$B$20,0)-IF(30&lt;Model!$B$15,Model!$B$22,0))/(1-Model!$B$9)/(1+Model!$B$18)^30))</f>
        <v/>
      </c>
      <c r="AS100" s="7">
        <f>IF(A100="","",IF((A100+31)&gt;Model!$B$4,0,MAX(0,Model!$B$6-IF((A100+31)&gt;=Model!$B$11,Model!$B$20,0)-IF(31&lt;Model!$B$15,Model!$B$22,0))/(1-Model!$B$9)/(1+Model!$B$18)^31))</f>
        <v/>
      </c>
      <c r="AT100" s="7">
        <f>IF(A100="","",IF((A100+32)&gt;Model!$B$4,0,MAX(0,Model!$B$6-IF((A100+32)&gt;=Model!$B$11,Model!$B$20,0)-IF(32&lt;Model!$B$15,Model!$B$22,0))/(1-Model!$B$9)/(1+Model!$B$18)^32))</f>
        <v/>
      </c>
      <c r="AU100" s="7">
        <f>IF(A100="","",IF((A100+33)&gt;Model!$B$4,0,MAX(0,Model!$B$6-IF((A100+33)&gt;=Model!$B$11,Model!$B$20,0)-IF(33&lt;Model!$B$15,Model!$B$22,0))/(1-Model!$B$9)/(1+Model!$B$18)^33))</f>
        <v/>
      </c>
      <c r="AV100" s="7">
        <f>IF(A100="","",IF((A100+34)&gt;Model!$B$4,0,MAX(0,Model!$B$6-IF((A100+34)&gt;=Model!$B$11,Model!$B$20,0)-IF(34&lt;Model!$B$15,Model!$B$22,0))/(1-Model!$B$9)/(1+Model!$B$18)^34))</f>
        <v/>
      </c>
      <c r="AW100" s="7">
        <f>IF(A100="","",IF((A100+35)&gt;Model!$B$4,0,MAX(0,Model!$B$6-IF((A100+35)&gt;=Model!$B$11,Model!$B$20,0)-IF(35&lt;Model!$B$15,Model!$B$22,0))/(1-Model!$B$9)/(1+Model!$B$18)^35))</f>
        <v/>
      </c>
      <c r="AX100" s="7">
        <f>IF(A100="","",IF((A100+36)&gt;Model!$B$4,0,MAX(0,Model!$B$6-IF((A100+36)&gt;=Model!$B$11,Model!$B$20,0)-IF(36&lt;Model!$B$15,Model!$B$22,0))/(1-Model!$B$9)/(1+Model!$B$18)^36))</f>
        <v/>
      </c>
      <c r="AY100" s="7">
        <f>IF(A100="","",IF((A100+37)&gt;Model!$B$4,0,MAX(0,Model!$B$6-IF((A100+37)&gt;=Model!$B$11,Model!$B$20,0)-IF(37&lt;Model!$B$15,Model!$B$22,0))/(1-Model!$B$9)/(1+Model!$B$18)^37))</f>
        <v/>
      </c>
      <c r="AZ100" s="7">
        <f>IF(A100="","",IF((A100+38)&gt;Model!$B$4,0,MAX(0,Model!$B$6-IF((A100+38)&gt;=Model!$B$11,Model!$B$20,0)-IF(38&lt;Model!$B$15,Model!$B$22,0))/(1-Model!$B$9)/(1+Model!$B$18)^38))</f>
        <v/>
      </c>
      <c r="BA100" s="7">
        <f>IF(A100="","",IF((A100+39)&gt;Model!$B$4,0,MAX(0,Model!$B$6-IF((A100+39)&gt;=Model!$B$11,Model!$B$20,0)-IF(39&lt;Model!$B$15,Model!$B$22,0))/(1-Model!$B$9)/(1+Model!$B$18)^39))</f>
        <v/>
      </c>
      <c r="BB100" s="7">
        <f>IF(A100="","",IF((A100+40)&gt;Model!$B$4,0,MAX(0,Model!$B$6-IF((A100+40)&gt;=Model!$B$11,Model!$B$20,0)-IF(40&lt;Model!$B$15,Model!$B$22,0))/(1-Model!$B$9)/(1+Model!$B$18)^40))</f>
        <v/>
      </c>
      <c r="BC100" s="7">
        <f>IF(A100="","",IF((A100+41)&gt;Model!$B$4,0,MAX(0,Model!$B$6-IF((A100+41)&gt;=Model!$B$11,Model!$B$20,0)-IF(41&lt;Model!$B$15,Model!$B$22,0))/(1-Model!$B$9)/(1+Model!$B$18)^41))</f>
        <v/>
      </c>
      <c r="BD100" s="7">
        <f>IF(A100="","",IF((A100+42)&gt;Model!$B$4,0,MAX(0,Model!$B$6-IF((A100+42)&gt;=Model!$B$11,Model!$B$20,0)-IF(42&lt;Model!$B$15,Model!$B$22,0))/(1-Model!$B$9)/(1+Model!$B$18)^42))</f>
        <v/>
      </c>
      <c r="BE100" s="7">
        <f>IF(A100="","",IF((A100+43)&gt;Model!$B$4,0,MAX(0,Model!$B$6-IF((A100+43)&gt;=Model!$B$11,Model!$B$20,0)-IF(43&lt;Model!$B$15,Model!$B$22,0))/(1-Model!$B$9)/(1+Model!$B$18)^43))</f>
        <v/>
      </c>
      <c r="BF100" s="7">
        <f>IF(A100="","",IF((A100+44)&gt;Model!$B$4,0,MAX(0,Model!$B$6-IF((A100+44)&gt;=Model!$B$11,Model!$B$20,0)-IF(44&lt;Model!$B$15,Model!$B$22,0))/(1-Model!$B$9)/(1+Model!$B$18)^44))</f>
        <v/>
      </c>
      <c r="BG100" s="7">
        <f>IF(A100="","",IF((A100+45)&gt;Model!$B$4,0,MAX(0,Model!$B$6-IF((A100+45)&gt;=Model!$B$11,Model!$B$20,0)-IF(45&lt;Model!$B$15,Model!$B$22,0))/(1-Model!$B$9)/(1+Model!$B$18)^45))</f>
        <v/>
      </c>
      <c r="BH100" s="7">
        <f>IF(A100="","",IF((A100+46)&gt;Model!$B$4,0,MAX(0,Model!$B$6-IF((A100+46)&gt;=Model!$B$11,Model!$B$20,0)-IF(46&lt;Model!$B$15,Model!$B$22,0))/(1-Model!$B$9)/(1+Model!$B$18)^46))</f>
        <v/>
      </c>
      <c r="BI100" s="7">
        <f>IF(A100="","",IF((A100+47)&gt;Model!$B$4,0,MAX(0,Model!$B$6-IF((A100+47)&gt;=Model!$B$11,Model!$B$20,0)-IF(47&lt;Model!$B$15,Model!$B$22,0))/(1-Model!$B$9)/(1+Model!$B$18)^47))</f>
        <v/>
      </c>
      <c r="BJ100" s="7">
        <f>IF(A100="","",IF((A100+48)&gt;Model!$B$4,0,MAX(0,Model!$B$6-IF((A100+48)&gt;=Model!$B$11,Model!$B$20,0)-IF(48&lt;Model!$B$15,Model!$B$22,0))/(1-Model!$B$9)/(1+Model!$B$18)^48))</f>
        <v/>
      </c>
      <c r="BK100" s="7">
        <f>IF(A100="","",IF((A100+49)&gt;Model!$B$4,0,MAX(0,Model!$B$6-IF((A100+49)&gt;=Model!$B$11,Model!$B$20,0)-IF(49&lt;Model!$B$15,Model!$B$22,0))/(1-Model!$B$9)/(1+Model!$B$18)^49))</f>
        <v/>
      </c>
      <c r="BL100" s="7">
        <f>IF(A100="","",IF((A100+50)&gt;Model!$B$4,0,MAX(0,Model!$B$6-IF((A100+50)&gt;=Model!$B$11,Model!$B$20,0)-IF(50&lt;Model!$B$15,Model!$B$22,0))/(1-Model!$B$9)/(1+Model!$B$18)^50))</f>
        <v/>
      </c>
      <c r="BM100" s="7">
        <f>IF(A100="","",IF((A100+51)&gt;Model!$B$4,0,MAX(0,Model!$B$6-IF((A100+51)&gt;=Model!$B$11,Model!$B$20,0)-IF(51&lt;Model!$B$15,Model!$B$22,0))/(1-Model!$B$9)/(1+Model!$B$18)^51))</f>
        <v/>
      </c>
      <c r="BN100" s="7">
        <f>IF(A100="","",IF((A100+52)&gt;Model!$B$4,0,MAX(0,Model!$B$6-IF((A100+52)&gt;=Model!$B$11,Model!$B$20,0)-IF(52&lt;Model!$B$15,Model!$B$22,0))/(1-Model!$B$9)/(1+Model!$B$18)^52))</f>
        <v/>
      </c>
      <c r="BO100" s="7">
        <f>IF(A100="","",IF((A100+53)&gt;Model!$B$4,0,MAX(0,Model!$B$6-IF((A100+53)&gt;=Model!$B$11,Model!$B$20,0)-IF(53&lt;Model!$B$15,Model!$B$22,0))/(1-Model!$B$9)/(1+Model!$B$18)^53))</f>
        <v/>
      </c>
      <c r="BP100" s="7">
        <f>IF(A100="","",IF((A100+54)&gt;Model!$B$4,0,MAX(0,Model!$B$6-IF((A100+54)&gt;=Model!$B$11,Model!$B$20,0)-IF(54&lt;Model!$B$15,Model!$B$22,0))/(1-Model!$B$9)/(1+Model!$B$18)^54))</f>
        <v/>
      </c>
      <c r="BQ100" s="7">
        <f>IF(A100="","",IF((A100+55)&gt;Model!$B$4,0,MAX(0,Model!$B$6-IF((A100+55)&gt;=Model!$B$11,Model!$B$20,0)-IF(55&lt;Model!$B$15,Model!$B$22,0))/(1-Model!$B$9)/(1+Model!$B$18)^55))</f>
        <v/>
      </c>
      <c r="BR100" s="7">
        <f>IF(A100="","",IF((A100+56)&gt;Model!$B$4,0,MAX(0,Model!$B$6-IF((A100+56)&gt;=Model!$B$11,Model!$B$20,0)-IF(56&lt;Model!$B$15,Model!$B$22,0))/(1-Model!$B$9)/(1+Model!$B$18)^56))</f>
        <v/>
      </c>
      <c r="BS100" s="7">
        <f>IF(A100="","",IF((A100+57)&gt;Model!$B$4,0,MAX(0,Model!$B$6-IF((A100+57)&gt;=Model!$B$11,Model!$B$20,0)-IF(57&lt;Model!$B$15,Model!$B$22,0))/(1-Model!$B$9)/(1+Model!$B$18)^57))</f>
        <v/>
      </c>
      <c r="BT100" s="7">
        <f>IF(A100="","",IF((A100+58)&gt;Model!$B$4,0,MAX(0,Model!$B$6-IF((A100+58)&gt;=Model!$B$11,Model!$B$20,0)-IF(58&lt;Model!$B$15,Model!$B$22,0))/(1-Model!$B$9)/(1+Model!$B$18)^58))</f>
        <v/>
      </c>
      <c r="BU100" s="7">
        <f>IF(A100="","",IF((A100+59)&gt;Model!$B$4,0,MAX(0,Model!$B$6-IF((A100+59)&gt;=Model!$B$11,Model!$B$20,0)-IF(59&lt;Model!$B$15,Model!$B$22,0))/(1-Model!$B$9)/(1+Model!$B$18)^59))</f>
        <v/>
      </c>
      <c r="BV100" s="7">
        <f>IF(A100="","",IF((A100+60)&gt;Model!$B$4,0,MAX(0,Model!$B$6-IF((A100+60)&gt;=Model!$B$11,Model!$B$20,0)-IF(60&lt;Model!$B$15,Model!$B$22,0))/(1-Model!$B$9)/(1+Model!$B$18)^60))</f>
        <v/>
      </c>
      <c r="BW100" s="7">
        <f>IF(A100="","",IF((A100+61)&gt;Model!$B$4,0,MAX(0,Model!$B$6-IF((A100+61)&gt;=Model!$B$11,Model!$B$20,0)-IF(61&lt;Model!$B$15,Model!$B$22,0))/(1-Model!$B$9)/(1+Model!$B$18)^61))</f>
        <v/>
      </c>
      <c r="BX100" s="7">
        <f>IF(A100="","",IF((A100+62)&gt;Model!$B$4,0,MAX(0,Model!$B$6-IF((A100+62)&gt;=Model!$B$11,Model!$B$20,0)-IF(62&lt;Model!$B$15,Model!$B$22,0))/(1-Model!$B$9)/(1+Model!$B$18)^62))</f>
        <v/>
      </c>
      <c r="BY100" s="7">
        <f>IF(A100="","",IF((A100+63)&gt;Model!$B$4,0,MAX(0,Model!$B$6-IF((A100+63)&gt;=Model!$B$11,Model!$B$20,0)-IF(63&lt;Model!$B$15,Model!$B$22,0))/(1-Model!$B$9)/(1+Model!$B$18)^63))</f>
        <v/>
      </c>
      <c r="BZ100" s="7">
        <f>IF(A100="","",IF((A100+64)&gt;Model!$B$4,0,MAX(0,Model!$B$6-IF((A100+64)&gt;=Model!$B$11,Model!$B$20,0)-IF(64&lt;Model!$B$15,Model!$B$22,0))/(1-Model!$B$9)/(1+Model!$B$18)^64))</f>
        <v/>
      </c>
      <c r="CA100" s="7">
        <f>IF(A100="","",IF((A100+65)&gt;Model!$B$4,0,MAX(0,Model!$B$6-IF((A100+65)&gt;=Model!$B$11,Model!$B$20,0)-IF(65&lt;Model!$B$15,Model!$B$22,0))/(1-Model!$B$9)/(1+Model!$B$18)^65))</f>
        <v/>
      </c>
      <c r="CB100" s="7">
        <f>IF(A100="","",IF((A100+66)&gt;Model!$B$4,0,MAX(0,Model!$B$6-IF((A100+66)&gt;=Model!$B$11,Model!$B$20,0)-IF(66&lt;Model!$B$15,Model!$B$22,0))/(1-Model!$B$9)/(1+Model!$B$18)^66))</f>
        <v/>
      </c>
      <c r="CC100" s="7">
        <f>IF(A100="","",IF((A100+67)&gt;Model!$B$4,0,MAX(0,Model!$B$6-IF((A100+67)&gt;=Model!$B$11,Model!$B$20,0)-IF(67&lt;Model!$B$15,Model!$B$22,0))/(1-Model!$B$9)/(1+Model!$B$18)^67))</f>
        <v/>
      </c>
      <c r="CD100" s="7">
        <f>IF(A100="","",IF((A100+68)&gt;Model!$B$4,0,MAX(0,Model!$B$6-IF((A100+68)&gt;=Model!$B$11,Model!$B$20,0)-IF(68&lt;Model!$B$15,Model!$B$22,0))/(1-Model!$B$9)/(1+Model!$B$18)^68))</f>
        <v/>
      </c>
      <c r="CE100" s="7">
        <f>IF(A100="","",IF((A100+69)&gt;Model!$B$4,0,MAX(0,Model!$B$6-IF((A100+69)&gt;=Model!$B$11,Model!$B$20,0)-IF(69&lt;Model!$B$15,Model!$B$22,0))/(1-Model!$B$9)/(1+Model!$B$18)^69))</f>
        <v/>
      </c>
      <c r="CF100" s="7">
        <f>IF(A100="","",IF((A100+70)&gt;Model!$B$4,0,MAX(0,Model!$B$6-IF((A100+70)&gt;=Model!$B$11,Model!$B$20,0)-IF(70&lt;Model!$B$15,Model!$B$22,0))/(1-Model!$B$9)/(1+Model!$B$18)^70))</f>
        <v/>
      </c>
      <c r="CG100" s="7">
        <f>IF(A100="","",IF((A100+71)&gt;Model!$B$4,0,MAX(0,Model!$B$6-IF((A100+71)&gt;=Model!$B$11,Model!$B$20,0)-IF(71&lt;Model!$B$15,Model!$B$22,0))/(1-Model!$B$9)/(1+Model!$B$18)^71))</f>
        <v/>
      </c>
      <c r="CH100" s="7">
        <f>IF(A100="","",IF((A100+72)&gt;Model!$B$4,0,MAX(0,Model!$B$6-IF((A100+72)&gt;=Model!$B$11,Model!$B$20,0)-IF(72&lt;Model!$B$15,Model!$B$22,0))/(1-Model!$B$9)/(1+Model!$B$18)^72))</f>
        <v/>
      </c>
      <c r="CI100" s="7">
        <f>IF(A100="","",IF((A100+73)&gt;Model!$B$4,0,MAX(0,Model!$B$6-IF((A100+73)&gt;=Model!$B$11,Model!$B$20,0)-IF(73&lt;Model!$B$15,Model!$B$22,0))/(1-Model!$B$9)/(1+Model!$B$18)^73))</f>
        <v/>
      </c>
      <c r="CJ100" s="7">
        <f>IF(A100="","",IF((A100+74)&gt;Model!$B$4,0,MAX(0,Model!$B$6-IF((A100+74)&gt;=Model!$B$11,Model!$B$20,0)-IF(74&lt;Model!$B$15,Model!$B$22,0))/(1-Model!$B$9)/(1+Model!$B$18)^74))</f>
        <v/>
      </c>
      <c r="CK100" s="7">
        <f>IF(A100="","",IF((A100+75)&gt;Model!$B$4,0,MAX(0,Model!$B$6-IF((A100+75)&gt;=Model!$B$11,Model!$B$20,0)-IF(75&lt;Model!$B$15,Model!$B$22,0))/(1-Model!$B$9)/(1+Model!$B$18)^75))</f>
        <v/>
      </c>
      <c r="CL100" s="7">
        <f>IF(A100="","",IF((A100+76)&gt;Model!$B$4,0,MAX(0,Model!$B$6-IF((A100+76)&gt;=Model!$B$11,Model!$B$20,0)-IF(76&lt;Model!$B$15,Model!$B$22,0))/(1-Model!$B$9)/(1+Model!$B$18)^76))</f>
        <v/>
      </c>
      <c r="CM100" s="7">
        <f>IF(A100="","",IF((A100+77)&gt;Model!$B$4,0,MAX(0,Model!$B$6-IF((A100+77)&gt;=Model!$B$11,Model!$B$20,0)-IF(77&lt;Model!$B$15,Model!$B$22,0))/(1-Model!$B$9)/(1+Model!$B$18)^77))</f>
        <v/>
      </c>
      <c r="CN100" s="7">
        <f>IF(A100="","",IF((A100+78)&gt;Model!$B$4,0,MAX(0,Model!$B$6-IF((A100+78)&gt;=Model!$B$11,Model!$B$20,0)-IF(78&lt;Model!$B$15,Model!$B$22,0))/(1-Model!$B$9)/(1+Model!$B$18)^78))</f>
        <v/>
      </c>
      <c r="CO100" s="7">
        <f>IF(A100="","",IF((A100+79)&gt;Model!$B$4,0,MAX(0,Model!$B$6-IF((A100+79)&gt;=Model!$B$11,Model!$B$20,0)-IF(79&lt;Model!$B$15,Model!$B$22,0))/(1-Model!$B$9)/(1+Model!$B$18)^79))</f>
        <v/>
      </c>
      <c r="CP100" s="7">
        <f>IF(A100="","",IF((A100+80)&gt;Model!$B$4,0,MAX(0,Model!$B$6-IF((A100+80)&gt;=Model!$B$11,Model!$B$20,0)-IF(80&lt;Model!$B$15,Model!$B$22,0))/(1-Model!$B$9)/(1+Model!$B$18)^80))</f>
        <v/>
      </c>
      <c r="CQ100" s="7">
        <f>IF(A100="","",IF((A100+81)&gt;Model!$B$4,0,MAX(0,Model!$B$6-IF((A100+81)&gt;=Model!$B$11,Model!$B$20,0)-IF(81&lt;Model!$B$15,Model!$B$22,0))/(1-Model!$B$9)/(1+Model!$B$18)^81))</f>
        <v/>
      </c>
      <c r="CR100" s="7">
        <f>IF(A100="","",IF((A100+82)&gt;Model!$B$4,0,MAX(0,Model!$B$6-IF((A100+82)&gt;=Model!$B$11,Model!$B$20,0)-IF(82&lt;Model!$B$15,Model!$B$22,0))/(1-Model!$B$9)/(1+Model!$B$18)^82))</f>
        <v/>
      </c>
      <c r="CS100" s="7">
        <f>IF(A100="","",IF((A100+83)&gt;Model!$B$4,0,MAX(0,Model!$B$6-IF((A100+83)&gt;=Model!$B$11,Model!$B$20,0)-IF(83&lt;Model!$B$15,Model!$B$22,0))/(1-Model!$B$9)/(1+Model!$B$18)^83))</f>
        <v/>
      </c>
      <c r="CT100" s="7">
        <f>IF(A100="","",IF((A100+84)&gt;Model!$B$4,0,MAX(0,Model!$B$6-IF((A100+84)&gt;=Model!$B$11,Model!$B$20,0)-IF(84&lt;Model!$B$15,Model!$B$22,0))/(1-Model!$B$9)/(1+Model!$B$18)^84))</f>
        <v/>
      </c>
      <c r="CU100" s="7">
        <f>IF(A100="","",IF((A100+85)&gt;Model!$B$4,0,MAX(0,Model!$B$6-IF((A100+85)&gt;=Model!$B$11,Model!$B$20,0)-IF(85&lt;Model!$B$15,Model!$B$22,0))/(1-Model!$B$9)/(1+Model!$B$18)^85))</f>
        <v/>
      </c>
      <c r="CV100" s="7">
        <f>IF(A100="","",IF((A100+86)&gt;Model!$B$4,0,MAX(0,Model!$B$6-IF((A100+86)&gt;=Model!$B$11,Model!$B$20,0)-IF(86&lt;Model!$B$15,Model!$B$22,0))/(1-Model!$B$9)/(1+Model!$B$18)^86))</f>
        <v/>
      </c>
      <c r="CW100" s="7">
        <f>IF(A100="","",IF((A100+87)&gt;Model!$B$4,0,MAX(0,Model!$B$6-IF((A100+87)&gt;=Model!$B$11,Model!$B$20,0)-IF(87&lt;Model!$B$15,Model!$B$22,0))/(1-Model!$B$9)/(1+Model!$B$18)^87))</f>
        <v/>
      </c>
      <c r="CX100" s="7">
        <f>IF(A100="","",IF((A100+88)&gt;Model!$B$4,0,MAX(0,Model!$B$6-IF((A100+88)&gt;=Model!$B$11,Model!$B$20,0)-IF(88&lt;Model!$B$15,Model!$B$22,0))/(1-Model!$B$9)/(1+Model!$B$18)^88))</f>
        <v/>
      </c>
      <c r="CY100" s="7">
        <f>IF(A100="","",IF((A100+89)&gt;Model!$B$4,0,MAX(0,Model!$B$6-IF((A100+89)&gt;=Model!$B$11,Model!$B$20,0)-IF(89&lt;Model!$B$15,Model!$B$22,0))/(1-Model!$B$9)/(1+Model!$B$18)^89))</f>
        <v/>
      </c>
      <c r="CZ100" s="7">
        <f>IF(A100="","",IF((A100+90)&gt;Model!$B$4,0,MAX(0,Model!$B$6-IF((A100+90)&gt;=Model!$B$11,Model!$B$20,0)-IF(90&lt;Model!$B$15,Model!$B$22,0))/(1-Model!$B$9)/(1+Model!$B$18)^90))</f>
        <v/>
      </c>
      <c r="DA100" s="7">
        <f>IF(A100="","",IF((A100+91)&gt;Model!$B$4,0,MAX(0,Model!$B$6-IF((A100+91)&gt;=Model!$B$11,Model!$B$20,0)-IF(91&lt;Model!$B$15,Model!$B$22,0))/(1-Model!$B$9)/(1+Model!$B$18)^91))</f>
        <v/>
      </c>
      <c r="DB100" s="7">
        <f>IF(A100="","",IF((A100+92)&gt;Model!$B$4,0,MAX(0,Model!$B$6-IF((A100+92)&gt;=Model!$B$11,Model!$B$20,0)-IF(92&lt;Model!$B$15,Model!$B$22,0))/(1-Model!$B$9)/(1+Model!$B$18)^92))</f>
        <v/>
      </c>
      <c r="DC100" s="7">
        <f>IF(A100="","",IF((A100+93)&gt;Model!$B$4,0,MAX(0,Model!$B$6-IF((A100+93)&gt;=Model!$B$11,Model!$B$20,0)-IF(93&lt;Model!$B$15,Model!$B$22,0))/(1-Model!$B$9)/(1+Model!$B$18)^93))</f>
        <v/>
      </c>
      <c r="DD100" s="7">
        <f>IF(A100="","",IF((A100+94)&gt;Model!$B$4,0,MAX(0,Model!$B$6-IF((A100+94)&gt;=Model!$B$11,Model!$B$20,0)-IF(94&lt;Model!$B$15,Model!$B$22,0))/(1-Model!$B$9)/(1+Model!$B$18)^94))</f>
        <v/>
      </c>
      <c r="DE100" s="7">
        <f>IF(A100="","",IF((A100+95)&gt;Model!$B$4,0,MAX(0,Model!$B$6-IF((A100+95)&gt;=Model!$B$11,Model!$B$20,0)-IF(95&lt;Model!$B$15,Model!$B$22,0))/(1-Model!$B$9)/(1+Model!$B$18)^95))</f>
        <v/>
      </c>
      <c r="DF100" s="7">
        <f>IF(A100="","",IF((A100+96)&gt;Model!$B$4,0,MAX(0,Model!$B$6-IF((A100+96)&gt;=Model!$B$11,Model!$B$20,0)-IF(96&lt;Model!$B$15,Model!$B$22,0))/(1-Model!$B$9)/(1+Model!$B$18)^96))</f>
        <v/>
      </c>
      <c r="DG100" s="7">
        <f>IF(A100="","",IF((A100+97)&gt;Model!$B$4,0,MAX(0,Model!$B$6-IF((A100+97)&gt;=Model!$B$11,Model!$B$20,0)-IF(97&lt;Model!$B$15,Model!$B$22,0))/(1-Model!$B$9)/(1+Model!$B$18)^97))</f>
        <v/>
      </c>
      <c r="DH100" s="7">
        <f>IF(A100="","",IF((A100+98)&gt;Model!$B$4,0,MAX(0,Model!$B$6-IF((A100+98)&gt;=Model!$B$11,Model!$B$20,0)-IF(98&lt;Model!$B$15,Model!$B$22,0))/(1-Model!$B$9)/(1+Model!$B$18)^98))</f>
        <v/>
      </c>
      <c r="DI100" s="7">
        <f>IF(A100="","",IF((A100+99)&gt;Model!$B$4,0,MAX(0,Model!$B$6-IF((A100+99)&gt;=Model!$B$11,Model!$B$20,0)-IF(99&lt;Model!$B$15,Model!$B$22,0))/(1-Model!$B$9)/(1+Model!$B$18)^99))</f>
        <v/>
      </c>
      <c r="DJ100" s="7">
        <f>IF(A100="","",IF((A100+100)&gt;Model!$B$4,0,MAX(0,Model!$B$6-IF((A100+100)&gt;=Model!$B$11,Model!$B$20,0)-IF(100&lt;Model!$B$15,Model!$B$22,0))/(1-Model!$B$9)/(1+Model!$B$18)^100))</f>
        <v/>
      </c>
      <c r="DK100" s="7">
        <f>IF(A100="","",IF((A100+101)&gt;Model!$B$4,0,MAX(0,Model!$B$6-IF((A100+101)&gt;=Model!$B$11,Model!$B$20,0)-IF(101&lt;Model!$B$15,Model!$B$22,0))/(1-Model!$B$9)/(1+Model!$B$18)^101))</f>
        <v/>
      </c>
      <c r="DL100" s="7">
        <f>IF(A100="","",IF((A100+102)&gt;Model!$B$4,0,MAX(0,Model!$B$6-IF((A100+102)&gt;=Model!$B$11,Model!$B$20,0)-IF(102&lt;Model!$B$15,Model!$B$22,0))/(1-Model!$B$9)/(1+Model!$B$18)^102))</f>
        <v/>
      </c>
      <c r="DM100" s="7">
        <f>IF(A100="","",IF((A100+103)&gt;Model!$B$4,0,MAX(0,Model!$B$6-IF((A100+103)&gt;=Model!$B$11,Model!$B$20,0)-IF(103&lt;Model!$B$15,Model!$B$22,0))/(1-Model!$B$9)/(1+Model!$B$18)^103))</f>
        <v/>
      </c>
      <c r="DN100" s="7">
        <f>IF(A100="","",IF((A100+104)&gt;Model!$B$4,0,MAX(0,Model!$B$6-IF((A100+104)&gt;=Model!$B$11,Model!$B$20,0)-IF(104&lt;Model!$B$15,Model!$B$22,0))/(1-Model!$B$9)/(1+Model!$B$18)^104))</f>
        <v/>
      </c>
      <c r="DO100" s="7">
        <f>IF(A100="","",IF((A100+105)&gt;Model!$B$4,0,MAX(0,Model!$B$6-IF((A100+105)&gt;=Model!$B$11,Model!$B$20,0)-IF(105&lt;Model!$B$15,Model!$B$22,0))/(1-Model!$B$9)/(1+Model!$B$18)^105))</f>
        <v/>
      </c>
      <c r="DP100" s="7">
        <f>IF(A100="","",IF((A100+106)&gt;Model!$B$4,0,MAX(0,Model!$B$6-IF((A100+106)&gt;=Model!$B$11,Model!$B$20,0)-IF(106&lt;Model!$B$15,Model!$B$22,0))/(1-Model!$B$9)/(1+Model!$B$18)^106))</f>
        <v/>
      </c>
      <c r="DQ100" s="7">
        <f>IF(A100="","",IF((A100+107)&gt;Model!$B$4,0,MAX(0,Model!$B$6-IF((A100+107)&gt;=Model!$B$11,Model!$B$20,0)-IF(107&lt;Model!$B$15,Model!$B$22,0))/(1-Model!$B$9)/(1+Model!$B$18)^107))</f>
        <v/>
      </c>
      <c r="DR100" s="7">
        <f>IF(A100="","",IF((A100+108)&gt;Model!$B$4,0,MAX(0,Model!$B$6-IF((A100+108)&gt;=Model!$B$11,Model!$B$20,0)-IF(108&lt;Model!$B$15,Model!$B$22,0))/(1-Model!$B$9)/(1+Model!$B$18)^108))</f>
        <v/>
      </c>
      <c r="DS100" s="7">
        <f>IF(A100="","",IF((A100+109)&gt;Model!$B$4,0,MAX(0,Model!$B$6-IF((A100+109)&gt;=Model!$B$11,Model!$B$20,0)-IF(109&lt;Model!$B$15,Model!$B$22,0))/(1-Model!$B$9)/(1+Model!$B$18)^109))</f>
        <v/>
      </c>
      <c r="DT100" s="7">
        <f>IF(A100="","",IF((A100+110)&gt;Model!$B$4,0,MAX(0,Model!$B$6-IF((A100+110)&gt;=Model!$B$11,Model!$B$20,0)-IF(110&lt;Model!$B$15,Model!$B$22,0))/(1-Model!$B$9)/(1+Model!$B$18)^110))</f>
        <v/>
      </c>
      <c r="DU100" s="7">
        <f>IF(A100="","",IF((A100+111)&gt;Model!$B$4,0,MAX(0,Model!$B$6-IF((A100+111)&gt;=Model!$B$11,Model!$B$20,0)-IF(111&lt;Model!$B$15,Model!$B$22,0))/(1-Model!$B$9)/(1+Model!$B$18)^111))</f>
        <v/>
      </c>
      <c r="DV100" s="7">
        <f>IF(A100="","",IF((A100+112)&gt;Model!$B$4,0,MAX(0,Model!$B$6-IF((A100+112)&gt;=Model!$B$11,Model!$B$20,0)-IF(112&lt;Model!$B$15,Model!$B$22,0))/(1-Model!$B$9)/(1+Model!$B$18)^112))</f>
        <v/>
      </c>
      <c r="DW100" s="7">
        <f>IF(A100="","",IF((A100+113)&gt;Model!$B$4,0,MAX(0,Model!$B$6-IF((A100+113)&gt;=Model!$B$11,Model!$B$20,0)-IF(113&lt;Model!$B$15,Model!$B$22,0))/(1-Model!$B$9)/(1+Model!$B$18)^113))</f>
        <v/>
      </c>
      <c r="DX100" s="7">
        <f>IF(A100="","",IF((A100+114)&gt;Model!$B$4,0,MAX(0,Model!$B$6-IF((A100+114)&gt;=Model!$B$11,Model!$B$20,0)-IF(114&lt;Model!$B$15,Model!$B$22,0))/(1-Model!$B$9)/(1+Model!$B$18)^114))</f>
        <v/>
      </c>
      <c r="DY100" s="7">
        <f>IF(A100="","",IF((A100+115)&gt;Model!$B$4,0,MAX(0,Model!$B$6-IF((A100+115)&gt;=Model!$B$11,Model!$B$20,0)-IF(115&lt;Model!$B$15,Model!$B$22,0))/(1-Model!$B$9)/(1+Model!$B$18)^115))</f>
        <v/>
      </c>
      <c r="DZ100" s="7">
        <f>IF(A100="","",IF((A100+116)&gt;Model!$B$4,0,MAX(0,Model!$B$6-IF((A100+116)&gt;=Model!$B$11,Model!$B$20,0)-IF(116&lt;Model!$B$15,Model!$B$22,0))/(1-Model!$B$9)/(1+Model!$B$18)^116))</f>
        <v/>
      </c>
      <c r="EA100" s="7">
        <f>IF(A100="","",IF((A100+117)&gt;Model!$B$4,0,MAX(0,Model!$B$6-IF((A100+117)&gt;=Model!$B$11,Model!$B$20,0)-IF(117&lt;Model!$B$15,Model!$B$22,0))/(1-Model!$B$9)/(1+Model!$B$18)^117))</f>
        <v/>
      </c>
      <c r="EB100" s="7">
        <f>IF(A100="","",IF((A100+118)&gt;Model!$B$4,0,MAX(0,Model!$B$6-IF((A100+118)&gt;=Model!$B$11,Model!$B$20,0)-IF(118&lt;Model!$B$15,Model!$B$22,0))/(1-Model!$B$9)/(1+Model!$B$18)^118))</f>
        <v/>
      </c>
      <c r="EC100" s="7">
        <f>IF(A100="","",IF((A100+119)&gt;Model!$B$4,0,MAX(0,Model!$B$6-IF((A100+119)&gt;=Model!$B$11,Model!$B$20,0)-IF(119&lt;Model!$B$15,Model!$B$22,0))/(1-Model!$B$9)/(1+Model!$B$18)^119))</f>
        <v/>
      </c>
      <c r="ED100" s="7">
        <f>IF(A100="","",IF((A100+120)&gt;Model!$B$4,0,MAX(0,Model!$B$6-IF((A100+120)&gt;=Model!$B$11,Model!$B$20,0)-IF(120&lt;Model!$B$15,Model!$B$22,0))/(1-Model!$B$9)/(1+Model!$B$18)^120))</f>
        <v/>
      </c>
    </row>
    <row r="101">
      <c r="A101">
        <f>IF(Model!$B$10+ROW()-2&lt;=Model!$B$4,Model!$B$10+ROW()-2,"")</f>
        <v/>
      </c>
      <c r="B101">
        <f>IF(A101="","",A101-Model!$B$10)</f>
        <v/>
      </c>
      <c r="C101" s="7">
        <f>IF(A101="","",Model!$B$5*(1+Model!$B$18)^B101)</f>
        <v/>
      </c>
      <c r="D101" s="7">
        <f>IF(A101="","",SUM(N101:ED101))</f>
        <v/>
      </c>
      <c r="E101" s="7">
        <f>IF(A101="","",IF(A101&gt;=Model!$B$11,Model!$B$20,0))</f>
        <v/>
      </c>
      <c r="F101" s="7">
        <f>IF(A101="","",IF(Model!$B$15&gt;0,Model!$B$22,0))</f>
        <v/>
      </c>
      <c r="G101" s="7">
        <f>IF(A101="","",E101+F101)</f>
        <v/>
      </c>
      <c r="H101" s="7">
        <f>IF(A101="","",MAX(0,Model!$B$6-G101))</f>
        <v/>
      </c>
      <c r="I101" s="7">
        <f>IF(A101="","",H101/(1-Model!$B$9))</f>
        <v/>
      </c>
      <c r="J101" s="7">
        <f>IF(A101="","",C101-D101)</f>
        <v/>
      </c>
      <c r="K101">
        <f>IF(A101="","",C101&gt;=D101)</f>
        <v/>
      </c>
      <c r="L101" s="7">
        <f>IF(A101="","",IF(A101&gt;=Model!$B$11,Model!$B$19*(1+Model!$B$13)^B101,0))</f>
        <v/>
      </c>
      <c r="M101" s="7">
        <f>IF(A101="","",IF(Model!$B$15&gt;0,Model!$B$21*(1+Model!$B$13)^B101,0))</f>
        <v/>
      </c>
      <c r="N101" s="7">
        <f>IF(A101="","",IF((A101+0)&gt;Model!$B$4,0,MAX(0,Model!$B$6-IF((A101+0)&gt;=Model!$B$11,Model!$B$20,0)-IF(0&lt;Model!$B$15,Model!$B$22,0))/(1-Model!$B$9)/(1+Model!$B$18)^0))</f>
        <v/>
      </c>
      <c r="O101" s="7">
        <f>IF(A101="","",IF((A101+1)&gt;Model!$B$4,0,MAX(0,Model!$B$6-IF((A101+1)&gt;=Model!$B$11,Model!$B$20,0)-IF(1&lt;Model!$B$15,Model!$B$22,0))/(1-Model!$B$9)/(1+Model!$B$18)^1))</f>
        <v/>
      </c>
      <c r="P101" s="7">
        <f>IF(A101="","",IF((A101+2)&gt;Model!$B$4,0,MAX(0,Model!$B$6-IF((A101+2)&gt;=Model!$B$11,Model!$B$20,0)-IF(2&lt;Model!$B$15,Model!$B$22,0))/(1-Model!$B$9)/(1+Model!$B$18)^2))</f>
        <v/>
      </c>
      <c r="Q101" s="7">
        <f>IF(A101="","",IF((A101+3)&gt;Model!$B$4,0,MAX(0,Model!$B$6-IF((A101+3)&gt;=Model!$B$11,Model!$B$20,0)-IF(3&lt;Model!$B$15,Model!$B$22,0))/(1-Model!$B$9)/(1+Model!$B$18)^3))</f>
        <v/>
      </c>
      <c r="R101" s="7">
        <f>IF(A101="","",IF((A101+4)&gt;Model!$B$4,0,MAX(0,Model!$B$6-IF((A101+4)&gt;=Model!$B$11,Model!$B$20,0)-IF(4&lt;Model!$B$15,Model!$B$22,0))/(1-Model!$B$9)/(1+Model!$B$18)^4))</f>
        <v/>
      </c>
      <c r="S101" s="7">
        <f>IF(A101="","",IF((A101+5)&gt;Model!$B$4,0,MAX(0,Model!$B$6-IF((A101+5)&gt;=Model!$B$11,Model!$B$20,0)-IF(5&lt;Model!$B$15,Model!$B$22,0))/(1-Model!$B$9)/(1+Model!$B$18)^5))</f>
        <v/>
      </c>
      <c r="T101" s="7">
        <f>IF(A101="","",IF((A101+6)&gt;Model!$B$4,0,MAX(0,Model!$B$6-IF((A101+6)&gt;=Model!$B$11,Model!$B$20,0)-IF(6&lt;Model!$B$15,Model!$B$22,0))/(1-Model!$B$9)/(1+Model!$B$18)^6))</f>
        <v/>
      </c>
      <c r="U101" s="7">
        <f>IF(A101="","",IF((A101+7)&gt;Model!$B$4,0,MAX(0,Model!$B$6-IF((A101+7)&gt;=Model!$B$11,Model!$B$20,0)-IF(7&lt;Model!$B$15,Model!$B$22,0))/(1-Model!$B$9)/(1+Model!$B$18)^7))</f>
        <v/>
      </c>
      <c r="V101" s="7">
        <f>IF(A101="","",IF((A101+8)&gt;Model!$B$4,0,MAX(0,Model!$B$6-IF((A101+8)&gt;=Model!$B$11,Model!$B$20,0)-IF(8&lt;Model!$B$15,Model!$B$22,0))/(1-Model!$B$9)/(1+Model!$B$18)^8))</f>
        <v/>
      </c>
      <c r="W101" s="7">
        <f>IF(A101="","",IF((A101+9)&gt;Model!$B$4,0,MAX(0,Model!$B$6-IF((A101+9)&gt;=Model!$B$11,Model!$B$20,0)-IF(9&lt;Model!$B$15,Model!$B$22,0))/(1-Model!$B$9)/(1+Model!$B$18)^9))</f>
        <v/>
      </c>
      <c r="X101" s="7">
        <f>IF(A101="","",IF((A101+10)&gt;Model!$B$4,0,MAX(0,Model!$B$6-IF((A101+10)&gt;=Model!$B$11,Model!$B$20,0)-IF(10&lt;Model!$B$15,Model!$B$22,0))/(1-Model!$B$9)/(1+Model!$B$18)^10))</f>
        <v/>
      </c>
      <c r="Y101" s="7">
        <f>IF(A101="","",IF((A101+11)&gt;Model!$B$4,0,MAX(0,Model!$B$6-IF((A101+11)&gt;=Model!$B$11,Model!$B$20,0)-IF(11&lt;Model!$B$15,Model!$B$22,0))/(1-Model!$B$9)/(1+Model!$B$18)^11))</f>
        <v/>
      </c>
      <c r="Z101" s="7">
        <f>IF(A101="","",IF((A101+12)&gt;Model!$B$4,0,MAX(0,Model!$B$6-IF((A101+12)&gt;=Model!$B$11,Model!$B$20,0)-IF(12&lt;Model!$B$15,Model!$B$22,0))/(1-Model!$B$9)/(1+Model!$B$18)^12))</f>
        <v/>
      </c>
      <c r="AA101" s="7">
        <f>IF(A101="","",IF((A101+13)&gt;Model!$B$4,0,MAX(0,Model!$B$6-IF((A101+13)&gt;=Model!$B$11,Model!$B$20,0)-IF(13&lt;Model!$B$15,Model!$B$22,0))/(1-Model!$B$9)/(1+Model!$B$18)^13))</f>
        <v/>
      </c>
      <c r="AB101" s="7">
        <f>IF(A101="","",IF((A101+14)&gt;Model!$B$4,0,MAX(0,Model!$B$6-IF((A101+14)&gt;=Model!$B$11,Model!$B$20,0)-IF(14&lt;Model!$B$15,Model!$B$22,0))/(1-Model!$B$9)/(1+Model!$B$18)^14))</f>
        <v/>
      </c>
      <c r="AC101" s="7">
        <f>IF(A101="","",IF((A101+15)&gt;Model!$B$4,0,MAX(0,Model!$B$6-IF((A101+15)&gt;=Model!$B$11,Model!$B$20,0)-IF(15&lt;Model!$B$15,Model!$B$22,0))/(1-Model!$B$9)/(1+Model!$B$18)^15))</f>
        <v/>
      </c>
      <c r="AD101" s="7">
        <f>IF(A101="","",IF((A101+16)&gt;Model!$B$4,0,MAX(0,Model!$B$6-IF((A101+16)&gt;=Model!$B$11,Model!$B$20,0)-IF(16&lt;Model!$B$15,Model!$B$22,0))/(1-Model!$B$9)/(1+Model!$B$18)^16))</f>
        <v/>
      </c>
      <c r="AE101" s="7">
        <f>IF(A101="","",IF((A101+17)&gt;Model!$B$4,0,MAX(0,Model!$B$6-IF((A101+17)&gt;=Model!$B$11,Model!$B$20,0)-IF(17&lt;Model!$B$15,Model!$B$22,0))/(1-Model!$B$9)/(1+Model!$B$18)^17))</f>
        <v/>
      </c>
      <c r="AF101" s="7">
        <f>IF(A101="","",IF((A101+18)&gt;Model!$B$4,0,MAX(0,Model!$B$6-IF((A101+18)&gt;=Model!$B$11,Model!$B$20,0)-IF(18&lt;Model!$B$15,Model!$B$22,0))/(1-Model!$B$9)/(1+Model!$B$18)^18))</f>
        <v/>
      </c>
      <c r="AG101" s="7">
        <f>IF(A101="","",IF((A101+19)&gt;Model!$B$4,0,MAX(0,Model!$B$6-IF((A101+19)&gt;=Model!$B$11,Model!$B$20,0)-IF(19&lt;Model!$B$15,Model!$B$22,0))/(1-Model!$B$9)/(1+Model!$B$18)^19))</f>
        <v/>
      </c>
      <c r="AH101" s="7">
        <f>IF(A101="","",IF((A101+20)&gt;Model!$B$4,0,MAX(0,Model!$B$6-IF((A101+20)&gt;=Model!$B$11,Model!$B$20,0)-IF(20&lt;Model!$B$15,Model!$B$22,0))/(1-Model!$B$9)/(1+Model!$B$18)^20))</f>
        <v/>
      </c>
      <c r="AI101" s="7">
        <f>IF(A101="","",IF((A101+21)&gt;Model!$B$4,0,MAX(0,Model!$B$6-IF((A101+21)&gt;=Model!$B$11,Model!$B$20,0)-IF(21&lt;Model!$B$15,Model!$B$22,0))/(1-Model!$B$9)/(1+Model!$B$18)^21))</f>
        <v/>
      </c>
      <c r="AJ101" s="7">
        <f>IF(A101="","",IF((A101+22)&gt;Model!$B$4,0,MAX(0,Model!$B$6-IF((A101+22)&gt;=Model!$B$11,Model!$B$20,0)-IF(22&lt;Model!$B$15,Model!$B$22,0))/(1-Model!$B$9)/(1+Model!$B$18)^22))</f>
        <v/>
      </c>
      <c r="AK101" s="7">
        <f>IF(A101="","",IF((A101+23)&gt;Model!$B$4,0,MAX(0,Model!$B$6-IF((A101+23)&gt;=Model!$B$11,Model!$B$20,0)-IF(23&lt;Model!$B$15,Model!$B$22,0))/(1-Model!$B$9)/(1+Model!$B$18)^23))</f>
        <v/>
      </c>
      <c r="AL101" s="7">
        <f>IF(A101="","",IF((A101+24)&gt;Model!$B$4,0,MAX(0,Model!$B$6-IF((A101+24)&gt;=Model!$B$11,Model!$B$20,0)-IF(24&lt;Model!$B$15,Model!$B$22,0))/(1-Model!$B$9)/(1+Model!$B$18)^24))</f>
        <v/>
      </c>
      <c r="AM101" s="7">
        <f>IF(A101="","",IF((A101+25)&gt;Model!$B$4,0,MAX(0,Model!$B$6-IF((A101+25)&gt;=Model!$B$11,Model!$B$20,0)-IF(25&lt;Model!$B$15,Model!$B$22,0))/(1-Model!$B$9)/(1+Model!$B$18)^25))</f>
        <v/>
      </c>
      <c r="AN101" s="7">
        <f>IF(A101="","",IF((A101+26)&gt;Model!$B$4,0,MAX(0,Model!$B$6-IF((A101+26)&gt;=Model!$B$11,Model!$B$20,0)-IF(26&lt;Model!$B$15,Model!$B$22,0))/(1-Model!$B$9)/(1+Model!$B$18)^26))</f>
        <v/>
      </c>
      <c r="AO101" s="7">
        <f>IF(A101="","",IF((A101+27)&gt;Model!$B$4,0,MAX(0,Model!$B$6-IF((A101+27)&gt;=Model!$B$11,Model!$B$20,0)-IF(27&lt;Model!$B$15,Model!$B$22,0))/(1-Model!$B$9)/(1+Model!$B$18)^27))</f>
        <v/>
      </c>
      <c r="AP101" s="7">
        <f>IF(A101="","",IF((A101+28)&gt;Model!$B$4,0,MAX(0,Model!$B$6-IF((A101+28)&gt;=Model!$B$11,Model!$B$20,0)-IF(28&lt;Model!$B$15,Model!$B$22,0))/(1-Model!$B$9)/(1+Model!$B$18)^28))</f>
        <v/>
      </c>
      <c r="AQ101" s="7">
        <f>IF(A101="","",IF((A101+29)&gt;Model!$B$4,0,MAX(0,Model!$B$6-IF((A101+29)&gt;=Model!$B$11,Model!$B$20,0)-IF(29&lt;Model!$B$15,Model!$B$22,0))/(1-Model!$B$9)/(1+Model!$B$18)^29))</f>
        <v/>
      </c>
      <c r="AR101" s="7">
        <f>IF(A101="","",IF((A101+30)&gt;Model!$B$4,0,MAX(0,Model!$B$6-IF((A101+30)&gt;=Model!$B$11,Model!$B$20,0)-IF(30&lt;Model!$B$15,Model!$B$22,0))/(1-Model!$B$9)/(1+Model!$B$18)^30))</f>
        <v/>
      </c>
      <c r="AS101" s="7">
        <f>IF(A101="","",IF((A101+31)&gt;Model!$B$4,0,MAX(0,Model!$B$6-IF((A101+31)&gt;=Model!$B$11,Model!$B$20,0)-IF(31&lt;Model!$B$15,Model!$B$22,0))/(1-Model!$B$9)/(1+Model!$B$18)^31))</f>
        <v/>
      </c>
      <c r="AT101" s="7">
        <f>IF(A101="","",IF((A101+32)&gt;Model!$B$4,0,MAX(0,Model!$B$6-IF((A101+32)&gt;=Model!$B$11,Model!$B$20,0)-IF(32&lt;Model!$B$15,Model!$B$22,0))/(1-Model!$B$9)/(1+Model!$B$18)^32))</f>
        <v/>
      </c>
      <c r="AU101" s="7">
        <f>IF(A101="","",IF((A101+33)&gt;Model!$B$4,0,MAX(0,Model!$B$6-IF((A101+33)&gt;=Model!$B$11,Model!$B$20,0)-IF(33&lt;Model!$B$15,Model!$B$22,0))/(1-Model!$B$9)/(1+Model!$B$18)^33))</f>
        <v/>
      </c>
      <c r="AV101" s="7">
        <f>IF(A101="","",IF((A101+34)&gt;Model!$B$4,0,MAX(0,Model!$B$6-IF((A101+34)&gt;=Model!$B$11,Model!$B$20,0)-IF(34&lt;Model!$B$15,Model!$B$22,0))/(1-Model!$B$9)/(1+Model!$B$18)^34))</f>
        <v/>
      </c>
      <c r="AW101" s="7">
        <f>IF(A101="","",IF((A101+35)&gt;Model!$B$4,0,MAX(0,Model!$B$6-IF((A101+35)&gt;=Model!$B$11,Model!$B$20,0)-IF(35&lt;Model!$B$15,Model!$B$22,0))/(1-Model!$B$9)/(1+Model!$B$18)^35))</f>
        <v/>
      </c>
      <c r="AX101" s="7">
        <f>IF(A101="","",IF((A101+36)&gt;Model!$B$4,0,MAX(0,Model!$B$6-IF((A101+36)&gt;=Model!$B$11,Model!$B$20,0)-IF(36&lt;Model!$B$15,Model!$B$22,0))/(1-Model!$B$9)/(1+Model!$B$18)^36))</f>
        <v/>
      </c>
      <c r="AY101" s="7">
        <f>IF(A101="","",IF((A101+37)&gt;Model!$B$4,0,MAX(0,Model!$B$6-IF((A101+37)&gt;=Model!$B$11,Model!$B$20,0)-IF(37&lt;Model!$B$15,Model!$B$22,0))/(1-Model!$B$9)/(1+Model!$B$18)^37))</f>
        <v/>
      </c>
      <c r="AZ101" s="7">
        <f>IF(A101="","",IF((A101+38)&gt;Model!$B$4,0,MAX(0,Model!$B$6-IF((A101+38)&gt;=Model!$B$11,Model!$B$20,0)-IF(38&lt;Model!$B$15,Model!$B$22,0))/(1-Model!$B$9)/(1+Model!$B$18)^38))</f>
        <v/>
      </c>
      <c r="BA101" s="7">
        <f>IF(A101="","",IF((A101+39)&gt;Model!$B$4,0,MAX(0,Model!$B$6-IF((A101+39)&gt;=Model!$B$11,Model!$B$20,0)-IF(39&lt;Model!$B$15,Model!$B$22,0))/(1-Model!$B$9)/(1+Model!$B$18)^39))</f>
        <v/>
      </c>
      <c r="BB101" s="7">
        <f>IF(A101="","",IF((A101+40)&gt;Model!$B$4,0,MAX(0,Model!$B$6-IF((A101+40)&gt;=Model!$B$11,Model!$B$20,0)-IF(40&lt;Model!$B$15,Model!$B$22,0))/(1-Model!$B$9)/(1+Model!$B$18)^40))</f>
        <v/>
      </c>
      <c r="BC101" s="7">
        <f>IF(A101="","",IF((A101+41)&gt;Model!$B$4,0,MAX(0,Model!$B$6-IF((A101+41)&gt;=Model!$B$11,Model!$B$20,0)-IF(41&lt;Model!$B$15,Model!$B$22,0))/(1-Model!$B$9)/(1+Model!$B$18)^41))</f>
        <v/>
      </c>
      <c r="BD101" s="7">
        <f>IF(A101="","",IF((A101+42)&gt;Model!$B$4,0,MAX(0,Model!$B$6-IF((A101+42)&gt;=Model!$B$11,Model!$B$20,0)-IF(42&lt;Model!$B$15,Model!$B$22,0))/(1-Model!$B$9)/(1+Model!$B$18)^42))</f>
        <v/>
      </c>
      <c r="BE101" s="7">
        <f>IF(A101="","",IF((A101+43)&gt;Model!$B$4,0,MAX(0,Model!$B$6-IF((A101+43)&gt;=Model!$B$11,Model!$B$20,0)-IF(43&lt;Model!$B$15,Model!$B$22,0))/(1-Model!$B$9)/(1+Model!$B$18)^43))</f>
        <v/>
      </c>
      <c r="BF101" s="7">
        <f>IF(A101="","",IF((A101+44)&gt;Model!$B$4,0,MAX(0,Model!$B$6-IF((A101+44)&gt;=Model!$B$11,Model!$B$20,0)-IF(44&lt;Model!$B$15,Model!$B$22,0))/(1-Model!$B$9)/(1+Model!$B$18)^44))</f>
        <v/>
      </c>
      <c r="BG101" s="7">
        <f>IF(A101="","",IF((A101+45)&gt;Model!$B$4,0,MAX(0,Model!$B$6-IF((A101+45)&gt;=Model!$B$11,Model!$B$20,0)-IF(45&lt;Model!$B$15,Model!$B$22,0))/(1-Model!$B$9)/(1+Model!$B$18)^45))</f>
        <v/>
      </c>
      <c r="BH101" s="7">
        <f>IF(A101="","",IF((A101+46)&gt;Model!$B$4,0,MAX(0,Model!$B$6-IF((A101+46)&gt;=Model!$B$11,Model!$B$20,0)-IF(46&lt;Model!$B$15,Model!$B$22,0))/(1-Model!$B$9)/(1+Model!$B$18)^46))</f>
        <v/>
      </c>
      <c r="BI101" s="7">
        <f>IF(A101="","",IF((A101+47)&gt;Model!$B$4,0,MAX(0,Model!$B$6-IF((A101+47)&gt;=Model!$B$11,Model!$B$20,0)-IF(47&lt;Model!$B$15,Model!$B$22,0))/(1-Model!$B$9)/(1+Model!$B$18)^47))</f>
        <v/>
      </c>
      <c r="BJ101" s="7">
        <f>IF(A101="","",IF((A101+48)&gt;Model!$B$4,0,MAX(0,Model!$B$6-IF((A101+48)&gt;=Model!$B$11,Model!$B$20,0)-IF(48&lt;Model!$B$15,Model!$B$22,0))/(1-Model!$B$9)/(1+Model!$B$18)^48))</f>
        <v/>
      </c>
      <c r="BK101" s="7">
        <f>IF(A101="","",IF((A101+49)&gt;Model!$B$4,0,MAX(0,Model!$B$6-IF((A101+49)&gt;=Model!$B$11,Model!$B$20,0)-IF(49&lt;Model!$B$15,Model!$B$22,0))/(1-Model!$B$9)/(1+Model!$B$18)^49))</f>
        <v/>
      </c>
      <c r="BL101" s="7">
        <f>IF(A101="","",IF((A101+50)&gt;Model!$B$4,0,MAX(0,Model!$B$6-IF((A101+50)&gt;=Model!$B$11,Model!$B$20,0)-IF(50&lt;Model!$B$15,Model!$B$22,0))/(1-Model!$B$9)/(1+Model!$B$18)^50))</f>
        <v/>
      </c>
      <c r="BM101" s="7">
        <f>IF(A101="","",IF((A101+51)&gt;Model!$B$4,0,MAX(0,Model!$B$6-IF((A101+51)&gt;=Model!$B$11,Model!$B$20,0)-IF(51&lt;Model!$B$15,Model!$B$22,0))/(1-Model!$B$9)/(1+Model!$B$18)^51))</f>
        <v/>
      </c>
      <c r="BN101" s="7">
        <f>IF(A101="","",IF((A101+52)&gt;Model!$B$4,0,MAX(0,Model!$B$6-IF((A101+52)&gt;=Model!$B$11,Model!$B$20,0)-IF(52&lt;Model!$B$15,Model!$B$22,0))/(1-Model!$B$9)/(1+Model!$B$18)^52))</f>
        <v/>
      </c>
      <c r="BO101" s="7">
        <f>IF(A101="","",IF((A101+53)&gt;Model!$B$4,0,MAX(0,Model!$B$6-IF((A101+53)&gt;=Model!$B$11,Model!$B$20,0)-IF(53&lt;Model!$B$15,Model!$B$22,0))/(1-Model!$B$9)/(1+Model!$B$18)^53))</f>
        <v/>
      </c>
      <c r="BP101" s="7">
        <f>IF(A101="","",IF((A101+54)&gt;Model!$B$4,0,MAX(0,Model!$B$6-IF((A101+54)&gt;=Model!$B$11,Model!$B$20,0)-IF(54&lt;Model!$B$15,Model!$B$22,0))/(1-Model!$B$9)/(1+Model!$B$18)^54))</f>
        <v/>
      </c>
      <c r="BQ101" s="7">
        <f>IF(A101="","",IF((A101+55)&gt;Model!$B$4,0,MAX(0,Model!$B$6-IF((A101+55)&gt;=Model!$B$11,Model!$B$20,0)-IF(55&lt;Model!$B$15,Model!$B$22,0))/(1-Model!$B$9)/(1+Model!$B$18)^55))</f>
        <v/>
      </c>
      <c r="BR101" s="7">
        <f>IF(A101="","",IF((A101+56)&gt;Model!$B$4,0,MAX(0,Model!$B$6-IF((A101+56)&gt;=Model!$B$11,Model!$B$20,0)-IF(56&lt;Model!$B$15,Model!$B$22,0))/(1-Model!$B$9)/(1+Model!$B$18)^56))</f>
        <v/>
      </c>
      <c r="BS101" s="7">
        <f>IF(A101="","",IF((A101+57)&gt;Model!$B$4,0,MAX(0,Model!$B$6-IF((A101+57)&gt;=Model!$B$11,Model!$B$20,0)-IF(57&lt;Model!$B$15,Model!$B$22,0))/(1-Model!$B$9)/(1+Model!$B$18)^57))</f>
        <v/>
      </c>
      <c r="BT101" s="7">
        <f>IF(A101="","",IF((A101+58)&gt;Model!$B$4,0,MAX(0,Model!$B$6-IF((A101+58)&gt;=Model!$B$11,Model!$B$20,0)-IF(58&lt;Model!$B$15,Model!$B$22,0))/(1-Model!$B$9)/(1+Model!$B$18)^58))</f>
        <v/>
      </c>
      <c r="BU101" s="7">
        <f>IF(A101="","",IF((A101+59)&gt;Model!$B$4,0,MAX(0,Model!$B$6-IF((A101+59)&gt;=Model!$B$11,Model!$B$20,0)-IF(59&lt;Model!$B$15,Model!$B$22,0))/(1-Model!$B$9)/(1+Model!$B$18)^59))</f>
        <v/>
      </c>
      <c r="BV101" s="7">
        <f>IF(A101="","",IF((A101+60)&gt;Model!$B$4,0,MAX(0,Model!$B$6-IF((A101+60)&gt;=Model!$B$11,Model!$B$20,0)-IF(60&lt;Model!$B$15,Model!$B$22,0))/(1-Model!$B$9)/(1+Model!$B$18)^60))</f>
        <v/>
      </c>
      <c r="BW101" s="7">
        <f>IF(A101="","",IF((A101+61)&gt;Model!$B$4,0,MAX(0,Model!$B$6-IF((A101+61)&gt;=Model!$B$11,Model!$B$20,0)-IF(61&lt;Model!$B$15,Model!$B$22,0))/(1-Model!$B$9)/(1+Model!$B$18)^61))</f>
        <v/>
      </c>
      <c r="BX101" s="7">
        <f>IF(A101="","",IF((A101+62)&gt;Model!$B$4,0,MAX(0,Model!$B$6-IF((A101+62)&gt;=Model!$B$11,Model!$B$20,0)-IF(62&lt;Model!$B$15,Model!$B$22,0))/(1-Model!$B$9)/(1+Model!$B$18)^62))</f>
        <v/>
      </c>
      <c r="BY101" s="7">
        <f>IF(A101="","",IF((A101+63)&gt;Model!$B$4,0,MAX(0,Model!$B$6-IF((A101+63)&gt;=Model!$B$11,Model!$B$20,0)-IF(63&lt;Model!$B$15,Model!$B$22,0))/(1-Model!$B$9)/(1+Model!$B$18)^63))</f>
        <v/>
      </c>
      <c r="BZ101" s="7">
        <f>IF(A101="","",IF((A101+64)&gt;Model!$B$4,0,MAX(0,Model!$B$6-IF((A101+64)&gt;=Model!$B$11,Model!$B$20,0)-IF(64&lt;Model!$B$15,Model!$B$22,0))/(1-Model!$B$9)/(1+Model!$B$18)^64))</f>
        <v/>
      </c>
      <c r="CA101" s="7">
        <f>IF(A101="","",IF((A101+65)&gt;Model!$B$4,0,MAX(0,Model!$B$6-IF((A101+65)&gt;=Model!$B$11,Model!$B$20,0)-IF(65&lt;Model!$B$15,Model!$B$22,0))/(1-Model!$B$9)/(1+Model!$B$18)^65))</f>
        <v/>
      </c>
      <c r="CB101" s="7">
        <f>IF(A101="","",IF((A101+66)&gt;Model!$B$4,0,MAX(0,Model!$B$6-IF((A101+66)&gt;=Model!$B$11,Model!$B$20,0)-IF(66&lt;Model!$B$15,Model!$B$22,0))/(1-Model!$B$9)/(1+Model!$B$18)^66))</f>
        <v/>
      </c>
      <c r="CC101" s="7">
        <f>IF(A101="","",IF((A101+67)&gt;Model!$B$4,0,MAX(0,Model!$B$6-IF((A101+67)&gt;=Model!$B$11,Model!$B$20,0)-IF(67&lt;Model!$B$15,Model!$B$22,0))/(1-Model!$B$9)/(1+Model!$B$18)^67))</f>
        <v/>
      </c>
      <c r="CD101" s="7">
        <f>IF(A101="","",IF((A101+68)&gt;Model!$B$4,0,MAX(0,Model!$B$6-IF((A101+68)&gt;=Model!$B$11,Model!$B$20,0)-IF(68&lt;Model!$B$15,Model!$B$22,0))/(1-Model!$B$9)/(1+Model!$B$18)^68))</f>
        <v/>
      </c>
      <c r="CE101" s="7">
        <f>IF(A101="","",IF((A101+69)&gt;Model!$B$4,0,MAX(0,Model!$B$6-IF((A101+69)&gt;=Model!$B$11,Model!$B$20,0)-IF(69&lt;Model!$B$15,Model!$B$22,0))/(1-Model!$B$9)/(1+Model!$B$18)^69))</f>
        <v/>
      </c>
      <c r="CF101" s="7">
        <f>IF(A101="","",IF((A101+70)&gt;Model!$B$4,0,MAX(0,Model!$B$6-IF((A101+70)&gt;=Model!$B$11,Model!$B$20,0)-IF(70&lt;Model!$B$15,Model!$B$22,0))/(1-Model!$B$9)/(1+Model!$B$18)^70))</f>
        <v/>
      </c>
      <c r="CG101" s="7">
        <f>IF(A101="","",IF((A101+71)&gt;Model!$B$4,0,MAX(0,Model!$B$6-IF((A101+71)&gt;=Model!$B$11,Model!$B$20,0)-IF(71&lt;Model!$B$15,Model!$B$22,0))/(1-Model!$B$9)/(1+Model!$B$18)^71))</f>
        <v/>
      </c>
      <c r="CH101" s="7">
        <f>IF(A101="","",IF((A101+72)&gt;Model!$B$4,0,MAX(0,Model!$B$6-IF((A101+72)&gt;=Model!$B$11,Model!$B$20,0)-IF(72&lt;Model!$B$15,Model!$B$22,0))/(1-Model!$B$9)/(1+Model!$B$18)^72))</f>
        <v/>
      </c>
      <c r="CI101" s="7">
        <f>IF(A101="","",IF((A101+73)&gt;Model!$B$4,0,MAX(0,Model!$B$6-IF((A101+73)&gt;=Model!$B$11,Model!$B$20,0)-IF(73&lt;Model!$B$15,Model!$B$22,0))/(1-Model!$B$9)/(1+Model!$B$18)^73))</f>
        <v/>
      </c>
      <c r="CJ101" s="7">
        <f>IF(A101="","",IF((A101+74)&gt;Model!$B$4,0,MAX(0,Model!$B$6-IF((A101+74)&gt;=Model!$B$11,Model!$B$20,0)-IF(74&lt;Model!$B$15,Model!$B$22,0))/(1-Model!$B$9)/(1+Model!$B$18)^74))</f>
        <v/>
      </c>
      <c r="CK101" s="7">
        <f>IF(A101="","",IF((A101+75)&gt;Model!$B$4,0,MAX(0,Model!$B$6-IF((A101+75)&gt;=Model!$B$11,Model!$B$20,0)-IF(75&lt;Model!$B$15,Model!$B$22,0))/(1-Model!$B$9)/(1+Model!$B$18)^75))</f>
        <v/>
      </c>
      <c r="CL101" s="7">
        <f>IF(A101="","",IF((A101+76)&gt;Model!$B$4,0,MAX(0,Model!$B$6-IF((A101+76)&gt;=Model!$B$11,Model!$B$20,0)-IF(76&lt;Model!$B$15,Model!$B$22,0))/(1-Model!$B$9)/(1+Model!$B$18)^76))</f>
        <v/>
      </c>
      <c r="CM101" s="7">
        <f>IF(A101="","",IF((A101+77)&gt;Model!$B$4,0,MAX(0,Model!$B$6-IF((A101+77)&gt;=Model!$B$11,Model!$B$20,0)-IF(77&lt;Model!$B$15,Model!$B$22,0))/(1-Model!$B$9)/(1+Model!$B$18)^77))</f>
        <v/>
      </c>
      <c r="CN101" s="7">
        <f>IF(A101="","",IF((A101+78)&gt;Model!$B$4,0,MAX(0,Model!$B$6-IF((A101+78)&gt;=Model!$B$11,Model!$B$20,0)-IF(78&lt;Model!$B$15,Model!$B$22,0))/(1-Model!$B$9)/(1+Model!$B$18)^78))</f>
        <v/>
      </c>
      <c r="CO101" s="7">
        <f>IF(A101="","",IF((A101+79)&gt;Model!$B$4,0,MAX(0,Model!$B$6-IF((A101+79)&gt;=Model!$B$11,Model!$B$20,0)-IF(79&lt;Model!$B$15,Model!$B$22,0))/(1-Model!$B$9)/(1+Model!$B$18)^79))</f>
        <v/>
      </c>
      <c r="CP101" s="7">
        <f>IF(A101="","",IF((A101+80)&gt;Model!$B$4,0,MAX(0,Model!$B$6-IF((A101+80)&gt;=Model!$B$11,Model!$B$20,0)-IF(80&lt;Model!$B$15,Model!$B$22,0))/(1-Model!$B$9)/(1+Model!$B$18)^80))</f>
        <v/>
      </c>
      <c r="CQ101" s="7">
        <f>IF(A101="","",IF((A101+81)&gt;Model!$B$4,0,MAX(0,Model!$B$6-IF((A101+81)&gt;=Model!$B$11,Model!$B$20,0)-IF(81&lt;Model!$B$15,Model!$B$22,0))/(1-Model!$B$9)/(1+Model!$B$18)^81))</f>
        <v/>
      </c>
      <c r="CR101" s="7">
        <f>IF(A101="","",IF((A101+82)&gt;Model!$B$4,0,MAX(0,Model!$B$6-IF((A101+82)&gt;=Model!$B$11,Model!$B$20,0)-IF(82&lt;Model!$B$15,Model!$B$22,0))/(1-Model!$B$9)/(1+Model!$B$18)^82))</f>
        <v/>
      </c>
      <c r="CS101" s="7">
        <f>IF(A101="","",IF((A101+83)&gt;Model!$B$4,0,MAX(0,Model!$B$6-IF((A101+83)&gt;=Model!$B$11,Model!$B$20,0)-IF(83&lt;Model!$B$15,Model!$B$22,0))/(1-Model!$B$9)/(1+Model!$B$18)^83))</f>
        <v/>
      </c>
      <c r="CT101" s="7">
        <f>IF(A101="","",IF((A101+84)&gt;Model!$B$4,0,MAX(0,Model!$B$6-IF((A101+84)&gt;=Model!$B$11,Model!$B$20,0)-IF(84&lt;Model!$B$15,Model!$B$22,0))/(1-Model!$B$9)/(1+Model!$B$18)^84))</f>
        <v/>
      </c>
      <c r="CU101" s="7">
        <f>IF(A101="","",IF((A101+85)&gt;Model!$B$4,0,MAX(0,Model!$B$6-IF((A101+85)&gt;=Model!$B$11,Model!$B$20,0)-IF(85&lt;Model!$B$15,Model!$B$22,0))/(1-Model!$B$9)/(1+Model!$B$18)^85))</f>
        <v/>
      </c>
      <c r="CV101" s="7">
        <f>IF(A101="","",IF((A101+86)&gt;Model!$B$4,0,MAX(0,Model!$B$6-IF((A101+86)&gt;=Model!$B$11,Model!$B$20,0)-IF(86&lt;Model!$B$15,Model!$B$22,0))/(1-Model!$B$9)/(1+Model!$B$18)^86))</f>
        <v/>
      </c>
      <c r="CW101" s="7">
        <f>IF(A101="","",IF((A101+87)&gt;Model!$B$4,0,MAX(0,Model!$B$6-IF((A101+87)&gt;=Model!$B$11,Model!$B$20,0)-IF(87&lt;Model!$B$15,Model!$B$22,0))/(1-Model!$B$9)/(1+Model!$B$18)^87))</f>
        <v/>
      </c>
      <c r="CX101" s="7">
        <f>IF(A101="","",IF((A101+88)&gt;Model!$B$4,0,MAX(0,Model!$B$6-IF((A101+88)&gt;=Model!$B$11,Model!$B$20,0)-IF(88&lt;Model!$B$15,Model!$B$22,0))/(1-Model!$B$9)/(1+Model!$B$18)^88))</f>
        <v/>
      </c>
      <c r="CY101" s="7">
        <f>IF(A101="","",IF((A101+89)&gt;Model!$B$4,0,MAX(0,Model!$B$6-IF((A101+89)&gt;=Model!$B$11,Model!$B$20,0)-IF(89&lt;Model!$B$15,Model!$B$22,0))/(1-Model!$B$9)/(1+Model!$B$18)^89))</f>
        <v/>
      </c>
      <c r="CZ101" s="7">
        <f>IF(A101="","",IF((A101+90)&gt;Model!$B$4,0,MAX(0,Model!$B$6-IF((A101+90)&gt;=Model!$B$11,Model!$B$20,0)-IF(90&lt;Model!$B$15,Model!$B$22,0))/(1-Model!$B$9)/(1+Model!$B$18)^90))</f>
        <v/>
      </c>
      <c r="DA101" s="7">
        <f>IF(A101="","",IF((A101+91)&gt;Model!$B$4,0,MAX(0,Model!$B$6-IF((A101+91)&gt;=Model!$B$11,Model!$B$20,0)-IF(91&lt;Model!$B$15,Model!$B$22,0))/(1-Model!$B$9)/(1+Model!$B$18)^91))</f>
        <v/>
      </c>
      <c r="DB101" s="7">
        <f>IF(A101="","",IF((A101+92)&gt;Model!$B$4,0,MAX(0,Model!$B$6-IF((A101+92)&gt;=Model!$B$11,Model!$B$20,0)-IF(92&lt;Model!$B$15,Model!$B$22,0))/(1-Model!$B$9)/(1+Model!$B$18)^92))</f>
        <v/>
      </c>
      <c r="DC101" s="7">
        <f>IF(A101="","",IF((A101+93)&gt;Model!$B$4,0,MAX(0,Model!$B$6-IF((A101+93)&gt;=Model!$B$11,Model!$B$20,0)-IF(93&lt;Model!$B$15,Model!$B$22,0))/(1-Model!$B$9)/(1+Model!$B$18)^93))</f>
        <v/>
      </c>
      <c r="DD101" s="7">
        <f>IF(A101="","",IF((A101+94)&gt;Model!$B$4,0,MAX(0,Model!$B$6-IF((A101+94)&gt;=Model!$B$11,Model!$B$20,0)-IF(94&lt;Model!$B$15,Model!$B$22,0))/(1-Model!$B$9)/(1+Model!$B$18)^94))</f>
        <v/>
      </c>
      <c r="DE101" s="7">
        <f>IF(A101="","",IF((A101+95)&gt;Model!$B$4,0,MAX(0,Model!$B$6-IF((A101+95)&gt;=Model!$B$11,Model!$B$20,0)-IF(95&lt;Model!$B$15,Model!$B$22,0))/(1-Model!$B$9)/(1+Model!$B$18)^95))</f>
        <v/>
      </c>
      <c r="DF101" s="7">
        <f>IF(A101="","",IF((A101+96)&gt;Model!$B$4,0,MAX(0,Model!$B$6-IF((A101+96)&gt;=Model!$B$11,Model!$B$20,0)-IF(96&lt;Model!$B$15,Model!$B$22,0))/(1-Model!$B$9)/(1+Model!$B$18)^96))</f>
        <v/>
      </c>
      <c r="DG101" s="7">
        <f>IF(A101="","",IF((A101+97)&gt;Model!$B$4,0,MAX(0,Model!$B$6-IF((A101+97)&gt;=Model!$B$11,Model!$B$20,0)-IF(97&lt;Model!$B$15,Model!$B$22,0))/(1-Model!$B$9)/(1+Model!$B$18)^97))</f>
        <v/>
      </c>
      <c r="DH101" s="7">
        <f>IF(A101="","",IF((A101+98)&gt;Model!$B$4,0,MAX(0,Model!$B$6-IF((A101+98)&gt;=Model!$B$11,Model!$B$20,0)-IF(98&lt;Model!$B$15,Model!$B$22,0))/(1-Model!$B$9)/(1+Model!$B$18)^98))</f>
        <v/>
      </c>
      <c r="DI101" s="7">
        <f>IF(A101="","",IF((A101+99)&gt;Model!$B$4,0,MAX(0,Model!$B$6-IF((A101+99)&gt;=Model!$B$11,Model!$B$20,0)-IF(99&lt;Model!$B$15,Model!$B$22,0))/(1-Model!$B$9)/(1+Model!$B$18)^99))</f>
        <v/>
      </c>
      <c r="DJ101" s="7">
        <f>IF(A101="","",IF((A101+100)&gt;Model!$B$4,0,MAX(0,Model!$B$6-IF((A101+100)&gt;=Model!$B$11,Model!$B$20,0)-IF(100&lt;Model!$B$15,Model!$B$22,0))/(1-Model!$B$9)/(1+Model!$B$18)^100))</f>
        <v/>
      </c>
      <c r="DK101" s="7">
        <f>IF(A101="","",IF((A101+101)&gt;Model!$B$4,0,MAX(0,Model!$B$6-IF((A101+101)&gt;=Model!$B$11,Model!$B$20,0)-IF(101&lt;Model!$B$15,Model!$B$22,0))/(1-Model!$B$9)/(1+Model!$B$18)^101))</f>
        <v/>
      </c>
      <c r="DL101" s="7">
        <f>IF(A101="","",IF((A101+102)&gt;Model!$B$4,0,MAX(0,Model!$B$6-IF((A101+102)&gt;=Model!$B$11,Model!$B$20,0)-IF(102&lt;Model!$B$15,Model!$B$22,0))/(1-Model!$B$9)/(1+Model!$B$18)^102))</f>
        <v/>
      </c>
      <c r="DM101" s="7">
        <f>IF(A101="","",IF((A101+103)&gt;Model!$B$4,0,MAX(0,Model!$B$6-IF((A101+103)&gt;=Model!$B$11,Model!$B$20,0)-IF(103&lt;Model!$B$15,Model!$B$22,0))/(1-Model!$B$9)/(1+Model!$B$18)^103))</f>
        <v/>
      </c>
      <c r="DN101" s="7">
        <f>IF(A101="","",IF((A101+104)&gt;Model!$B$4,0,MAX(0,Model!$B$6-IF((A101+104)&gt;=Model!$B$11,Model!$B$20,0)-IF(104&lt;Model!$B$15,Model!$B$22,0))/(1-Model!$B$9)/(1+Model!$B$18)^104))</f>
        <v/>
      </c>
      <c r="DO101" s="7">
        <f>IF(A101="","",IF((A101+105)&gt;Model!$B$4,0,MAX(0,Model!$B$6-IF((A101+105)&gt;=Model!$B$11,Model!$B$20,0)-IF(105&lt;Model!$B$15,Model!$B$22,0))/(1-Model!$B$9)/(1+Model!$B$18)^105))</f>
        <v/>
      </c>
      <c r="DP101" s="7">
        <f>IF(A101="","",IF((A101+106)&gt;Model!$B$4,0,MAX(0,Model!$B$6-IF((A101+106)&gt;=Model!$B$11,Model!$B$20,0)-IF(106&lt;Model!$B$15,Model!$B$22,0))/(1-Model!$B$9)/(1+Model!$B$18)^106))</f>
        <v/>
      </c>
      <c r="DQ101" s="7">
        <f>IF(A101="","",IF((A101+107)&gt;Model!$B$4,0,MAX(0,Model!$B$6-IF((A101+107)&gt;=Model!$B$11,Model!$B$20,0)-IF(107&lt;Model!$B$15,Model!$B$22,0))/(1-Model!$B$9)/(1+Model!$B$18)^107))</f>
        <v/>
      </c>
      <c r="DR101" s="7">
        <f>IF(A101="","",IF((A101+108)&gt;Model!$B$4,0,MAX(0,Model!$B$6-IF((A101+108)&gt;=Model!$B$11,Model!$B$20,0)-IF(108&lt;Model!$B$15,Model!$B$22,0))/(1-Model!$B$9)/(1+Model!$B$18)^108))</f>
        <v/>
      </c>
      <c r="DS101" s="7">
        <f>IF(A101="","",IF((A101+109)&gt;Model!$B$4,0,MAX(0,Model!$B$6-IF((A101+109)&gt;=Model!$B$11,Model!$B$20,0)-IF(109&lt;Model!$B$15,Model!$B$22,0))/(1-Model!$B$9)/(1+Model!$B$18)^109))</f>
        <v/>
      </c>
      <c r="DT101" s="7">
        <f>IF(A101="","",IF((A101+110)&gt;Model!$B$4,0,MAX(0,Model!$B$6-IF((A101+110)&gt;=Model!$B$11,Model!$B$20,0)-IF(110&lt;Model!$B$15,Model!$B$22,0))/(1-Model!$B$9)/(1+Model!$B$18)^110))</f>
        <v/>
      </c>
      <c r="DU101" s="7">
        <f>IF(A101="","",IF((A101+111)&gt;Model!$B$4,0,MAX(0,Model!$B$6-IF((A101+111)&gt;=Model!$B$11,Model!$B$20,0)-IF(111&lt;Model!$B$15,Model!$B$22,0))/(1-Model!$B$9)/(1+Model!$B$18)^111))</f>
        <v/>
      </c>
      <c r="DV101" s="7">
        <f>IF(A101="","",IF((A101+112)&gt;Model!$B$4,0,MAX(0,Model!$B$6-IF((A101+112)&gt;=Model!$B$11,Model!$B$20,0)-IF(112&lt;Model!$B$15,Model!$B$22,0))/(1-Model!$B$9)/(1+Model!$B$18)^112))</f>
        <v/>
      </c>
      <c r="DW101" s="7">
        <f>IF(A101="","",IF((A101+113)&gt;Model!$B$4,0,MAX(0,Model!$B$6-IF((A101+113)&gt;=Model!$B$11,Model!$B$20,0)-IF(113&lt;Model!$B$15,Model!$B$22,0))/(1-Model!$B$9)/(1+Model!$B$18)^113))</f>
        <v/>
      </c>
      <c r="DX101" s="7">
        <f>IF(A101="","",IF((A101+114)&gt;Model!$B$4,0,MAX(0,Model!$B$6-IF((A101+114)&gt;=Model!$B$11,Model!$B$20,0)-IF(114&lt;Model!$B$15,Model!$B$22,0))/(1-Model!$B$9)/(1+Model!$B$18)^114))</f>
        <v/>
      </c>
      <c r="DY101" s="7">
        <f>IF(A101="","",IF((A101+115)&gt;Model!$B$4,0,MAX(0,Model!$B$6-IF((A101+115)&gt;=Model!$B$11,Model!$B$20,0)-IF(115&lt;Model!$B$15,Model!$B$22,0))/(1-Model!$B$9)/(1+Model!$B$18)^115))</f>
        <v/>
      </c>
      <c r="DZ101" s="7">
        <f>IF(A101="","",IF((A101+116)&gt;Model!$B$4,0,MAX(0,Model!$B$6-IF((A101+116)&gt;=Model!$B$11,Model!$B$20,0)-IF(116&lt;Model!$B$15,Model!$B$22,0))/(1-Model!$B$9)/(1+Model!$B$18)^116))</f>
        <v/>
      </c>
      <c r="EA101" s="7">
        <f>IF(A101="","",IF((A101+117)&gt;Model!$B$4,0,MAX(0,Model!$B$6-IF((A101+117)&gt;=Model!$B$11,Model!$B$20,0)-IF(117&lt;Model!$B$15,Model!$B$22,0))/(1-Model!$B$9)/(1+Model!$B$18)^117))</f>
        <v/>
      </c>
      <c r="EB101" s="7">
        <f>IF(A101="","",IF((A101+118)&gt;Model!$B$4,0,MAX(0,Model!$B$6-IF((A101+118)&gt;=Model!$B$11,Model!$B$20,0)-IF(118&lt;Model!$B$15,Model!$B$22,0))/(1-Model!$B$9)/(1+Model!$B$18)^118))</f>
        <v/>
      </c>
      <c r="EC101" s="7">
        <f>IF(A101="","",IF((A101+119)&gt;Model!$B$4,0,MAX(0,Model!$B$6-IF((A101+119)&gt;=Model!$B$11,Model!$B$20,0)-IF(119&lt;Model!$B$15,Model!$B$22,0))/(1-Model!$B$9)/(1+Model!$B$18)^119))</f>
        <v/>
      </c>
      <c r="ED101" s="7">
        <f>IF(A101="","",IF((A101+120)&gt;Model!$B$4,0,MAX(0,Model!$B$6-IF((A101+120)&gt;=Model!$B$11,Model!$B$20,0)-IF(120&lt;Model!$B$15,Model!$B$22,0))/(1-Model!$B$9)/(1+Model!$B$18)^120))</f>
        <v/>
      </c>
    </row>
    <row r="102">
      <c r="A102">
        <f>IF(Model!$B$10+ROW()-2&lt;=Model!$B$4,Model!$B$10+ROW()-2,"")</f>
        <v/>
      </c>
      <c r="B102">
        <f>IF(A102="","",A102-Model!$B$10)</f>
        <v/>
      </c>
      <c r="C102" s="7">
        <f>IF(A102="","",Model!$B$5*(1+Model!$B$18)^B102)</f>
        <v/>
      </c>
      <c r="D102" s="7">
        <f>IF(A102="","",SUM(N102:ED102))</f>
        <v/>
      </c>
      <c r="E102" s="7">
        <f>IF(A102="","",IF(A102&gt;=Model!$B$11,Model!$B$20,0))</f>
        <v/>
      </c>
      <c r="F102" s="7">
        <f>IF(A102="","",IF(Model!$B$15&gt;0,Model!$B$22,0))</f>
        <v/>
      </c>
      <c r="G102" s="7">
        <f>IF(A102="","",E102+F102)</f>
        <v/>
      </c>
      <c r="H102" s="7">
        <f>IF(A102="","",MAX(0,Model!$B$6-G102))</f>
        <v/>
      </c>
      <c r="I102" s="7">
        <f>IF(A102="","",H102/(1-Model!$B$9))</f>
        <v/>
      </c>
      <c r="J102" s="7">
        <f>IF(A102="","",C102-D102)</f>
        <v/>
      </c>
      <c r="K102">
        <f>IF(A102="","",C102&gt;=D102)</f>
        <v/>
      </c>
      <c r="L102" s="7">
        <f>IF(A102="","",IF(A102&gt;=Model!$B$11,Model!$B$19*(1+Model!$B$13)^B102,0))</f>
        <v/>
      </c>
      <c r="M102" s="7">
        <f>IF(A102="","",IF(Model!$B$15&gt;0,Model!$B$21*(1+Model!$B$13)^B102,0))</f>
        <v/>
      </c>
      <c r="N102" s="7">
        <f>IF(A102="","",IF((A102+0)&gt;Model!$B$4,0,MAX(0,Model!$B$6-IF((A102+0)&gt;=Model!$B$11,Model!$B$20,0)-IF(0&lt;Model!$B$15,Model!$B$22,0))/(1-Model!$B$9)/(1+Model!$B$18)^0))</f>
        <v/>
      </c>
      <c r="O102" s="7">
        <f>IF(A102="","",IF((A102+1)&gt;Model!$B$4,0,MAX(0,Model!$B$6-IF((A102+1)&gt;=Model!$B$11,Model!$B$20,0)-IF(1&lt;Model!$B$15,Model!$B$22,0))/(1-Model!$B$9)/(1+Model!$B$18)^1))</f>
        <v/>
      </c>
      <c r="P102" s="7">
        <f>IF(A102="","",IF((A102+2)&gt;Model!$B$4,0,MAX(0,Model!$B$6-IF((A102+2)&gt;=Model!$B$11,Model!$B$20,0)-IF(2&lt;Model!$B$15,Model!$B$22,0))/(1-Model!$B$9)/(1+Model!$B$18)^2))</f>
        <v/>
      </c>
      <c r="Q102" s="7">
        <f>IF(A102="","",IF((A102+3)&gt;Model!$B$4,0,MAX(0,Model!$B$6-IF((A102+3)&gt;=Model!$B$11,Model!$B$20,0)-IF(3&lt;Model!$B$15,Model!$B$22,0))/(1-Model!$B$9)/(1+Model!$B$18)^3))</f>
        <v/>
      </c>
      <c r="R102" s="7">
        <f>IF(A102="","",IF((A102+4)&gt;Model!$B$4,0,MAX(0,Model!$B$6-IF((A102+4)&gt;=Model!$B$11,Model!$B$20,0)-IF(4&lt;Model!$B$15,Model!$B$22,0))/(1-Model!$B$9)/(1+Model!$B$18)^4))</f>
        <v/>
      </c>
      <c r="S102" s="7">
        <f>IF(A102="","",IF((A102+5)&gt;Model!$B$4,0,MAX(0,Model!$B$6-IF((A102+5)&gt;=Model!$B$11,Model!$B$20,0)-IF(5&lt;Model!$B$15,Model!$B$22,0))/(1-Model!$B$9)/(1+Model!$B$18)^5))</f>
        <v/>
      </c>
      <c r="T102" s="7">
        <f>IF(A102="","",IF((A102+6)&gt;Model!$B$4,0,MAX(0,Model!$B$6-IF((A102+6)&gt;=Model!$B$11,Model!$B$20,0)-IF(6&lt;Model!$B$15,Model!$B$22,0))/(1-Model!$B$9)/(1+Model!$B$18)^6))</f>
        <v/>
      </c>
      <c r="U102" s="7">
        <f>IF(A102="","",IF((A102+7)&gt;Model!$B$4,0,MAX(0,Model!$B$6-IF((A102+7)&gt;=Model!$B$11,Model!$B$20,0)-IF(7&lt;Model!$B$15,Model!$B$22,0))/(1-Model!$B$9)/(1+Model!$B$18)^7))</f>
        <v/>
      </c>
      <c r="V102" s="7">
        <f>IF(A102="","",IF((A102+8)&gt;Model!$B$4,0,MAX(0,Model!$B$6-IF((A102+8)&gt;=Model!$B$11,Model!$B$20,0)-IF(8&lt;Model!$B$15,Model!$B$22,0))/(1-Model!$B$9)/(1+Model!$B$18)^8))</f>
        <v/>
      </c>
      <c r="W102" s="7">
        <f>IF(A102="","",IF((A102+9)&gt;Model!$B$4,0,MAX(0,Model!$B$6-IF((A102+9)&gt;=Model!$B$11,Model!$B$20,0)-IF(9&lt;Model!$B$15,Model!$B$22,0))/(1-Model!$B$9)/(1+Model!$B$18)^9))</f>
        <v/>
      </c>
      <c r="X102" s="7">
        <f>IF(A102="","",IF((A102+10)&gt;Model!$B$4,0,MAX(0,Model!$B$6-IF((A102+10)&gt;=Model!$B$11,Model!$B$20,0)-IF(10&lt;Model!$B$15,Model!$B$22,0))/(1-Model!$B$9)/(1+Model!$B$18)^10))</f>
        <v/>
      </c>
      <c r="Y102" s="7">
        <f>IF(A102="","",IF((A102+11)&gt;Model!$B$4,0,MAX(0,Model!$B$6-IF((A102+11)&gt;=Model!$B$11,Model!$B$20,0)-IF(11&lt;Model!$B$15,Model!$B$22,0))/(1-Model!$B$9)/(1+Model!$B$18)^11))</f>
        <v/>
      </c>
      <c r="Z102" s="7">
        <f>IF(A102="","",IF((A102+12)&gt;Model!$B$4,0,MAX(0,Model!$B$6-IF((A102+12)&gt;=Model!$B$11,Model!$B$20,0)-IF(12&lt;Model!$B$15,Model!$B$22,0))/(1-Model!$B$9)/(1+Model!$B$18)^12))</f>
        <v/>
      </c>
      <c r="AA102" s="7">
        <f>IF(A102="","",IF((A102+13)&gt;Model!$B$4,0,MAX(0,Model!$B$6-IF((A102+13)&gt;=Model!$B$11,Model!$B$20,0)-IF(13&lt;Model!$B$15,Model!$B$22,0))/(1-Model!$B$9)/(1+Model!$B$18)^13))</f>
        <v/>
      </c>
      <c r="AB102" s="7">
        <f>IF(A102="","",IF((A102+14)&gt;Model!$B$4,0,MAX(0,Model!$B$6-IF((A102+14)&gt;=Model!$B$11,Model!$B$20,0)-IF(14&lt;Model!$B$15,Model!$B$22,0))/(1-Model!$B$9)/(1+Model!$B$18)^14))</f>
        <v/>
      </c>
      <c r="AC102" s="7">
        <f>IF(A102="","",IF((A102+15)&gt;Model!$B$4,0,MAX(0,Model!$B$6-IF((A102+15)&gt;=Model!$B$11,Model!$B$20,0)-IF(15&lt;Model!$B$15,Model!$B$22,0))/(1-Model!$B$9)/(1+Model!$B$18)^15))</f>
        <v/>
      </c>
      <c r="AD102" s="7">
        <f>IF(A102="","",IF((A102+16)&gt;Model!$B$4,0,MAX(0,Model!$B$6-IF((A102+16)&gt;=Model!$B$11,Model!$B$20,0)-IF(16&lt;Model!$B$15,Model!$B$22,0))/(1-Model!$B$9)/(1+Model!$B$18)^16))</f>
        <v/>
      </c>
      <c r="AE102" s="7">
        <f>IF(A102="","",IF((A102+17)&gt;Model!$B$4,0,MAX(0,Model!$B$6-IF((A102+17)&gt;=Model!$B$11,Model!$B$20,0)-IF(17&lt;Model!$B$15,Model!$B$22,0))/(1-Model!$B$9)/(1+Model!$B$18)^17))</f>
        <v/>
      </c>
      <c r="AF102" s="7">
        <f>IF(A102="","",IF((A102+18)&gt;Model!$B$4,0,MAX(0,Model!$B$6-IF((A102+18)&gt;=Model!$B$11,Model!$B$20,0)-IF(18&lt;Model!$B$15,Model!$B$22,0))/(1-Model!$B$9)/(1+Model!$B$18)^18))</f>
        <v/>
      </c>
      <c r="AG102" s="7">
        <f>IF(A102="","",IF((A102+19)&gt;Model!$B$4,0,MAX(0,Model!$B$6-IF((A102+19)&gt;=Model!$B$11,Model!$B$20,0)-IF(19&lt;Model!$B$15,Model!$B$22,0))/(1-Model!$B$9)/(1+Model!$B$18)^19))</f>
        <v/>
      </c>
      <c r="AH102" s="7">
        <f>IF(A102="","",IF((A102+20)&gt;Model!$B$4,0,MAX(0,Model!$B$6-IF((A102+20)&gt;=Model!$B$11,Model!$B$20,0)-IF(20&lt;Model!$B$15,Model!$B$22,0))/(1-Model!$B$9)/(1+Model!$B$18)^20))</f>
        <v/>
      </c>
      <c r="AI102" s="7">
        <f>IF(A102="","",IF((A102+21)&gt;Model!$B$4,0,MAX(0,Model!$B$6-IF((A102+21)&gt;=Model!$B$11,Model!$B$20,0)-IF(21&lt;Model!$B$15,Model!$B$22,0))/(1-Model!$B$9)/(1+Model!$B$18)^21))</f>
        <v/>
      </c>
      <c r="AJ102" s="7">
        <f>IF(A102="","",IF((A102+22)&gt;Model!$B$4,0,MAX(0,Model!$B$6-IF((A102+22)&gt;=Model!$B$11,Model!$B$20,0)-IF(22&lt;Model!$B$15,Model!$B$22,0))/(1-Model!$B$9)/(1+Model!$B$18)^22))</f>
        <v/>
      </c>
      <c r="AK102" s="7">
        <f>IF(A102="","",IF((A102+23)&gt;Model!$B$4,0,MAX(0,Model!$B$6-IF((A102+23)&gt;=Model!$B$11,Model!$B$20,0)-IF(23&lt;Model!$B$15,Model!$B$22,0))/(1-Model!$B$9)/(1+Model!$B$18)^23))</f>
        <v/>
      </c>
      <c r="AL102" s="7">
        <f>IF(A102="","",IF((A102+24)&gt;Model!$B$4,0,MAX(0,Model!$B$6-IF((A102+24)&gt;=Model!$B$11,Model!$B$20,0)-IF(24&lt;Model!$B$15,Model!$B$22,0))/(1-Model!$B$9)/(1+Model!$B$18)^24))</f>
        <v/>
      </c>
      <c r="AM102" s="7">
        <f>IF(A102="","",IF((A102+25)&gt;Model!$B$4,0,MAX(0,Model!$B$6-IF((A102+25)&gt;=Model!$B$11,Model!$B$20,0)-IF(25&lt;Model!$B$15,Model!$B$22,0))/(1-Model!$B$9)/(1+Model!$B$18)^25))</f>
        <v/>
      </c>
      <c r="AN102" s="7">
        <f>IF(A102="","",IF((A102+26)&gt;Model!$B$4,0,MAX(0,Model!$B$6-IF((A102+26)&gt;=Model!$B$11,Model!$B$20,0)-IF(26&lt;Model!$B$15,Model!$B$22,0))/(1-Model!$B$9)/(1+Model!$B$18)^26))</f>
        <v/>
      </c>
      <c r="AO102" s="7">
        <f>IF(A102="","",IF((A102+27)&gt;Model!$B$4,0,MAX(0,Model!$B$6-IF((A102+27)&gt;=Model!$B$11,Model!$B$20,0)-IF(27&lt;Model!$B$15,Model!$B$22,0))/(1-Model!$B$9)/(1+Model!$B$18)^27))</f>
        <v/>
      </c>
      <c r="AP102" s="7">
        <f>IF(A102="","",IF((A102+28)&gt;Model!$B$4,0,MAX(0,Model!$B$6-IF((A102+28)&gt;=Model!$B$11,Model!$B$20,0)-IF(28&lt;Model!$B$15,Model!$B$22,0))/(1-Model!$B$9)/(1+Model!$B$18)^28))</f>
        <v/>
      </c>
      <c r="AQ102" s="7">
        <f>IF(A102="","",IF((A102+29)&gt;Model!$B$4,0,MAX(0,Model!$B$6-IF((A102+29)&gt;=Model!$B$11,Model!$B$20,0)-IF(29&lt;Model!$B$15,Model!$B$22,0))/(1-Model!$B$9)/(1+Model!$B$18)^29))</f>
        <v/>
      </c>
      <c r="AR102" s="7">
        <f>IF(A102="","",IF((A102+30)&gt;Model!$B$4,0,MAX(0,Model!$B$6-IF((A102+30)&gt;=Model!$B$11,Model!$B$20,0)-IF(30&lt;Model!$B$15,Model!$B$22,0))/(1-Model!$B$9)/(1+Model!$B$18)^30))</f>
        <v/>
      </c>
      <c r="AS102" s="7">
        <f>IF(A102="","",IF((A102+31)&gt;Model!$B$4,0,MAX(0,Model!$B$6-IF((A102+31)&gt;=Model!$B$11,Model!$B$20,0)-IF(31&lt;Model!$B$15,Model!$B$22,0))/(1-Model!$B$9)/(1+Model!$B$18)^31))</f>
        <v/>
      </c>
      <c r="AT102" s="7">
        <f>IF(A102="","",IF((A102+32)&gt;Model!$B$4,0,MAX(0,Model!$B$6-IF((A102+32)&gt;=Model!$B$11,Model!$B$20,0)-IF(32&lt;Model!$B$15,Model!$B$22,0))/(1-Model!$B$9)/(1+Model!$B$18)^32))</f>
        <v/>
      </c>
      <c r="AU102" s="7">
        <f>IF(A102="","",IF((A102+33)&gt;Model!$B$4,0,MAX(0,Model!$B$6-IF((A102+33)&gt;=Model!$B$11,Model!$B$20,0)-IF(33&lt;Model!$B$15,Model!$B$22,0))/(1-Model!$B$9)/(1+Model!$B$18)^33))</f>
        <v/>
      </c>
      <c r="AV102" s="7">
        <f>IF(A102="","",IF((A102+34)&gt;Model!$B$4,0,MAX(0,Model!$B$6-IF((A102+34)&gt;=Model!$B$11,Model!$B$20,0)-IF(34&lt;Model!$B$15,Model!$B$22,0))/(1-Model!$B$9)/(1+Model!$B$18)^34))</f>
        <v/>
      </c>
      <c r="AW102" s="7">
        <f>IF(A102="","",IF((A102+35)&gt;Model!$B$4,0,MAX(0,Model!$B$6-IF((A102+35)&gt;=Model!$B$11,Model!$B$20,0)-IF(35&lt;Model!$B$15,Model!$B$22,0))/(1-Model!$B$9)/(1+Model!$B$18)^35))</f>
        <v/>
      </c>
      <c r="AX102" s="7">
        <f>IF(A102="","",IF((A102+36)&gt;Model!$B$4,0,MAX(0,Model!$B$6-IF((A102+36)&gt;=Model!$B$11,Model!$B$20,0)-IF(36&lt;Model!$B$15,Model!$B$22,0))/(1-Model!$B$9)/(1+Model!$B$18)^36))</f>
        <v/>
      </c>
      <c r="AY102" s="7">
        <f>IF(A102="","",IF((A102+37)&gt;Model!$B$4,0,MAX(0,Model!$B$6-IF((A102+37)&gt;=Model!$B$11,Model!$B$20,0)-IF(37&lt;Model!$B$15,Model!$B$22,0))/(1-Model!$B$9)/(1+Model!$B$18)^37))</f>
        <v/>
      </c>
      <c r="AZ102" s="7">
        <f>IF(A102="","",IF((A102+38)&gt;Model!$B$4,0,MAX(0,Model!$B$6-IF((A102+38)&gt;=Model!$B$11,Model!$B$20,0)-IF(38&lt;Model!$B$15,Model!$B$22,0))/(1-Model!$B$9)/(1+Model!$B$18)^38))</f>
        <v/>
      </c>
      <c r="BA102" s="7">
        <f>IF(A102="","",IF((A102+39)&gt;Model!$B$4,0,MAX(0,Model!$B$6-IF((A102+39)&gt;=Model!$B$11,Model!$B$20,0)-IF(39&lt;Model!$B$15,Model!$B$22,0))/(1-Model!$B$9)/(1+Model!$B$18)^39))</f>
        <v/>
      </c>
      <c r="BB102" s="7">
        <f>IF(A102="","",IF((A102+40)&gt;Model!$B$4,0,MAX(0,Model!$B$6-IF((A102+40)&gt;=Model!$B$11,Model!$B$20,0)-IF(40&lt;Model!$B$15,Model!$B$22,0))/(1-Model!$B$9)/(1+Model!$B$18)^40))</f>
        <v/>
      </c>
      <c r="BC102" s="7">
        <f>IF(A102="","",IF((A102+41)&gt;Model!$B$4,0,MAX(0,Model!$B$6-IF((A102+41)&gt;=Model!$B$11,Model!$B$20,0)-IF(41&lt;Model!$B$15,Model!$B$22,0))/(1-Model!$B$9)/(1+Model!$B$18)^41))</f>
        <v/>
      </c>
      <c r="BD102" s="7">
        <f>IF(A102="","",IF((A102+42)&gt;Model!$B$4,0,MAX(0,Model!$B$6-IF((A102+42)&gt;=Model!$B$11,Model!$B$20,0)-IF(42&lt;Model!$B$15,Model!$B$22,0))/(1-Model!$B$9)/(1+Model!$B$18)^42))</f>
        <v/>
      </c>
      <c r="BE102" s="7">
        <f>IF(A102="","",IF((A102+43)&gt;Model!$B$4,0,MAX(0,Model!$B$6-IF((A102+43)&gt;=Model!$B$11,Model!$B$20,0)-IF(43&lt;Model!$B$15,Model!$B$22,0))/(1-Model!$B$9)/(1+Model!$B$18)^43))</f>
        <v/>
      </c>
      <c r="BF102" s="7">
        <f>IF(A102="","",IF((A102+44)&gt;Model!$B$4,0,MAX(0,Model!$B$6-IF((A102+44)&gt;=Model!$B$11,Model!$B$20,0)-IF(44&lt;Model!$B$15,Model!$B$22,0))/(1-Model!$B$9)/(1+Model!$B$18)^44))</f>
        <v/>
      </c>
      <c r="BG102" s="7">
        <f>IF(A102="","",IF((A102+45)&gt;Model!$B$4,0,MAX(0,Model!$B$6-IF((A102+45)&gt;=Model!$B$11,Model!$B$20,0)-IF(45&lt;Model!$B$15,Model!$B$22,0))/(1-Model!$B$9)/(1+Model!$B$18)^45))</f>
        <v/>
      </c>
      <c r="BH102" s="7">
        <f>IF(A102="","",IF((A102+46)&gt;Model!$B$4,0,MAX(0,Model!$B$6-IF((A102+46)&gt;=Model!$B$11,Model!$B$20,0)-IF(46&lt;Model!$B$15,Model!$B$22,0))/(1-Model!$B$9)/(1+Model!$B$18)^46))</f>
        <v/>
      </c>
      <c r="BI102" s="7">
        <f>IF(A102="","",IF((A102+47)&gt;Model!$B$4,0,MAX(0,Model!$B$6-IF((A102+47)&gt;=Model!$B$11,Model!$B$20,0)-IF(47&lt;Model!$B$15,Model!$B$22,0))/(1-Model!$B$9)/(1+Model!$B$18)^47))</f>
        <v/>
      </c>
      <c r="BJ102" s="7">
        <f>IF(A102="","",IF((A102+48)&gt;Model!$B$4,0,MAX(0,Model!$B$6-IF((A102+48)&gt;=Model!$B$11,Model!$B$20,0)-IF(48&lt;Model!$B$15,Model!$B$22,0))/(1-Model!$B$9)/(1+Model!$B$18)^48))</f>
        <v/>
      </c>
      <c r="BK102" s="7">
        <f>IF(A102="","",IF((A102+49)&gt;Model!$B$4,0,MAX(0,Model!$B$6-IF((A102+49)&gt;=Model!$B$11,Model!$B$20,0)-IF(49&lt;Model!$B$15,Model!$B$22,0))/(1-Model!$B$9)/(1+Model!$B$18)^49))</f>
        <v/>
      </c>
      <c r="BL102" s="7">
        <f>IF(A102="","",IF((A102+50)&gt;Model!$B$4,0,MAX(0,Model!$B$6-IF((A102+50)&gt;=Model!$B$11,Model!$B$20,0)-IF(50&lt;Model!$B$15,Model!$B$22,0))/(1-Model!$B$9)/(1+Model!$B$18)^50))</f>
        <v/>
      </c>
      <c r="BM102" s="7">
        <f>IF(A102="","",IF((A102+51)&gt;Model!$B$4,0,MAX(0,Model!$B$6-IF((A102+51)&gt;=Model!$B$11,Model!$B$20,0)-IF(51&lt;Model!$B$15,Model!$B$22,0))/(1-Model!$B$9)/(1+Model!$B$18)^51))</f>
        <v/>
      </c>
      <c r="BN102" s="7">
        <f>IF(A102="","",IF((A102+52)&gt;Model!$B$4,0,MAX(0,Model!$B$6-IF((A102+52)&gt;=Model!$B$11,Model!$B$20,0)-IF(52&lt;Model!$B$15,Model!$B$22,0))/(1-Model!$B$9)/(1+Model!$B$18)^52))</f>
        <v/>
      </c>
      <c r="BO102" s="7">
        <f>IF(A102="","",IF((A102+53)&gt;Model!$B$4,0,MAX(0,Model!$B$6-IF((A102+53)&gt;=Model!$B$11,Model!$B$20,0)-IF(53&lt;Model!$B$15,Model!$B$22,0))/(1-Model!$B$9)/(1+Model!$B$18)^53))</f>
        <v/>
      </c>
      <c r="BP102" s="7">
        <f>IF(A102="","",IF((A102+54)&gt;Model!$B$4,0,MAX(0,Model!$B$6-IF((A102+54)&gt;=Model!$B$11,Model!$B$20,0)-IF(54&lt;Model!$B$15,Model!$B$22,0))/(1-Model!$B$9)/(1+Model!$B$18)^54))</f>
        <v/>
      </c>
      <c r="BQ102" s="7">
        <f>IF(A102="","",IF((A102+55)&gt;Model!$B$4,0,MAX(0,Model!$B$6-IF((A102+55)&gt;=Model!$B$11,Model!$B$20,0)-IF(55&lt;Model!$B$15,Model!$B$22,0))/(1-Model!$B$9)/(1+Model!$B$18)^55))</f>
        <v/>
      </c>
      <c r="BR102" s="7">
        <f>IF(A102="","",IF((A102+56)&gt;Model!$B$4,0,MAX(0,Model!$B$6-IF((A102+56)&gt;=Model!$B$11,Model!$B$20,0)-IF(56&lt;Model!$B$15,Model!$B$22,0))/(1-Model!$B$9)/(1+Model!$B$18)^56))</f>
        <v/>
      </c>
      <c r="BS102" s="7">
        <f>IF(A102="","",IF((A102+57)&gt;Model!$B$4,0,MAX(0,Model!$B$6-IF((A102+57)&gt;=Model!$B$11,Model!$B$20,0)-IF(57&lt;Model!$B$15,Model!$B$22,0))/(1-Model!$B$9)/(1+Model!$B$18)^57))</f>
        <v/>
      </c>
      <c r="BT102" s="7">
        <f>IF(A102="","",IF((A102+58)&gt;Model!$B$4,0,MAX(0,Model!$B$6-IF((A102+58)&gt;=Model!$B$11,Model!$B$20,0)-IF(58&lt;Model!$B$15,Model!$B$22,0))/(1-Model!$B$9)/(1+Model!$B$18)^58))</f>
        <v/>
      </c>
      <c r="BU102" s="7">
        <f>IF(A102="","",IF((A102+59)&gt;Model!$B$4,0,MAX(0,Model!$B$6-IF((A102+59)&gt;=Model!$B$11,Model!$B$20,0)-IF(59&lt;Model!$B$15,Model!$B$22,0))/(1-Model!$B$9)/(1+Model!$B$18)^59))</f>
        <v/>
      </c>
      <c r="BV102" s="7">
        <f>IF(A102="","",IF((A102+60)&gt;Model!$B$4,0,MAX(0,Model!$B$6-IF((A102+60)&gt;=Model!$B$11,Model!$B$20,0)-IF(60&lt;Model!$B$15,Model!$B$22,0))/(1-Model!$B$9)/(1+Model!$B$18)^60))</f>
        <v/>
      </c>
      <c r="BW102" s="7">
        <f>IF(A102="","",IF((A102+61)&gt;Model!$B$4,0,MAX(0,Model!$B$6-IF((A102+61)&gt;=Model!$B$11,Model!$B$20,0)-IF(61&lt;Model!$B$15,Model!$B$22,0))/(1-Model!$B$9)/(1+Model!$B$18)^61))</f>
        <v/>
      </c>
      <c r="BX102" s="7">
        <f>IF(A102="","",IF((A102+62)&gt;Model!$B$4,0,MAX(0,Model!$B$6-IF((A102+62)&gt;=Model!$B$11,Model!$B$20,0)-IF(62&lt;Model!$B$15,Model!$B$22,0))/(1-Model!$B$9)/(1+Model!$B$18)^62))</f>
        <v/>
      </c>
      <c r="BY102" s="7">
        <f>IF(A102="","",IF((A102+63)&gt;Model!$B$4,0,MAX(0,Model!$B$6-IF((A102+63)&gt;=Model!$B$11,Model!$B$20,0)-IF(63&lt;Model!$B$15,Model!$B$22,0))/(1-Model!$B$9)/(1+Model!$B$18)^63))</f>
        <v/>
      </c>
      <c r="BZ102" s="7">
        <f>IF(A102="","",IF((A102+64)&gt;Model!$B$4,0,MAX(0,Model!$B$6-IF((A102+64)&gt;=Model!$B$11,Model!$B$20,0)-IF(64&lt;Model!$B$15,Model!$B$22,0))/(1-Model!$B$9)/(1+Model!$B$18)^64))</f>
        <v/>
      </c>
      <c r="CA102" s="7">
        <f>IF(A102="","",IF((A102+65)&gt;Model!$B$4,0,MAX(0,Model!$B$6-IF((A102+65)&gt;=Model!$B$11,Model!$B$20,0)-IF(65&lt;Model!$B$15,Model!$B$22,0))/(1-Model!$B$9)/(1+Model!$B$18)^65))</f>
        <v/>
      </c>
      <c r="CB102" s="7">
        <f>IF(A102="","",IF((A102+66)&gt;Model!$B$4,0,MAX(0,Model!$B$6-IF((A102+66)&gt;=Model!$B$11,Model!$B$20,0)-IF(66&lt;Model!$B$15,Model!$B$22,0))/(1-Model!$B$9)/(1+Model!$B$18)^66))</f>
        <v/>
      </c>
      <c r="CC102" s="7">
        <f>IF(A102="","",IF((A102+67)&gt;Model!$B$4,0,MAX(0,Model!$B$6-IF((A102+67)&gt;=Model!$B$11,Model!$B$20,0)-IF(67&lt;Model!$B$15,Model!$B$22,0))/(1-Model!$B$9)/(1+Model!$B$18)^67))</f>
        <v/>
      </c>
      <c r="CD102" s="7">
        <f>IF(A102="","",IF((A102+68)&gt;Model!$B$4,0,MAX(0,Model!$B$6-IF((A102+68)&gt;=Model!$B$11,Model!$B$20,0)-IF(68&lt;Model!$B$15,Model!$B$22,0))/(1-Model!$B$9)/(1+Model!$B$18)^68))</f>
        <v/>
      </c>
      <c r="CE102" s="7">
        <f>IF(A102="","",IF((A102+69)&gt;Model!$B$4,0,MAX(0,Model!$B$6-IF((A102+69)&gt;=Model!$B$11,Model!$B$20,0)-IF(69&lt;Model!$B$15,Model!$B$22,0))/(1-Model!$B$9)/(1+Model!$B$18)^69))</f>
        <v/>
      </c>
      <c r="CF102" s="7">
        <f>IF(A102="","",IF((A102+70)&gt;Model!$B$4,0,MAX(0,Model!$B$6-IF((A102+70)&gt;=Model!$B$11,Model!$B$20,0)-IF(70&lt;Model!$B$15,Model!$B$22,0))/(1-Model!$B$9)/(1+Model!$B$18)^70))</f>
        <v/>
      </c>
      <c r="CG102" s="7">
        <f>IF(A102="","",IF((A102+71)&gt;Model!$B$4,0,MAX(0,Model!$B$6-IF((A102+71)&gt;=Model!$B$11,Model!$B$20,0)-IF(71&lt;Model!$B$15,Model!$B$22,0))/(1-Model!$B$9)/(1+Model!$B$18)^71))</f>
        <v/>
      </c>
      <c r="CH102" s="7">
        <f>IF(A102="","",IF((A102+72)&gt;Model!$B$4,0,MAX(0,Model!$B$6-IF((A102+72)&gt;=Model!$B$11,Model!$B$20,0)-IF(72&lt;Model!$B$15,Model!$B$22,0))/(1-Model!$B$9)/(1+Model!$B$18)^72))</f>
        <v/>
      </c>
      <c r="CI102" s="7">
        <f>IF(A102="","",IF((A102+73)&gt;Model!$B$4,0,MAX(0,Model!$B$6-IF((A102+73)&gt;=Model!$B$11,Model!$B$20,0)-IF(73&lt;Model!$B$15,Model!$B$22,0))/(1-Model!$B$9)/(1+Model!$B$18)^73))</f>
        <v/>
      </c>
      <c r="CJ102" s="7">
        <f>IF(A102="","",IF((A102+74)&gt;Model!$B$4,0,MAX(0,Model!$B$6-IF((A102+74)&gt;=Model!$B$11,Model!$B$20,0)-IF(74&lt;Model!$B$15,Model!$B$22,0))/(1-Model!$B$9)/(1+Model!$B$18)^74))</f>
        <v/>
      </c>
      <c r="CK102" s="7">
        <f>IF(A102="","",IF((A102+75)&gt;Model!$B$4,0,MAX(0,Model!$B$6-IF((A102+75)&gt;=Model!$B$11,Model!$B$20,0)-IF(75&lt;Model!$B$15,Model!$B$22,0))/(1-Model!$B$9)/(1+Model!$B$18)^75))</f>
        <v/>
      </c>
      <c r="CL102" s="7">
        <f>IF(A102="","",IF((A102+76)&gt;Model!$B$4,0,MAX(0,Model!$B$6-IF((A102+76)&gt;=Model!$B$11,Model!$B$20,0)-IF(76&lt;Model!$B$15,Model!$B$22,0))/(1-Model!$B$9)/(1+Model!$B$18)^76))</f>
        <v/>
      </c>
      <c r="CM102" s="7">
        <f>IF(A102="","",IF((A102+77)&gt;Model!$B$4,0,MAX(0,Model!$B$6-IF((A102+77)&gt;=Model!$B$11,Model!$B$20,0)-IF(77&lt;Model!$B$15,Model!$B$22,0))/(1-Model!$B$9)/(1+Model!$B$18)^77))</f>
        <v/>
      </c>
      <c r="CN102" s="7">
        <f>IF(A102="","",IF((A102+78)&gt;Model!$B$4,0,MAX(0,Model!$B$6-IF((A102+78)&gt;=Model!$B$11,Model!$B$20,0)-IF(78&lt;Model!$B$15,Model!$B$22,0))/(1-Model!$B$9)/(1+Model!$B$18)^78))</f>
        <v/>
      </c>
      <c r="CO102" s="7">
        <f>IF(A102="","",IF((A102+79)&gt;Model!$B$4,0,MAX(0,Model!$B$6-IF((A102+79)&gt;=Model!$B$11,Model!$B$20,0)-IF(79&lt;Model!$B$15,Model!$B$22,0))/(1-Model!$B$9)/(1+Model!$B$18)^79))</f>
        <v/>
      </c>
      <c r="CP102" s="7">
        <f>IF(A102="","",IF((A102+80)&gt;Model!$B$4,0,MAX(0,Model!$B$6-IF((A102+80)&gt;=Model!$B$11,Model!$B$20,0)-IF(80&lt;Model!$B$15,Model!$B$22,0))/(1-Model!$B$9)/(1+Model!$B$18)^80))</f>
        <v/>
      </c>
      <c r="CQ102" s="7">
        <f>IF(A102="","",IF((A102+81)&gt;Model!$B$4,0,MAX(0,Model!$B$6-IF((A102+81)&gt;=Model!$B$11,Model!$B$20,0)-IF(81&lt;Model!$B$15,Model!$B$22,0))/(1-Model!$B$9)/(1+Model!$B$18)^81))</f>
        <v/>
      </c>
      <c r="CR102" s="7">
        <f>IF(A102="","",IF((A102+82)&gt;Model!$B$4,0,MAX(0,Model!$B$6-IF((A102+82)&gt;=Model!$B$11,Model!$B$20,0)-IF(82&lt;Model!$B$15,Model!$B$22,0))/(1-Model!$B$9)/(1+Model!$B$18)^82))</f>
        <v/>
      </c>
      <c r="CS102" s="7">
        <f>IF(A102="","",IF((A102+83)&gt;Model!$B$4,0,MAX(0,Model!$B$6-IF((A102+83)&gt;=Model!$B$11,Model!$B$20,0)-IF(83&lt;Model!$B$15,Model!$B$22,0))/(1-Model!$B$9)/(1+Model!$B$18)^83))</f>
        <v/>
      </c>
      <c r="CT102" s="7">
        <f>IF(A102="","",IF((A102+84)&gt;Model!$B$4,0,MAX(0,Model!$B$6-IF((A102+84)&gt;=Model!$B$11,Model!$B$20,0)-IF(84&lt;Model!$B$15,Model!$B$22,0))/(1-Model!$B$9)/(1+Model!$B$18)^84))</f>
        <v/>
      </c>
      <c r="CU102" s="7">
        <f>IF(A102="","",IF((A102+85)&gt;Model!$B$4,0,MAX(0,Model!$B$6-IF((A102+85)&gt;=Model!$B$11,Model!$B$20,0)-IF(85&lt;Model!$B$15,Model!$B$22,0))/(1-Model!$B$9)/(1+Model!$B$18)^85))</f>
        <v/>
      </c>
      <c r="CV102" s="7">
        <f>IF(A102="","",IF((A102+86)&gt;Model!$B$4,0,MAX(0,Model!$B$6-IF((A102+86)&gt;=Model!$B$11,Model!$B$20,0)-IF(86&lt;Model!$B$15,Model!$B$22,0))/(1-Model!$B$9)/(1+Model!$B$18)^86))</f>
        <v/>
      </c>
      <c r="CW102" s="7">
        <f>IF(A102="","",IF((A102+87)&gt;Model!$B$4,0,MAX(0,Model!$B$6-IF((A102+87)&gt;=Model!$B$11,Model!$B$20,0)-IF(87&lt;Model!$B$15,Model!$B$22,0))/(1-Model!$B$9)/(1+Model!$B$18)^87))</f>
        <v/>
      </c>
      <c r="CX102" s="7">
        <f>IF(A102="","",IF((A102+88)&gt;Model!$B$4,0,MAX(0,Model!$B$6-IF((A102+88)&gt;=Model!$B$11,Model!$B$20,0)-IF(88&lt;Model!$B$15,Model!$B$22,0))/(1-Model!$B$9)/(1+Model!$B$18)^88))</f>
        <v/>
      </c>
      <c r="CY102" s="7">
        <f>IF(A102="","",IF((A102+89)&gt;Model!$B$4,0,MAX(0,Model!$B$6-IF((A102+89)&gt;=Model!$B$11,Model!$B$20,0)-IF(89&lt;Model!$B$15,Model!$B$22,0))/(1-Model!$B$9)/(1+Model!$B$18)^89))</f>
        <v/>
      </c>
      <c r="CZ102" s="7">
        <f>IF(A102="","",IF((A102+90)&gt;Model!$B$4,0,MAX(0,Model!$B$6-IF((A102+90)&gt;=Model!$B$11,Model!$B$20,0)-IF(90&lt;Model!$B$15,Model!$B$22,0))/(1-Model!$B$9)/(1+Model!$B$18)^90))</f>
        <v/>
      </c>
      <c r="DA102" s="7">
        <f>IF(A102="","",IF((A102+91)&gt;Model!$B$4,0,MAX(0,Model!$B$6-IF((A102+91)&gt;=Model!$B$11,Model!$B$20,0)-IF(91&lt;Model!$B$15,Model!$B$22,0))/(1-Model!$B$9)/(1+Model!$B$18)^91))</f>
        <v/>
      </c>
      <c r="DB102" s="7">
        <f>IF(A102="","",IF((A102+92)&gt;Model!$B$4,0,MAX(0,Model!$B$6-IF((A102+92)&gt;=Model!$B$11,Model!$B$20,0)-IF(92&lt;Model!$B$15,Model!$B$22,0))/(1-Model!$B$9)/(1+Model!$B$18)^92))</f>
        <v/>
      </c>
      <c r="DC102" s="7">
        <f>IF(A102="","",IF((A102+93)&gt;Model!$B$4,0,MAX(0,Model!$B$6-IF((A102+93)&gt;=Model!$B$11,Model!$B$20,0)-IF(93&lt;Model!$B$15,Model!$B$22,0))/(1-Model!$B$9)/(1+Model!$B$18)^93))</f>
        <v/>
      </c>
      <c r="DD102" s="7">
        <f>IF(A102="","",IF((A102+94)&gt;Model!$B$4,0,MAX(0,Model!$B$6-IF((A102+94)&gt;=Model!$B$11,Model!$B$20,0)-IF(94&lt;Model!$B$15,Model!$B$22,0))/(1-Model!$B$9)/(1+Model!$B$18)^94))</f>
        <v/>
      </c>
      <c r="DE102" s="7">
        <f>IF(A102="","",IF((A102+95)&gt;Model!$B$4,0,MAX(0,Model!$B$6-IF((A102+95)&gt;=Model!$B$11,Model!$B$20,0)-IF(95&lt;Model!$B$15,Model!$B$22,0))/(1-Model!$B$9)/(1+Model!$B$18)^95))</f>
        <v/>
      </c>
      <c r="DF102" s="7">
        <f>IF(A102="","",IF((A102+96)&gt;Model!$B$4,0,MAX(0,Model!$B$6-IF((A102+96)&gt;=Model!$B$11,Model!$B$20,0)-IF(96&lt;Model!$B$15,Model!$B$22,0))/(1-Model!$B$9)/(1+Model!$B$18)^96))</f>
        <v/>
      </c>
      <c r="DG102" s="7">
        <f>IF(A102="","",IF((A102+97)&gt;Model!$B$4,0,MAX(0,Model!$B$6-IF((A102+97)&gt;=Model!$B$11,Model!$B$20,0)-IF(97&lt;Model!$B$15,Model!$B$22,0))/(1-Model!$B$9)/(1+Model!$B$18)^97))</f>
        <v/>
      </c>
      <c r="DH102" s="7">
        <f>IF(A102="","",IF((A102+98)&gt;Model!$B$4,0,MAX(0,Model!$B$6-IF((A102+98)&gt;=Model!$B$11,Model!$B$20,0)-IF(98&lt;Model!$B$15,Model!$B$22,0))/(1-Model!$B$9)/(1+Model!$B$18)^98))</f>
        <v/>
      </c>
      <c r="DI102" s="7">
        <f>IF(A102="","",IF((A102+99)&gt;Model!$B$4,0,MAX(0,Model!$B$6-IF((A102+99)&gt;=Model!$B$11,Model!$B$20,0)-IF(99&lt;Model!$B$15,Model!$B$22,0))/(1-Model!$B$9)/(1+Model!$B$18)^99))</f>
        <v/>
      </c>
      <c r="DJ102" s="7">
        <f>IF(A102="","",IF((A102+100)&gt;Model!$B$4,0,MAX(0,Model!$B$6-IF((A102+100)&gt;=Model!$B$11,Model!$B$20,0)-IF(100&lt;Model!$B$15,Model!$B$22,0))/(1-Model!$B$9)/(1+Model!$B$18)^100))</f>
        <v/>
      </c>
      <c r="DK102" s="7">
        <f>IF(A102="","",IF((A102+101)&gt;Model!$B$4,0,MAX(0,Model!$B$6-IF((A102+101)&gt;=Model!$B$11,Model!$B$20,0)-IF(101&lt;Model!$B$15,Model!$B$22,0))/(1-Model!$B$9)/(1+Model!$B$18)^101))</f>
        <v/>
      </c>
      <c r="DL102" s="7">
        <f>IF(A102="","",IF((A102+102)&gt;Model!$B$4,0,MAX(0,Model!$B$6-IF((A102+102)&gt;=Model!$B$11,Model!$B$20,0)-IF(102&lt;Model!$B$15,Model!$B$22,0))/(1-Model!$B$9)/(1+Model!$B$18)^102))</f>
        <v/>
      </c>
      <c r="DM102" s="7">
        <f>IF(A102="","",IF((A102+103)&gt;Model!$B$4,0,MAX(0,Model!$B$6-IF((A102+103)&gt;=Model!$B$11,Model!$B$20,0)-IF(103&lt;Model!$B$15,Model!$B$22,0))/(1-Model!$B$9)/(1+Model!$B$18)^103))</f>
        <v/>
      </c>
      <c r="DN102" s="7">
        <f>IF(A102="","",IF((A102+104)&gt;Model!$B$4,0,MAX(0,Model!$B$6-IF((A102+104)&gt;=Model!$B$11,Model!$B$20,0)-IF(104&lt;Model!$B$15,Model!$B$22,0))/(1-Model!$B$9)/(1+Model!$B$18)^104))</f>
        <v/>
      </c>
      <c r="DO102" s="7">
        <f>IF(A102="","",IF((A102+105)&gt;Model!$B$4,0,MAX(0,Model!$B$6-IF((A102+105)&gt;=Model!$B$11,Model!$B$20,0)-IF(105&lt;Model!$B$15,Model!$B$22,0))/(1-Model!$B$9)/(1+Model!$B$18)^105))</f>
        <v/>
      </c>
      <c r="DP102" s="7">
        <f>IF(A102="","",IF((A102+106)&gt;Model!$B$4,0,MAX(0,Model!$B$6-IF((A102+106)&gt;=Model!$B$11,Model!$B$20,0)-IF(106&lt;Model!$B$15,Model!$B$22,0))/(1-Model!$B$9)/(1+Model!$B$18)^106))</f>
        <v/>
      </c>
      <c r="DQ102" s="7">
        <f>IF(A102="","",IF((A102+107)&gt;Model!$B$4,0,MAX(0,Model!$B$6-IF((A102+107)&gt;=Model!$B$11,Model!$B$20,0)-IF(107&lt;Model!$B$15,Model!$B$22,0))/(1-Model!$B$9)/(1+Model!$B$18)^107))</f>
        <v/>
      </c>
      <c r="DR102" s="7">
        <f>IF(A102="","",IF((A102+108)&gt;Model!$B$4,0,MAX(0,Model!$B$6-IF((A102+108)&gt;=Model!$B$11,Model!$B$20,0)-IF(108&lt;Model!$B$15,Model!$B$22,0))/(1-Model!$B$9)/(1+Model!$B$18)^108))</f>
        <v/>
      </c>
      <c r="DS102" s="7">
        <f>IF(A102="","",IF((A102+109)&gt;Model!$B$4,0,MAX(0,Model!$B$6-IF((A102+109)&gt;=Model!$B$11,Model!$B$20,0)-IF(109&lt;Model!$B$15,Model!$B$22,0))/(1-Model!$B$9)/(1+Model!$B$18)^109))</f>
        <v/>
      </c>
      <c r="DT102" s="7">
        <f>IF(A102="","",IF((A102+110)&gt;Model!$B$4,0,MAX(0,Model!$B$6-IF((A102+110)&gt;=Model!$B$11,Model!$B$20,0)-IF(110&lt;Model!$B$15,Model!$B$22,0))/(1-Model!$B$9)/(1+Model!$B$18)^110))</f>
        <v/>
      </c>
      <c r="DU102" s="7">
        <f>IF(A102="","",IF((A102+111)&gt;Model!$B$4,0,MAX(0,Model!$B$6-IF((A102+111)&gt;=Model!$B$11,Model!$B$20,0)-IF(111&lt;Model!$B$15,Model!$B$22,0))/(1-Model!$B$9)/(1+Model!$B$18)^111))</f>
        <v/>
      </c>
      <c r="DV102" s="7">
        <f>IF(A102="","",IF((A102+112)&gt;Model!$B$4,0,MAX(0,Model!$B$6-IF((A102+112)&gt;=Model!$B$11,Model!$B$20,0)-IF(112&lt;Model!$B$15,Model!$B$22,0))/(1-Model!$B$9)/(1+Model!$B$18)^112))</f>
        <v/>
      </c>
      <c r="DW102" s="7">
        <f>IF(A102="","",IF((A102+113)&gt;Model!$B$4,0,MAX(0,Model!$B$6-IF((A102+113)&gt;=Model!$B$11,Model!$B$20,0)-IF(113&lt;Model!$B$15,Model!$B$22,0))/(1-Model!$B$9)/(1+Model!$B$18)^113))</f>
        <v/>
      </c>
      <c r="DX102" s="7">
        <f>IF(A102="","",IF((A102+114)&gt;Model!$B$4,0,MAX(0,Model!$B$6-IF((A102+114)&gt;=Model!$B$11,Model!$B$20,0)-IF(114&lt;Model!$B$15,Model!$B$22,0))/(1-Model!$B$9)/(1+Model!$B$18)^114))</f>
        <v/>
      </c>
      <c r="DY102" s="7">
        <f>IF(A102="","",IF((A102+115)&gt;Model!$B$4,0,MAX(0,Model!$B$6-IF((A102+115)&gt;=Model!$B$11,Model!$B$20,0)-IF(115&lt;Model!$B$15,Model!$B$22,0))/(1-Model!$B$9)/(1+Model!$B$18)^115))</f>
        <v/>
      </c>
      <c r="DZ102" s="7">
        <f>IF(A102="","",IF((A102+116)&gt;Model!$B$4,0,MAX(0,Model!$B$6-IF((A102+116)&gt;=Model!$B$11,Model!$B$20,0)-IF(116&lt;Model!$B$15,Model!$B$22,0))/(1-Model!$B$9)/(1+Model!$B$18)^116))</f>
        <v/>
      </c>
      <c r="EA102" s="7">
        <f>IF(A102="","",IF((A102+117)&gt;Model!$B$4,0,MAX(0,Model!$B$6-IF((A102+117)&gt;=Model!$B$11,Model!$B$20,0)-IF(117&lt;Model!$B$15,Model!$B$22,0))/(1-Model!$B$9)/(1+Model!$B$18)^117))</f>
        <v/>
      </c>
      <c r="EB102" s="7">
        <f>IF(A102="","",IF((A102+118)&gt;Model!$B$4,0,MAX(0,Model!$B$6-IF((A102+118)&gt;=Model!$B$11,Model!$B$20,0)-IF(118&lt;Model!$B$15,Model!$B$22,0))/(1-Model!$B$9)/(1+Model!$B$18)^118))</f>
        <v/>
      </c>
      <c r="EC102" s="7">
        <f>IF(A102="","",IF((A102+119)&gt;Model!$B$4,0,MAX(0,Model!$B$6-IF((A102+119)&gt;=Model!$B$11,Model!$B$20,0)-IF(119&lt;Model!$B$15,Model!$B$22,0))/(1-Model!$B$9)/(1+Model!$B$18)^119))</f>
        <v/>
      </c>
      <c r="ED102" s="7">
        <f>IF(A102="","",IF((A102+120)&gt;Model!$B$4,0,MAX(0,Model!$B$6-IF((A102+120)&gt;=Model!$B$11,Model!$B$20,0)-IF(120&lt;Model!$B$15,Model!$B$22,0))/(1-Model!$B$9)/(1+Model!$B$18)^120))</f>
        <v/>
      </c>
    </row>
    <row r="103">
      <c r="A103">
        <f>IF(Model!$B$10+ROW()-2&lt;=Model!$B$4,Model!$B$10+ROW()-2,"")</f>
        <v/>
      </c>
      <c r="B103">
        <f>IF(A103="","",A103-Model!$B$10)</f>
        <v/>
      </c>
      <c r="C103" s="7">
        <f>IF(A103="","",Model!$B$5*(1+Model!$B$18)^B103)</f>
        <v/>
      </c>
      <c r="D103" s="7">
        <f>IF(A103="","",SUM(N103:ED103))</f>
        <v/>
      </c>
      <c r="E103" s="7">
        <f>IF(A103="","",IF(A103&gt;=Model!$B$11,Model!$B$20,0))</f>
        <v/>
      </c>
      <c r="F103" s="7">
        <f>IF(A103="","",IF(Model!$B$15&gt;0,Model!$B$22,0))</f>
        <v/>
      </c>
      <c r="G103" s="7">
        <f>IF(A103="","",E103+F103)</f>
        <v/>
      </c>
      <c r="H103" s="7">
        <f>IF(A103="","",MAX(0,Model!$B$6-G103))</f>
        <v/>
      </c>
      <c r="I103" s="7">
        <f>IF(A103="","",H103/(1-Model!$B$9))</f>
        <v/>
      </c>
      <c r="J103" s="7">
        <f>IF(A103="","",C103-D103)</f>
        <v/>
      </c>
      <c r="K103">
        <f>IF(A103="","",C103&gt;=D103)</f>
        <v/>
      </c>
      <c r="L103" s="7">
        <f>IF(A103="","",IF(A103&gt;=Model!$B$11,Model!$B$19*(1+Model!$B$13)^B103,0))</f>
        <v/>
      </c>
      <c r="M103" s="7">
        <f>IF(A103="","",IF(Model!$B$15&gt;0,Model!$B$21*(1+Model!$B$13)^B103,0))</f>
        <v/>
      </c>
      <c r="N103" s="7">
        <f>IF(A103="","",IF((A103+0)&gt;Model!$B$4,0,MAX(0,Model!$B$6-IF((A103+0)&gt;=Model!$B$11,Model!$B$20,0)-IF(0&lt;Model!$B$15,Model!$B$22,0))/(1-Model!$B$9)/(1+Model!$B$18)^0))</f>
        <v/>
      </c>
      <c r="O103" s="7">
        <f>IF(A103="","",IF((A103+1)&gt;Model!$B$4,0,MAX(0,Model!$B$6-IF((A103+1)&gt;=Model!$B$11,Model!$B$20,0)-IF(1&lt;Model!$B$15,Model!$B$22,0))/(1-Model!$B$9)/(1+Model!$B$18)^1))</f>
        <v/>
      </c>
      <c r="P103" s="7">
        <f>IF(A103="","",IF((A103+2)&gt;Model!$B$4,0,MAX(0,Model!$B$6-IF((A103+2)&gt;=Model!$B$11,Model!$B$20,0)-IF(2&lt;Model!$B$15,Model!$B$22,0))/(1-Model!$B$9)/(1+Model!$B$18)^2))</f>
        <v/>
      </c>
      <c r="Q103" s="7">
        <f>IF(A103="","",IF((A103+3)&gt;Model!$B$4,0,MAX(0,Model!$B$6-IF((A103+3)&gt;=Model!$B$11,Model!$B$20,0)-IF(3&lt;Model!$B$15,Model!$B$22,0))/(1-Model!$B$9)/(1+Model!$B$18)^3))</f>
        <v/>
      </c>
      <c r="R103" s="7">
        <f>IF(A103="","",IF((A103+4)&gt;Model!$B$4,0,MAX(0,Model!$B$6-IF((A103+4)&gt;=Model!$B$11,Model!$B$20,0)-IF(4&lt;Model!$B$15,Model!$B$22,0))/(1-Model!$B$9)/(1+Model!$B$18)^4))</f>
        <v/>
      </c>
      <c r="S103" s="7">
        <f>IF(A103="","",IF((A103+5)&gt;Model!$B$4,0,MAX(0,Model!$B$6-IF((A103+5)&gt;=Model!$B$11,Model!$B$20,0)-IF(5&lt;Model!$B$15,Model!$B$22,0))/(1-Model!$B$9)/(1+Model!$B$18)^5))</f>
        <v/>
      </c>
      <c r="T103" s="7">
        <f>IF(A103="","",IF((A103+6)&gt;Model!$B$4,0,MAX(0,Model!$B$6-IF((A103+6)&gt;=Model!$B$11,Model!$B$20,0)-IF(6&lt;Model!$B$15,Model!$B$22,0))/(1-Model!$B$9)/(1+Model!$B$18)^6))</f>
        <v/>
      </c>
      <c r="U103" s="7">
        <f>IF(A103="","",IF((A103+7)&gt;Model!$B$4,0,MAX(0,Model!$B$6-IF((A103+7)&gt;=Model!$B$11,Model!$B$20,0)-IF(7&lt;Model!$B$15,Model!$B$22,0))/(1-Model!$B$9)/(1+Model!$B$18)^7))</f>
        <v/>
      </c>
      <c r="V103" s="7">
        <f>IF(A103="","",IF((A103+8)&gt;Model!$B$4,0,MAX(0,Model!$B$6-IF((A103+8)&gt;=Model!$B$11,Model!$B$20,0)-IF(8&lt;Model!$B$15,Model!$B$22,0))/(1-Model!$B$9)/(1+Model!$B$18)^8))</f>
        <v/>
      </c>
      <c r="W103" s="7">
        <f>IF(A103="","",IF((A103+9)&gt;Model!$B$4,0,MAX(0,Model!$B$6-IF((A103+9)&gt;=Model!$B$11,Model!$B$20,0)-IF(9&lt;Model!$B$15,Model!$B$22,0))/(1-Model!$B$9)/(1+Model!$B$18)^9))</f>
        <v/>
      </c>
      <c r="X103" s="7">
        <f>IF(A103="","",IF((A103+10)&gt;Model!$B$4,0,MAX(0,Model!$B$6-IF((A103+10)&gt;=Model!$B$11,Model!$B$20,0)-IF(10&lt;Model!$B$15,Model!$B$22,0))/(1-Model!$B$9)/(1+Model!$B$18)^10))</f>
        <v/>
      </c>
      <c r="Y103" s="7">
        <f>IF(A103="","",IF((A103+11)&gt;Model!$B$4,0,MAX(0,Model!$B$6-IF((A103+11)&gt;=Model!$B$11,Model!$B$20,0)-IF(11&lt;Model!$B$15,Model!$B$22,0))/(1-Model!$B$9)/(1+Model!$B$18)^11))</f>
        <v/>
      </c>
      <c r="Z103" s="7">
        <f>IF(A103="","",IF((A103+12)&gt;Model!$B$4,0,MAX(0,Model!$B$6-IF((A103+12)&gt;=Model!$B$11,Model!$B$20,0)-IF(12&lt;Model!$B$15,Model!$B$22,0))/(1-Model!$B$9)/(1+Model!$B$18)^12))</f>
        <v/>
      </c>
      <c r="AA103" s="7">
        <f>IF(A103="","",IF((A103+13)&gt;Model!$B$4,0,MAX(0,Model!$B$6-IF((A103+13)&gt;=Model!$B$11,Model!$B$20,0)-IF(13&lt;Model!$B$15,Model!$B$22,0))/(1-Model!$B$9)/(1+Model!$B$18)^13))</f>
        <v/>
      </c>
      <c r="AB103" s="7">
        <f>IF(A103="","",IF((A103+14)&gt;Model!$B$4,0,MAX(0,Model!$B$6-IF((A103+14)&gt;=Model!$B$11,Model!$B$20,0)-IF(14&lt;Model!$B$15,Model!$B$22,0))/(1-Model!$B$9)/(1+Model!$B$18)^14))</f>
        <v/>
      </c>
      <c r="AC103" s="7">
        <f>IF(A103="","",IF((A103+15)&gt;Model!$B$4,0,MAX(0,Model!$B$6-IF((A103+15)&gt;=Model!$B$11,Model!$B$20,0)-IF(15&lt;Model!$B$15,Model!$B$22,0))/(1-Model!$B$9)/(1+Model!$B$18)^15))</f>
        <v/>
      </c>
      <c r="AD103" s="7">
        <f>IF(A103="","",IF((A103+16)&gt;Model!$B$4,0,MAX(0,Model!$B$6-IF((A103+16)&gt;=Model!$B$11,Model!$B$20,0)-IF(16&lt;Model!$B$15,Model!$B$22,0))/(1-Model!$B$9)/(1+Model!$B$18)^16))</f>
        <v/>
      </c>
      <c r="AE103" s="7">
        <f>IF(A103="","",IF((A103+17)&gt;Model!$B$4,0,MAX(0,Model!$B$6-IF((A103+17)&gt;=Model!$B$11,Model!$B$20,0)-IF(17&lt;Model!$B$15,Model!$B$22,0))/(1-Model!$B$9)/(1+Model!$B$18)^17))</f>
        <v/>
      </c>
      <c r="AF103" s="7">
        <f>IF(A103="","",IF((A103+18)&gt;Model!$B$4,0,MAX(0,Model!$B$6-IF((A103+18)&gt;=Model!$B$11,Model!$B$20,0)-IF(18&lt;Model!$B$15,Model!$B$22,0))/(1-Model!$B$9)/(1+Model!$B$18)^18))</f>
        <v/>
      </c>
      <c r="AG103" s="7">
        <f>IF(A103="","",IF((A103+19)&gt;Model!$B$4,0,MAX(0,Model!$B$6-IF((A103+19)&gt;=Model!$B$11,Model!$B$20,0)-IF(19&lt;Model!$B$15,Model!$B$22,0))/(1-Model!$B$9)/(1+Model!$B$18)^19))</f>
        <v/>
      </c>
      <c r="AH103" s="7">
        <f>IF(A103="","",IF((A103+20)&gt;Model!$B$4,0,MAX(0,Model!$B$6-IF((A103+20)&gt;=Model!$B$11,Model!$B$20,0)-IF(20&lt;Model!$B$15,Model!$B$22,0))/(1-Model!$B$9)/(1+Model!$B$18)^20))</f>
        <v/>
      </c>
      <c r="AI103" s="7">
        <f>IF(A103="","",IF((A103+21)&gt;Model!$B$4,0,MAX(0,Model!$B$6-IF((A103+21)&gt;=Model!$B$11,Model!$B$20,0)-IF(21&lt;Model!$B$15,Model!$B$22,0))/(1-Model!$B$9)/(1+Model!$B$18)^21))</f>
        <v/>
      </c>
      <c r="AJ103" s="7">
        <f>IF(A103="","",IF((A103+22)&gt;Model!$B$4,0,MAX(0,Model!$B$6-IF((A103+22)&gt;=Model!$B$11,Model!$B$20,0)-IF(22&lt;Model!$B$15,Model!$B$22,0))/(1-Model!$B$9)/(1+Model!$B$18)^22))</f>
        <v/>
      </c>
      <c r="AK103" s="7">
        <f>IF(A103="","",IF((A103+23)&gt;Model!$B$4,0,MAX(0,Model!$B$6-IF((A103+23)&gt;=Model!$B$11,Model!$B$20,0)-IF(23&lt;Model!$B$15,Model!$B$22,0))/(1-Model!$B$9)/(1+Model!$B$18)^23))</f>
        <v/>
      </c>
      <c r="AL103" s="7">
        <f>IF(A103="","",IF((A103+24)&gt;Model!$B$4,0,MAX(0,Model!$B$6-IF((A103+24)&gt;=Model!$B$11,Model!$B$20,0)-IF(24&lt;Model!$B$15,Model!$B$22,0))/(1-Model!$B$9)/(1+Model!$B$18)^24))</f>
        <v/>
      </c>
      <c r="AM103" s="7">
        <f>IF(A103="","",IF((A103+25)&gt;Model!$B$4,0,MAX(0,Model!$B$6-IF((A103+25)&gt;=Model!$B$11,Model!$B$20,0)-IF(25&lt;Model!$B$15,Model!$B$22,0))/(1-Model!$B$9)/(1+Model!$B$18)^25))</f>
        <v/>
      </c>
      <c r="AN103" s="7">
        <f>IF(A103="","",IF((A103+26)&gt;Model!$B$4,0,MAX(0,Model!$B$6-IF((A103+26)&gt;=Model!$B$11,Model!$B$20,0)-IF(26&lt;Model!$B$15,Model!$B$22,0))/(1-Model!$B$9)/(1+Model!$B$18)^26))</f>
        <v/>
      </c>
      <c r="AO103" s="7">
        <f>IF(A103="","",IF((A103+27)&gt;Model!$B$4,0,MAX(0,Model!$B$6-IF((A103+27)&gt;=Model!$B$11,Model!$B$20,0)-IF(27&lt;Model!$B$15,Model!$B$22,0))/(1-Model!$B$9)/(1+Model!$B$18)^27))</f>
        <v/>
      </c>
      <c r="AP103" s="7">
        <f>IF(A103="","",IF((A103+28)&gt;Model!$B$4,0,MAX(0,Model!$B$6-IF((A103+28)&gt;=Model!$B$11,Model!$B$20,0)-IF(28&lt;Model!$B$15,Model!$B$22,0))/(1-Model!$B$9)/(1+Model!$B$18)^28))</f>
        <v/>
      </c>
      <c r="AQ103" s="7">
        <f>IF(A103="","",IF((A103+29)&gt;Model!$B$4,0,MAX(0,Model!$B$6-IF((A103+29)&gt;=Model!$B$11,Model!$B$20,0)-IF(29&lt;Model!$B$15,Model!$B$22,0))/(1-Model!$B$9)/(1+Model!$B$18)^29))</f>
        <v/>
      </c>
      <c r="AR103" s="7">
        <f>IF(A103="","",IF((A103+30)&gt;Model!$B$4,0,MAX(0,Model!$B$6-IF((A103+30)&gt;=Model!$B$11,Model!$B$20,0)-IF(30&lt;Model!$B$15,Model!$B$22,0))/(1-Model!$B$9)/(1+Model!$B$18)^30))</f>
        <v/>
      </c>
      <c r="AS103" s="7">
        <f>IF(A103="","",IF((A103+31)&gt;Model!$B$4,0,MAX(0,Model!$B$6-IF((A103+31)&gt;=Model!$B$11,Model!$B$20,0)-IF(31&lt;Model!$B$15,Model!$B$22,0))/(1-Model!$B$9)/(1+Model!$B$18)^31))</f>
        <v/>
      </c>
      <c r="AT103" s="7">
        <f>IF(A103="","",IF((A103+32)&gt;Model!$B$4,0,MAX(0,Model!$B$6-IF((A103+32)&gt;=Model!$B$11,Model!$B$20,0)-IF(32&lt;Model!$B$15,Model!$B$22,0))/(1-Model!$B$9)/(1+Model!$B$18)^32))</f>
        <v/>
      </c>
      <c r="AU103" s="7">
        <f>IF(A103="","",IF((A103+33)&gt;Model!$B$4,0,MAX(0,Model!$B$6-IF((A103+33)&gt;=Model!$B$11,Model!$B$20,0)-IF(33&lt;Model!$B$15,Model!$B$22,0))/(1-Model!$B$9)/(1+Model!$B$18)^33))</f>
        <v/>
      </c>
      <c r="AV103" s="7">
        <f>IF(A103="","",IF((A103+34)&gt;Model!$B$4,0,MAX(0,Model!$B$6-IF((A103+34)&gt;=Model!$B$11,Model!$B$20,0)-IF(34&lt;Model!$B$15,Model!$B$22,0))/(1-Model!$B$9)/(1+Model!$B$18)^34))</f>
        <v/>
      </c>
      <c r="AW103" s="7">
        <f>IF(A103="","",IF((A103+35)&gt;Model!$B$4,0,MAX(0,Model!$B$6-IF((A103+35)&gt;=Model!$B$11,Model!$B$20,0)-IF(35&lt;Model!$B$15,Model!$B$22,0))/(1-Model!$B$9)/(1+Model!$B$18)^35))</f>
        <v/>
      </c>
      <c r="AX103" s="7">
        <f>IF(A103="","",IF((A103+36)&gt;Model!$B$4,0,MAX(0,Model!$B$6-IF((A103+36)&gt;=Model!$B$11,Model!$B$20,0)-IF(36&lt;Model!$B$15,Model!$B$22,0))/(1-Model!$B$9)/(1+Model!$B$18)^36))</f>
        <v/>
      </c>
      <c r="AY103" s="7">
        <f>IF(A103="","",IF((A103+37)&gt;Model!$B$4,0,MAX(0,Model!$B$6-IF((A103+37)&gt;=Model!$B$11,Model!$B$20,0)-IF(37&lt;Model!$B$15,Model!$B$22,0))/(1-Model!$B$9)/(1+Model!$B$18)^37))</f>
        <v/>
      </c>
      <c r="AZ103" s="7">
        <f>IF(A103="","",IF((A103+38)&gt;Model!$B$4,0,MAX(0,Model!$B$6-IF((A103+38)&gt;=Model!$B$11,Model!$B$20,0)-IF(38&lt;Model!$B$15,Model!$B$22,0))/(1-Model!$B$9)/(1+Model!$B$18)^38))</f>
        <v/>
      </c>
      <c r="BA103" s="7">
        <f>IF(A103="","",IF((A103+39)&gt;Model!$B$4,0,MAX(0,Model!$B$6-IF((A103+39)&gt;=Model!$B$11,Model!$B$20,0)-IF(39&lt;Model!$B$15,Model!$B$22,0))/(1-Model!$B$9)/(1+Model!$B$18)^39))</f>
        <v/>
      </c>
      <c r="BB103" s="7">
        <f>IF(A103="","",IF((A103+40)&gt;Model!$B$4,0,MAX(0,Model!$B$6-IF((A103+40)&gt;=Model!$B$11,Model!$B$20,0)-IF(40&lt;Model!$B$15,Model!$B$22,0))/(1-Model!$B$9)/(1+Model!$B$18)^40))</f>
        <v/>
      </c>
      <c r="BC103" s="7">
        <f>IF(A103="","",IF((A103+41)&gt;Model!$B$4,0,MAX(0,Model!$B$6-IF((A103+41)&gt;=Model!$B$11,Model!$B$20,0)-IF(41&lt;Model!$B$15,Model!$B$22,0))/(1-Model!$B$9)/(1+Model!$B$18)^41))</f>
        <v/>
      </c>
      <c r="BD103" s="7">
        <f>IF(A103="","",IF((A103+42)&gt;Model!$B$4,0,MAX(0,Model!$B$6-IF((A103+42)&gt;=Model!$B$11,Model!$B$20,0)-IF(42&lt;Model!$B$15,Model!$B$22,0))/(1-Model!$B$9)/(1+Model!$B$18)^42))</f>
        <v/>
      </c>
      <c r="BE103" s="7">
        <f>IF(A103="","",IF((A103+43)&gt;Model!$B$4,0,MAX(0,Model!$B$6-IF((A103+43)&gt;=Model!$B$11,Model!$B$20,0)-IF(43&lt;Model!$B$15,Model!$B$22,0))/(1-Model!$B$9)/(1+Model!$B$18)^43))</f>
        <v/>
      </c>
      <c r="BF103" s="7">
        <f>IF(A103="","",IF((A103+44)&gt;Model!$B$4,0,MAX(0,Model!$B$6-IF((A103+44)&gt;=Model!$B$11,Model!$B$20,0)-IF(44&lt;Model!$B$15,Model!$B$22,0))/(1-Model!$B$9)/(1+Model!$B$18)^44))</f>
        <v/>
      </c>
      <c r="BG103" s="7">
        <f>IF(A103="","",IF((A103+45)&gt;Model!$B$4,0,MAX(0,Model!$B$6-IF((A103+45)&gt;=Model!$B$11,Model!$B$20,0)-IF(45&lt;Model!$B$15,Model!$B$22,0))/(1-Model!$B$9)/(1+Model!$B$18)^45))</f>
        <v/>
      </c>
      <c r="BH103" s="7">
        <f>IF(A103="","",IF((A103+46)&gt;Model!$B$4,0,MAX(0,Model!$B$6-IF((A103+46)&gt;=Model!$B$11,Model!$B$20,0)-IF(46&lt;Model!$B$15,Model!$B$22,0))/(1-Model!$B$9)/(1+Model!$B$18)^46))</f>
        <v/>
      </c>
      <c r="BI103" s="7">
        <f>IF(A103="","",IF((A103+47)&gt;Model!$B$4,0,MAX(0,Model!$B$6-IF((A103+47)&gt;=Model!$B$11,Model!$B$20,0)-IF(47&lt;Model!$B$15,Model!$B$22,0))/(1-Model!$B$9)/(1+Model!$B$18)^47))</f>
        <v/>
      </c>
      <c r="BJ103" s="7">
        <f>IF(A103="","",IF((A103+48)&gt;Model!$B$4,0,MAX(0,Model!$B$6-IF((A103+48)&gt;=Model!$B$11,Model!$B$20,0)-IF(48&lt;Model!$B$15,Model!$B$22,0))/(1-Model!$B$9)/(1+Model!$B$18)^48))</f>
        <v/>
      </c>
      <c r="BK103" s="7">
        <f>IF(A103="","",IF((A103+49)&gt;Model!$B$4,0,MAX(0,Model!$B$6-IF((A103+49)&gt;=Model!$B$11,Model!$B$20,0)-IF(49&lt;Model!$B$15,Model!$B$22,0))/(1-Model!$B$9)/(1+Model!$B$18)^49))</f>
        <v/>
      </c>
      <c r="BL103" s="7">
        <f>IF(A103="","",IF((A103+50)&gt;Model!$B$4,0,MAX(0,Model!$B$6-IF((A103+50)&gt;=Model!$B$11,Model!$B$20,0)-IF(50&lt;Model!$B$15,Model!$B$22,0))/(1-Model!$B$9)/(1+Model!$B$18)^50))</f>
        <v/>
      </c>
      <c r="BM103" s="7">
        <f>IF(A103="","",IF((A103+51)&gt;Model!$B$4,0,MAX(0,Model!$B$6-IF((A103+51)&gt;=Model!$B$11,Model!$B$20,0)-IF(51&lt;Model!$B$15,Model!$B$22,0))/(1-Model!$B$9)/(1+Model!$B$18)^51))</f>
        <v/>
      </c>
      <c r="BN103" s="7">
        <f>IF(A103="","",IF((A103+52)&gt;Model!$B$4,0,MAX(0,Model!$B$6-IF((A103+52)&gt;=Model!$B$11,Model!$B$20,0)-IF(52&lt;Model!$B$15,Model!$B$22,0))/(1-Model!$B$9)/(1+Model!$B$18)^52))</f>
        <v/>
      </c>
      <c r="BO103" s="7">
        <f>IF(A103="","",IF((A103+53)&gt;Model!$B$4,0,MAX(0,Model!$B$6-IF((A103+53)&gt;=Model!$B$11,Model!$B$20,0)-IF(53&lt;Model!$B$15,Model!$B$22,0))/(1-Model!$B$9)/(1+Model!$B$18)^53))</f>
        <v/>
      </c>
      <c r="BP103" s="7">
        <f>IF(A103="","",IF((A103+54)&gt;Model!$B$4,0,MAX(0,Model!$B$6-IF((A103+54)&gt;=Model!$B$11,Model!$B$20,0)-IF(54&lt;Model!$B$15,Model!$B$22,0))/(1-Model!$B$9)/(1+Model!$B$18)^54))</f>
        <v/>
      </c>
      <c r="BQ103" s="7">
        <f>IF(A103="","",IF((A103+55)&gt;Model!$B$4,0,MAX(0,Model!$B$6-IF((A103+55)&gt;=Model!$B$11,Model!$B$20,0)-IF(55&lt;Model!$B$15,Model!$B$22,0))/(1-Model!$B$9)/(1+Model!$B$18)^55))</f>
        <v/>
      </c>
      <c r="BR103" s="7">
        <f>IF(A103="","",IF((A103+56)&gt;Model!$B$4,0,MAX(0,Model!$B$6-IF((A103+56)&gt;=Model!$B$11,Model!$B$20,0)-IF(56&lt;Model!$B$15,Model!$B$22,0))/(1-Model!$B$9)/(1+Model!$B$18)^56))</f>
        <v/>
      </c>
      <c r="BS103" s="7">
        <f>IF(A103="","",IF((A103+57)&gt;Model!$B$4,0,MAX(0,Model!$B$6-IF((A103+57)&gt;=Model!$B$11,Model!$B$20,0)-IF(57&lt;Model!$B$15,Model!$B$22,0))/(1-Model!$B$9)/(1+Model!$B$18)^57))</f>
        <v/>
      </c>
      <c r="BT103" s="7">
        <f>IF(A103="","",IF((A103+58)&gt;Model!$B$4,0,MAX(0,Model!$B$6-IF((A103+58)&gt;=Model!$B$11,Model!$B$20,0)-IF(58&lt;Model!$B$15,Model!$B$22,0))/(1-Model!$B$9)/(1+Model!$B$18)^58))</f>
        <v/>
      </c>
      <c r="BU103" s="7">
        <f>IF(A103="","",IF((A103+59)&gt;Model!$B$4,0,MAX(0,Model!$B$6-IF((A103+59)&gt;=Model!$B$11,Model!$B$20,0)-IF(59&lt;Model!$B$15,Model!$B$22,0))/(1-Model!$B$9)/(1+Model!$B$18)^59))</f>
        <v/>
      </c>
      <c r="BV103" s="7">
        <f>IF(A103="","",IF((A103+60)&gt;Model!$B$4,0,MAX(0,Model!$B$6-IF((A103+60)&gt;=Model!$B$11,Model!$B$20,0)-IF(60&lt;Model!$B$15,Model!$B$22,0))/(1-Model!$B$9)/(1+Model!$B$18)^60))</f>
        <v/>
      </c>
      <c r="BW103" s="7">
        <f>IF(A103="","",IF((A103+61)&gt;Model!$B$4,0,MAX(0,Model!$B$6-IF((A103+61)&gt;=Model!$B$11,Model!$B$20,0)-IF(61&lt;Model!$B$15,Model!$B$22,0))/(1-Model!$B$9)/(1+Model!$B$18)^61))</f>
        <v/>
      </c>
      <c r="BX103" s="7">
        <f>IF(A103="","",IF((A103+62)&gt;Model!$B$4,0,MAX(0,Model!$B$6-IF((A103+62)&gt;=Model!$B$11,Model!$B$20,0)-IF(62&lt;Model!$B$15,Model!$B$22,0))/(1-Model!$B$9)/(1+Model!$B$18)^62))</f>
        <v/>
      </c>
      <c r="BY103" s="7">
        <f>IF(A103="","",IF((A103+63)&gt;Model!$B$4,0,MAX(0,Model!$B$6-IF((A103+63)&gt;=Model!$B$11,Model!$B$20,0)-IF(63&lt;Model!$B$15,Model!$B$22,0))/(1-Model!$B$9)/(1+Model!$B$18)^63))</f>
        <v/>
      </c>
      <c r="BZ103" s="7">
        <f>IF(A103="","",IF((A103+64)&gt;Model!$B$4,0,MAX(0,Model!$B$6-IF((A103+64)&gt;=Model!$B$11,Model!$B$20,0)-IF(64&lt;Model!$B$15,Model!$B$22,0))/(1-Model!$B$9)/(1+Model!$B$18)^64))</f>
        <v/>
      </c>
      <c r="CA103" s="7">
        <f>IF(A103="","",IF((A103+65)&gt;Model!$B$4,0,MAX(0,Model!$B$6-IF((A103+65)&gt;=Model!$B$11,Model!$B$20,0)-IF(65&lt;Model!$B$15,Model!$B$22,0))/(1-Model!$B$9)/(1+Model!$B$18)^65))</f>
        <v/>
      </c>
      <c r="CB103" s="7">
        <f>IF(A103="","",IF((A103+66)&gt;Model!$B$4,0,MAX(0,Model!$B$6-IF((A103+66)&gt;=Model!$B$11,Model!$B$20,0)-IF(66&lt;Model!$B$15,Model!$B$22,0))/(1-Model!$B$9)/(1+Model!$B$18)^66))</f>
        <v/>
      </c>
      <c r="CC103" s="7">
        <f>IF(A103="","",IF((A103+67)&gt;Model!$B$4,0,MAX(0,Model!$B$6-IF((A103+67)&gt;=Model!$B$11,Model!$B$20,0)-IF(67&lt;Model!$B$15,Model!$B$22,0))/(1-Model!$B$9)/(1+Model!$B$18)^67))</f>
        <v/>
      </c>
      <c r="CD103" s="7">
        <f>IF(A103="","",IF((A103+68)&gt;Model!$B$4,0,MAX(0,Model!$B$6-IF((A103+68)&gt;=Model!$B$11,Model!$B$20,0)-IF(68&lt;Model!$B$15,Model!$B$22,0))/(1-Model!$B$9)/(1+Model!$B$18)^68))</f>
        <v/>
      </c>
      <c r="CE103" s="7">
        <f>IF(A103="","",IF((A103+69)&gt;Model!$B$4,0,MAX(0,Model!$B$6-IF((A103+69)&gt;=Model!$B$11,Model!$B$20,0)-IF(69&lt;Model!$B$15,Model!$B$22,0))/(1-Model!$B$9)/(1+Model!$B$18)^69))</f>
        <v/>
      </c>
      <c r="CF103" s="7">
        <f>IF(A103="","",IF((A103+70)&gt;Model!$B$4,0,MAX(0,Model!$B$6-IF((A103+70)&gt;=Model!$B$11,Model!$B$20,0)-IF(70&lt;Model!$B$15,Model!$B$22,0))/(1-Model!$B$9)/(1+Model!$B$18)^70))</f>
        <v/>
      </c>
      <c r="CG103" s="7">
        <f>IF(A103="","",IF((A103+71)&gt;Model!$B$4,0,MAX(0,Model!$B$6-IF((A103+71)&gt;=Model!$B$11,Model!$B$20,0)-IF(71&lt;Model!$B$15,Model!$B$22,0))/(1-Model!$B$9)/(1+Model!$B$18)^71))</f>
        <v/>
      </c>
      <c r="CH103" s="7">
        <f>IF(A103="","",IF((A103+72)&gt;Model!$B$4,0,MAX(0,Model!$B$6-IF((A103+72)&gt;=Model!$B$11,Model!$B$20,0)-IF(72&lt;Model!$B$15,Model!$B$22,0))/(1-Model!$B$9)/(1+Model!$B$18)^72))</f>
        <v/>
      </c>
      <c r="CI103" s="7">
        <f>IF(A103="","",IF((A103+73)&gt;Model!$B$4,0,MAX(0,Model!$B$6-IF((A103+73)&gt;=Model!$B$11,Model!$B$20,0)-IF(73&lt;Model!$B$15,Model!$B$22,0))/(1-Model!$B$9)/(1+Model!$B$18)^73))</f>
        <v/>
      </c>
      <c r="CJ103" s="7">
        <f>IF(A103="","",IF((A103+74)&gt;Model!$B$4,0,MAX(0,Model!$B$6-IF((A103+74)&gt;=Model!$B$11,Model!$B$20,0)-IF(74&lt;Model!$B$15,Model!$B$22,0))/(1-Model!$B$9)/(1+Model!$B$18)^74))</f>
        <v/>
      </c>
      <c r="CK103" s="7">
        <f>IF(A103="","",IF((A103+75)&gt;Model!$B$4,0,MAX(0,Model!$B$6-IF((A103+75)&gt;=Model!$B$11,Model!$B$20,0)-IF(75&lt;Model!$B$15,Model!$B$22,0))/(1-Model!$B$9)/(1+Model!$B$18)^75))</f>
        <v/>
      </c>
      <c r="CL103" s="7">
        <f>IF(A103="","",IF((A103+76)&gt;Model!$B$4,0,MAX(0,Model!$B$6-IF((A103+76)&gt;=Model!$B$11,Model!$B$20,0)-IF(76&lt;Model!$B$15,Model!$B$22,0))/(1-Model!$B$9)/(1+Model!$B$18)^76))</f>
        <v/>
      </c>
      <c r="CM103" s="7">
        <f>IF(A103="","",IF((A103+77)&gt;Model!$B$4,0,MAX(0,Model!$B$6-IF((A103+77)&gt;=Model!$B$11,Model!$B$20,0)-IF(77&lt;Model!$B$15,Model!$B$22,0))/(1-Model!$B$9)/(1+Model!$B$18)^77))</f>
        <v/>
      </c>
      <c r="CN103" s="7">
        <f>IF(A103="","",IF((A103+78)&gt;Model!$B$4,0,MAX(0,Model!$B$6-IF((A103+78)&gt;=Model!$B$11,Model!$B$20,0)-IF(78&lt;Model!$B$15,Model!$B$22,0))/(1-Model!$B$9)/(1+Model!$B$18)^78))</f>
        <v/>
      </c>
      <c r="CO103" s="7">
        <f>IF(A103="","",IF((A103+79)&gt;Model!$B$4,0,MAX(0,Model!$B$6-IF((A103+79)&gt;=Model!$B$11,Model!$B$20,0)-IF(79&lt;Model!$B$15,Model!$B$22,0))/(1-Model!$B$9)/(1+Model!$B$18)^79))</f>
        <v/>
      </c>
      <c r="CP103" s="7">
        <f>IF(A103="","",IF((A103+80)&gt;Model!$B$4,0,MAX(0,Model!$B$6-IF((A103+80)&gt;=Model!$B$11,Model!$B$20,0)-IF(80&lt;Model!$B$15,Model!$B$22,0))/(1-Model!$B$9)/(1+Model!$B$18)^80))</f>
        <v/>
      </c>
      <c r="CQ103" s="7">
        <f>IF(A103="","",IF((A103+81)&gt;Model!$B$4,0,MAX(0,Model!$B$6-IF((A103+81)&gt;=Model!$B$11,Model!$B$20,0)-IF(81&lt;Model!$B$15,Model!$B$22,0))/(1-Model!$B$9)/(1+Model!$B$18)^81))</f>
        <v/>
      </c>
      <c r="CR103" s="7">
        <f>IF(A103="","",IF((A103+82)&gt;Model!$B$4,0,MAX(0,Model!$B$6-IF((A103+82)&gt;=Model!$B$11,Model!$B$20,0)-IF(82&lt;Model!$B$15,Model!$B$22,0))/(1-Model!$B$9)/(1+Model!$B$18)^82))</f>
        <v/>
      </c>
      <c r="CS103" s="7">
        <f>IF(A103="","",IF((A103+83)&gt;Model!$B$4,0,MAX(0,Model!$B$6-IF((A103+83)&gt;=Model!$B$11,Model!$B$20,0)-IF(83&lt;Model!$B$15,Model!$B$22,0))/(1-Model!$B$9)/(1+Model!$B$18)^83))</f>
        <v/>
      </c>
      <c r="CT103" s="7">
        <f>IF(A103="","",IF((A103+84)&gt;Model!$B$4,0,MAX(0,Model!$B$6-IF((A103+84)&gt;=Model!$B$11,Model!$B$20,0)-IF(84&lt;Model!$B$15,Model!$B$22,0))/(1-Model!$B$9)/(1+Model!$B$18)^84))</f>
        <v/>
      </c>
      <c r="CU103" s="7">
        <f>IF(A103="","",IF((A103+85)&gt;Model!$B$4,0,MAX(0,Model!$B$6-IF((A103+85)&gt;=Model!$B$11,Model!$B$20,0)-IF(85&lt;Model!$B$15,Model!$B$22,0))/(1-Model!$B$9)/(1+Model!$B$18)^85))</f>
        <v/>
      </c>
      <c r="CV103" s="7">
        <f>IF(A103="","",IF((A103+86)&gt;Model!$B$4,0,MAX(0,Model!$B$6-IF((A103+86)&gt;=Model!$B$11,Model!$B$20,0)-IF(86&lt;Model!$B$15,Model!$B$22,0))/(1-Model!$B$9)/(1+Model!$B$18)^86))</f>
        <v/>
      </c>
      <c r="CW103" s="7">
        <f>IF(A103="","",IF((A103+87)&gt;Model!$B$4,0,MAX(0,Model!$B$6-IF((A103+87)&gt;=Model!$B$11,Model!$B$20,0)-IF(87&lt;Model!$B$15,Model!$B$22,0))/(1-Model!$B$9)/(1+Model!$B$18)^87))</f>
        <v/>
      </c>
      <c r="CX103" s="7">
        <f>IF(A103="","",IF((A103+88)&gt;Model!$B$4,0,MAX(0,Model!$B$6-IF((A103+88)&gt;=Model!$B$11,Model!$B$20,0)-IF(88&lt;Model!$B$15,Model!$B$22,0))/(1-Model!$B$9)/(1+Model!$B$18)^88))</f>
        <v/>
      </c>
      <c r="CY103" s="7">
        <f>IF(A103="","",IF((A103+89)&gt;Model!$B$4,0,MAX(0,Model!$B$6-IF((A103+89)&gt;=Model!$B$11,Model!$B$20,0)-IF(89&lt;Model!$B$15,Model!$B$22,0))/(1-Model!$B$9)/(1+Model!$B$18)^89))</f>
        <v/>
      </c>
      <c r="CZ103" s="7">
        <f>IF(A103="","",IF((A103+90)&gt;Model!$B$4,0,MAX(0,Model!$B$6-IF((A103+90)&gt;=Model!$B$11,Model!$B$20,0)-IF(90&lt;Model!$B$15,Model!$B$22,0))/(1-Model!$B$9)/(1+Model!$B$18)^90))</f>
        <v/>
      </c>
      <c r="DA103" s="7">
        <f>IF(A103="","",IF((A103+91)&gt;Model!$B$4,0,MAX(0,Model!$B$6-IF((A103+91)&gt;=Model!$B$11,Model!$B$20,0)-IF(91&lt;Model!$B$15,Model!$B$22,0))/(1-Model!$B$9)/(1+Model!$B$18)^91))</f>
        <v/>
      </c>
      <c r="DB103" s="7">
        <f>IF(A103="","",IF((A103+92)&gt;Model!$B$4,0,MAX(0,Model!$B$6-IF((A103+92)&gt;=Model!$B$11,Model!$B$20,0)-IF(92&lt;Model!$B$15,Model!$B$22,0))/(1-Model!$B$9)/(1+Model!$B$18)^92))</f>
        <v/>
      </c>
      <c r="DC103" s="7">
        <f>IF(A103="","",IF((A103+93)&gt;Model!$B$4,0,MAX(0,Model!$B$6-IF((A103+93)&gt;=Model!$B$11,Model!$B$20,0)-IF(93&lt;Model!$B$15,Model!$B$22,0))/(1-Model!$B$9)/(1+Model!$B$18)^93))</f>
        <v/>
      </c>
      <c r="DD103" s="7">
        <f>IF(A103="","",IF((A103+94)&gt;Model!$B$4,0,MAX(0,Model!$B$6-IF((A103+94)&gt;=Model!$B$11,Model!$B$20,0)-IF(94&lt;Model!$B$15,Model!$B$22,0))/(1-Model!$B$9)/(1+Model!$B$18)^94))</f>
        <v/>
      </c>
      <c r="DE103" s="7">
        <f>IF(A103="","",IF((A103+95)&gt;Model!$B$4,0,MAX(0,Model!$B$6-IF((A103+95)&gt;=Model!$B$11,Model!$B$20,0)-IF(95&lt;Model!$B$15,Model!$B$22,0))/(1-Model!$B$9)/(1+Model!$B$18)^95))</f>
        <v/>
      </c>
      <c r="DF103" s="7">
        <f>IF(A103="","",IF((A103+96)&gt;Model!$B$4,0,MAX(0,Model!$B$6-IF((A103+96)&gt;=Model!$B$11,Model!$B$20,0)-IF(96&lt;Model!$B$15,Model!$B$22,0))/(1-Model!$B$9)/(1+Model!$B$18)^96))</f>
        <v/>
      </c>
      <c r="DG103" s="7">
        <f>IF(A103="","",IF((A103+97)&gt;Model!$B$4,0,MAX(0,Model!$B$6-IF((A103+97)&gt;=Model!$B$11,Model!$B$20,0)-IF(97&lt;Model!$B$15,Model!$B$22,0))/(1-Model!$B$9)/(1+Model!$B$18)^97))</f>
        <v/>
      </c>
      <c r="DH103" s="7">
        <f>IF(A103="","",IF((A103+98)&gt;Model!$B$4,0,MAX(0,Model!$B$6-IF((A103+98)&gt;=Model!$B$11,Model!$B$20,0)-IF(98&lt;Model!$B$15,Model!$B$22,0))/(1-Model!$B$9)/(1+Model!$B$18)^98))</f>
        <v/>
      </c>
      <c r="DI103" s="7">
        <f>IF(A103="","",IF((A103+99)&gt;Model!$B$4,0,MAX(0,Model!$B$6-IF((A103+99)&gt;=Model!$B$11,Model!$B$20,0)-IF(99&lt;Model!$B$15,Model!$B$22,0))/(1-Model!$B$9)/(1+Model!$B$18)^99))</f>
        <v/>
      </c>
      <c r="DJ103" s="7">
        <f>IF(A103="","",IF((A103+100)&gt;Model!$B$4,0,MAX(0,Model!$B$6-IF((A103+100)&gt;=Model!$B$11,Model!$B$20,0)-IF(100&lt;Model!$B$15,Model!$B$22,0))/(1-Model!$B$9)/(1+Model!$B$18)^100))</f>
        <v/>
      </c>
      <c r="DK103" s="7">
        <f>IF(A103="","",IF((A103+101)&gt;Model!$B$4,0,MAX(0,Model!$B$6-IF((A103+101)&gt;=Model!$B$11,Model!$B$20,0)-IF(101&lt;Model!$B$15,Model!$B$22,0))/(1-Model!$B$9)/(1+Model!$B$18)^101))</f>
        <v/>
      </c>
      <c r="DL103" s="7">
        <f>IF(A103="","",IF((A103+102)&gt;Model!$B$4,0,MAX(0,Model!$B$6-IF((A103+102)&gt;=Model!$B$11,Model!$B$20,0)-IF(102&lt;Model!$B$15,Model!$B$22,0))/(1-Model!$B$9)/(1+Model!$B$18)^102))</f>
        <v/>
      </c>
      <c r="DM103" s="7">
        <f>IF(A103="","",IF((A103+103)&gt;Model!$B$4,0,MAX(0,Model!$B$6-IF((A103+103)&gt;=Model!$B$11,Model!$B$20,0)-IF(103&lt;Model!$B$15,Model!$B$22,0))/(1-Model!$B$9)/(1+Model!$B$18)^103))</f>
        <v/>
      </c>
      <c r="DN103" s="7">
        <f>IF(A103="","",IF((A103+104)&gt;Model!$B$4,0,MAX(0,Model!$B$6-IF((A103+104)&gt;=Model!$B$11,Model!$B$20,0)-IF(104&lt;Model!$B$15,Model!$B$22,0))/(1-Model!$B$9)/(1+Model!$B$18)^104))</f>
        <v/>
      </c>
      <c r="DO103" s="7">
        <f>IF(A103="","",IF((A103+105)&gt;Model!$B$4,0,MAX(0,Model!$B$6-IF((A103+105)&gt;=Model!$B$11,Model!$B$20,0)-IF(105&lt;Model!$B$15,Model!$B$22,0))/(1-Model!$B$9)/(1+Model!$B$18)^105))</f>
        <v/>
      </c>
      <c r="DP103" s="7">
        <f>IF(A103="","",IF((A103+106)&gt;Model!$B$4,0,MAX(0,Model!$B$6-IF((A103+106)&gt;=Model!$B$11,Model!$B$20,0)-IF(106&lt;Model!$B$15,Model!$B$22,0))/(1-Model!$B$9)/(1+Model!$B$18)^106))</f>
        <v/>
      </c>
      <c r="DQ103" s="7">
        <f>IF(A103="","",IF((A103+107)&gt;Model!$B$4,0,MAX(0,Model!$B$6-IF((A103+107)&gt;=Model!$B$11,Model!$B$20,0)-IF(107&lt;Model!$B$15,Model!$B$22,0))/(1-Model!$B$9)/(1+Model!$B$18)^107))</f>
        <v/>
      </c>
      <c r="DR103" s="7">
        <f>IF(A103="","",IF((A103+108)&gt;Model!$B$4,0,MAX(0,Model!$B$6-IF((A103+108)&gt;=Model!$B$11,Model!$B$20,0)-IF(108&lt;Model!$B$15,Model!$B$22,0))/(1-Model!$B$9)/(1+Model!$B$18)^108))</f>
        <v/>
      </c>
      <c r="DS103" s="7">
        <f>IF(A103="","",IF((A103+109)&gt;Model!$B$4,0,MAX(0,Model!$B$6-IF((A103+109)&gt;=Model!$B$11,Model!$B$20,0)-IF(109&lt;Model!$B$15,Model!$B$22,0))/(1-Model!$B$9)/(1+Model!$B$18)^109))</f>
        <v/>
      </c>
      <c r="DT103" s="7">
        <f>IF(A103="","",IF((A103+110)&gt;Model!$B$4,0,MAX(0,Model!$B$6-IF((A103+110)&gt;=Model!$B$11,Model!$B$20,0)-IF(110&lt;Model!$B$15,Model!$B$22,0))/(1-Model!$B$9)/(1+Model!$B$18)^110))</f>
        <v/>
      </c>
      <c r="DU103" s="7">
        <f>IF(A103="","",IF((A103+111)&gt;Model!$B$4,0,MAX(0,Model!$B$6-IF((A103+111)&gt;=Model!$B$11,Model!$B$20,0)-IF(111&lt;Model!$B$15,Model!$B$22,0))/(1-Model!$B$9)/(1+Model!$B$18)^111))</f>
        <v/>
      </c>
      <c r="DV103" s="7">
        <f>IF(A103="","",IF((A103+112)&gt;Model!$B$4,0,MAX(0,Model!$B$6-IF((A103+112)&gt;=Model!$B$11,Model!$B$20,0)-IF(112&lt;Model!$B$15,Model!$B$22,0))/(1-Model!$B$9)/(1+Model!$B$18)^112))</f>
        <v/>
      </c>
      <c r="DW103" s="7">
        <f>IF(A103="","",IF((A103+113)&gt;Model!$B$4,0,MAX(0,Model!$B$6-IF((A103+113)&gt;=Model!$B$11,Model!$B$20,0)-IF(113&lt;Model!$B$15,Model!$B$22,0))/(1-Model!$B$9)/(1+Model!$B$18)^113))</f>
        <v/>
      </c>
      <c r="DX103" s="7">
        <f>IF(A103="","",IF((A103+114)&gt;Model!$B$4,0,MAX(0,Model!$B$6-IF((A103+114)&gt;=Model!$B$11,Model!$B$20,0)-IF(114&lt;Model!$B$15,Model!$B$22,0))/(1-Model!$B$9)/(1+Model!$B$18)^114))</f>
        <v/>
      </c>
      <c r="DY103" s="7">
        <f>IF(A103="","",IF((A103+115)&gt;Model!$B$4,0,MAX(0,Model!$B$6-IF((A103+115)&gt;=Model!$B$11,Model!$B$20,0)-IF(115&lt;Model!$B$15,Model!$B$22,0))/(1-Model!$B$9)/(1+Model!$B$18)^115))</f>
        <v/>
      </c>
      <c r="DZ103" s="7">
        <f>IF(A103="","",IF((A103+116)&gt;Model!$B$4,0,MAX(0,Model!$B$6-IF((A103+116)&gt;=Model!$B$11,Model!$B$20,0)-IF(116&lt;Model!$B$15,Model!$B$22,0))/(1-Model!$B$9)/(1+Model!$B$18)^116))</f>
        <v/>
      </c>
      <c r="EA103" s="7">
        <f>IF(A103="","",IF((A103+117)&gt;Model!$B$4,0,MAX(0,Model!$B$6-IF((A103+117)&gt;=Model!$B$11,Model!$B$20,0)-IF(117&lt;Model!$B$15,Model!$B$22,0))/(1-Model!$B$9)/(1+Model!$B$18)^117))</f>
        <v/>
      </c>
      <c r="EB103" s="7">
        <f>IF(A103="","",IF((A103+118)&gt;Model!$B$4,0,MAX(0,Model!$B$6-IF((A103+118)&gt;=Model!$B$11,Model!$B$20,0)-IF(118&lt;Model!$B$15,Model!$B$22,0))/(1-Model!$B$9)/(1+Model!$B$18)^118))</f>
        <v/>
      </c>
      <c r="EC103" s="7">
        <f>IF(A103="","",IF((A103+119)&gt;Model!$B$4,0,MAX(0,Model!$B$6-IF((A103+119)&gt;=Model!$B$11,Model!$B$20,0)-IF(119&lt;Model!$B$15,Model!$B$22,0))/(1-Model!$B$9)/(1+Model!$B$18)^119))</f>
        <v/>
      </c>
      <c r="ED103" s="7">
        <f>IF(A103="","",IF((A103+120)&gt;Model!$B$4,0,MAX(0,Model!$B$6-IF((A103+120)&gt;=Model!$B$11,Model!$B$20,0)-IF(120&lt;Model!$B$15,Model!$B$22,0))/(1-Model!$B$9)/(1+Model!$B$18)^120))</f>
        <v/>
      </c>
    </row>
    <row r="104">
      <c r="A104">
        <f>IF(Model!$B$10+ROW()-2&lt;=Model!$B$4,Model!$B$10+ROW()-2,"")</f>
        <v/>
      </c>
      <c r="B104">
        <f>IF(A104="","",A104-Model!$B$10)</f>
        <v/>
      </c>
      <c r="C104" s="7">
        <f>IF(A104="","",Model!$B$5*(1+Model!$B$18)^B104)</f>
        <v/>
      </c>
      <c r="D104" s="7">
        <f>IF(A104="","",SUM(N104:ED104))</f>
        <v/>
      </c>
      <c r="E104" s="7">
        <f>IF(A104="","",IF(A104&gt;=Model!$B$11,Model!$B$20,0))</f>
        <v/>
      </c>
      <c r="F104" s="7">
        <f>IF(A104="","",IF(Model!$B$15&gt;0,Model!$B$22,0))</f>
        <v/>
      </c>
      <c r="G104" s="7">
        <f>IF(A104="","",E104+F104)</f>
        <v/>
      </c>
      <c r="H104" s="7">
        <f>IF(A104="","",MAX(0,Model!$B$6-G104))</f>
        <v/>
      </c>
      <c r="I104" s="7">
        <f>IF(A104="","",H104/(1-Model!$B$9))</f>
        <v/>
      </c>
      <c r="J104" s="7">
        <f>IF(A104="","",C104-D104)</f>
        <v/>
      </c>
      <c r="K104">
        <f>IF(A104="","",C104&gt;=D104)</f>
        <v/>
      </c>
      <c r="L104" s="7">
        <f>IF(A104="","",IF(A104&gt;=Model!$B$11,Model!$B$19*(1+Model!$B$13)^B104,0))</f>
        <v/>
      </c>
      <c r="M104" s="7">
        <f>IF(A104="","",IF(Model!$B$15&gt;0,Model!$B$21*(1+Model!$B$13)^B104,0))</f>
        <v/>
      </c>
      <c r="N104" s="7">
        <f>IF(A104="","",IF((A104+0)&gt;Model!$B$4,0,MAX(0,Model!$B$6-IF((A104+0)&gt;=Model!$B$11,Model!$B$20,0)-IF(0&lt;Model!$B$15,Model!$B$22,0))/(1-Model!$B$9)/(1+Model!$B$18)^0))</f>
        <v/>
      </c>
      <c r="O104" s="7">
        <f>IF(A104="","",IF((A104+1)&gt;Model!$B$4,0,MAX(0,Model!$B$6-IF((A104+1)&gt;=Model!$B$11,Model!$B$20,0)-IF(1&lt;Model!$B$15,Model!$B$22,0))/(1-Model!$B$9)/(1+Model!$B$18)^1))</f>
        <v/>
      </c>
      <c r="P104" s="7">
        <f>IF(A104="","",IF((A104+2)&gt;Model!$B$4,0,MAX(0,Model!$B$6-IF((A104+2)&gt;=Model!$B$11,Model!$B$20,0)-IF(2&lt;Model!$B$15,Model!$B$22,0))/(1-Model!$B$9)/(1+Model!$B$18)^2))</f>
        <v/>
      </c>
      <c r="Q104" s="7">
        <f>IF(A104="","",IF((A104+3)&gt;Model!$B$4,0,MAX(0,Model!$B$6-IF((A104+3)&gt;=Model!$B$11,Model!$B$20,0)-IF(3&lt;Model!$B$15,Model!$B$22,0))/(1-Model!$B$9)/(1+Model!$B$18)^3))</f>
        <v/>
      </c>
      <c r="R104" s="7">
        <f>IF(A104="","",IF((A104+4)&gt;Model!$B$4,0,MAX(0,Model!$B$6-IF((A104+4)&gt;=Model!$B$11,Model!$B$20,0)-IF(4&lt;Model!$B$15,Model!$B$22,0))/(1-Model!$B$9)/(1+Model!$B$18)^4))</f>
        <v/>
      </c>
      <c r="S104" s="7">
        <f>IF(A104="","",IF((A104+5)&gt;Model!$B$4,0,MAX(0,Model!$B$6-IF((A104+5)&gt;=Model!$B$11,Model!$B$20,0)-IF(5&lt;Model!$B$15,Model!$B$22,0))/(1-Model!$B$9)/(1+Model!$B$18)^5))</f>
        <v/>
      </c>
      <c r="T104" s="7">
        <f>IF(A104="","",IF((A104+6)&gt;Model!$B$4,0,MAX(0,Model!$B$6-IF((A104+6)&gt;=Model!$B$11,Model!$B$20,0)-IF(6&lt;Model!$B$15,Model!$B$22,0))/(1-Model!$B$9)/(1+Model!$B$18)^6))</f>
        <v/>
      </c>
      <c r="U104" s="7">
        <f>IF(A104="","",IF((A104+7)&gt;Model!$B$4,0,MAX(0,Model!$B$6-IF((A104+7)&gt;=Model!$B$11,Model!$B$20,0)-IF(7&lt;Model!$B$15,Model!$B$22,0))/(1-Model!$B$9)/(1+Model!$B$18)^7))</f>
        <v/>
      </c>
      <c r="V104" s="7">
        <f>IF(A104="","",IF((A104+8)&gt;Model!$B$4,0,MAX(0,Model!$B$6-IF((A104+8)&gt;=Model!$B$11,Model!$B$20,0)-IF(8&lt;Model!$B$15,Model!$B$22,0))/(1-Model!$B$9)/(1+Model!$B$18)^8))</f>
        <v/>
      </c>
      <c r="W104" s="7">
        <f>IF(A104="","",IF((A104+9)&gt;Model!$B$4,0,MAX(0,Model!$B$6-IF((A104+9)&gt;=Model!$B$11,Model!$B$20,0)-IF(9&lt;Model!$B$15,Model!$B$22,0))/(1-Model!$B$9)/(1+Model!$B$18)^9))</f>
        <v/>
      </c>
      <c r="X104" s="7">
        <f>IF(A104="","",IF((A104+10)&gt;Model!$B$4,0,MAX(0,Model!$B$6-IF((A104+10)&gt;=Model!$B$11,Model!$B$20,0)-IF(10&lt;Model!$B$15,Model!$B$22,0))/(1-Model!$B$9)/(1+Model!$B$18)^10))</f>
        <v/>
      </c>
      <c r="Y104" s="7">
        <f>IF(A104="","",IF((A104+11)&gt;Model!$B$4,0,MAX(0,Model!$B$6-IF((A104+11)&gt;=Model!$B$11,Model!$B$20,0)-IF(11&lt;Model!$B$15,Model!$B$22,0))/(1-Model!$B$9)/(1+Model!$B$18)^11))</f>
        <v/>
      </c>
      <c r="Z104" s="7">
        <f>IF(A104="","",IF((A104+12)&gt;Model!$B$4,0,MAX(0,Model!$B$6-IF((A104+12)&gt;=Model!$B$11,Model!$B$20,0)-IF(12&lt;Model!$B$15,Model!$B$22,0))/(1-Model!$B$9)/(1+Model!$B$18)^12))</f>
        <v/>
      </c>
      <c r="AA104" s="7">
        <f>IF(A104="","",IF((A104+13)&gt;Model!$B$4,0,MAX(0,Model!$B$6-IF((A104+13)&gt;=Model!$B$11,Model!$B$20,0)-IF(13&lt;Model!$B$15,Model!$B$22,0))/(1-Model!$B$9)/(1+Model!$B$18)^13))</f>
        <v/>
      </c>
      <c r="AB104" s="7">
        <f>IF(A104="","",IF((A104+14)&gt;Model!$B$4,0,MAX(0,Model!$B$6-IF((A104+14)&gt;=Model!$B$11,Model!$B$20,0)-IF(14&lt;Model!$B$15,Model!$B$22,0))/(1-Model!$B$9)/(1+Model!$B$18)^14))</f>
        <v/>
      </c>
      <c r="AC104" s="7">
        <f>IF(A104="","",IF((A104+15)&gt;Model!$B$4,0,MAX(0,Model!$B$6-IF((A104+15)&gt;=Model!$B$11,Model!$B$20,0)-IF(15&lt;Model!$B$15,Model!$B$22,0))/(1-Model!$B$9)/(1+Model!$B$18)^15))</f>
        <v/>
      </c>
      <c r="AD104" s="7">
        <f>IF(A104="","",IF((A104+16)&gt;Model!$B$4,0,MAX(0,Model!$B$6-IF((A104+16)&gt;=Model!$B$11,Model!$B$20,0)-IF(16&lt;Model!$B$15,Model!$B$22,0))/(1-Model!$B$9)/(1+Model!$B$18)^16))</f>
        <v/>
      </c>
      <c r="AE104" s="7">
        <f>IF(A104="","",IF((A104+17)&gt;Model!$B$4,0,MAX(0,Model!$B$6-IF((A104+17)&gt;=Model!$B$11,Model!$B$20,0)-IF(17&lt;Model!$B$15,Model!$B$22,0))/(1-Model!$B$9)/(1+Model!$B$18)^17))</f>
        <v/>
      </c>
      <c r="AF104" s="7">
        <f>IF(A104="","",IF((A104+18)&gt;Model!$B$4,0,MAX(0,Model!$B$6-IF((A104+18)&gt;=Model!$B$11,Model!$B$20,0)-IF(18&lt;Model!$B$15,Model!$B$22,0))/(1-Model!$B$9)/(1+Model!$B$18)^18))</f>
        <v/>
      </c>
      <c r="AG104" s="7">
        <f>IF(A104="","",IF((A104+19)&gt;Model!$B$4,0,MAX(0,Model!$B$6-IF((A104+19)&gt;=Model!$B$11,Model!$B$20,0)-IF(19&lt;Model!$B$15,Model!$B$22,0))/(1-Model!$B$9)/(1+Model!$B$18)^19))</f>
        <v/>
      </c>
      <c r="AH104" s="7">
        <f>IF(A104="","",IF((A104+20)&gt;Model!$B$4,0,MAX(0,Model!$B$6-IF((A104+20)&gt;=Model!$B$11,Model!$B$20,0)-IF(20&lt;Model!$B$15,Model!$B$22,0))/(1-Model!$B$9)/(1+Model!$B$18)^20))</f>
        <v/>
      </c>
      <c r="AI104" s="7">
        <f>IF(A104="","",IF((A104+21)&gt;Model!$B$4,0,MAX(0,Model!$B$6-IF((A104+21)&gt;=Model!$B$11,Model!$B$20,0)-IF(21&lt;Model!$B$15,Model!$B$22,0))/(1-Model!$B$9)/(1+Model!$B$18)^21))</f>
        <v/>
      </c>
      <c r="AJ104" s="7">
        <f>IF(A104="","",IF((A104+22)&gt;Model!$B$4,0,MAX(0,Model!$B$6-IF((A104+22)&gt;=Model!$B$11,Model!$B$20,0)-IF(22&lt;Model!$B$15,Model!$B$22,0))/(1-Model!$B$9)/(1+Model!$B$18)^22))</f>
        <v/>
      </c>
      <c r="AK104" s="7">
        <f>IF(A104="","",IF((A104+23)&gt;Model!$B$4,0,MAX(0,Model!$B$6-IF((A104+23)&gt;=Model!$B$11,Model!$B$20,0)-IF(23&lt;Model!$B$15,Model!$B$22,0))/(1-Model!$B$9)/(1+Model!$B$18)^23))</f>
        <v/>
      </c>
      <c r="AL104" s="7">
        <f>IF(A104="","",IF((A104+24)&gt;Model!$B$4,0,MAX(0,Model!$B$6-IF((A104+24)&gt;=Model!$B$11,Model!$B$20,0)-IF(24&lt;Model!$B$15,Model!$B$22,0))/(1-Model!$B$9)/(1+Model!$B$18)^24))</f>
        <v/>
      </c>
      <c r="AM104" s="7">
        <f>IF(A104="","",IF((A104+25)&gt;Model!$B$4,0,MAX(0,Model!$B$6-IF((A104+25)&gt;=Model!$B$11,Model!$B$20,0)-IF(25&lt;Model!$B$15,Model!$B$22,0))/(1-Model!$B$9)/(1+Model!$B$18)^25))</f>
        <v/>
      </c>
      <c r="AN104" s="7">
        <f>IF(A104="","",IF((A104+26)&gt;Model!$B$4,0,MAX(0,Model!$B$6-IF((A104+26)&gt;=Model!$B$11,Model!$B$20,0)-IF(26&lt;Model!$B$15,Model!$B$22,0))/(1-Model!$B$9)/(1+Model!$B$18)^26))</f>
        <v/>
      </c>
      <c r="AO104" s="7">
        <f>IF(A104="","",IF((A104+27)&gt;Model!$B$4,0,MAX(0,Model!$B$6-IF((A104+27)&gt;=Model!$B$11,Model!$B$20,0)-IF(27&lt;Model!$B$15,Model!$B$22,0))/(1-Model!$B$9)/(1+Model!$B$18)^27))</f>
        <v/>
      </c>
      <c r="AP104" s="7">
        <f>IF(A104="","",IF((A104+28)&gt;Model!$B$4,0,MAX(0,Model!$B$6-IF((A104+28)&gt;=Model!$B$11,Model!$B$20,0)-IF(28&lt;Model!$B$15,Model!$B$22,0))/(1-Model!$B$9)/(1+Model!$B$18)^28))</f>
        <v/>
      </c>
      <c r="AQ104" s="7">
        <f>IF(A104="","",IF((A104+29)&gt;Model!$B$4,0,MAX(0,Model!$B$6-IF((A104+29)&gt;=Model!$B$11,Model!$B$20,0)-IF(29&lt;Model!$B$15,Model!$B$22,0))/(1-Model!$B$9)/(1+Model!$B$18)^29))</f>
        <v/>
      </c>
      <c r="AR104" s="7">
        <f>IF(A104="","",IF((A104+30)&gt;Model!$B$4,0,MAX(0,Model!$B$6-IF((A104+30)&gt;=Model!$B$11,Model!$B$20,0)-IF(30&lt;Model!$B$15,Model!$B$22,0))/(1-Model!$B$9)/(1+Model!$B$18)^30))</f>
        <v/>
      </c>
      <c r="AS104" s="7">
        <f>IF(A104="","",IF((A104+31)&gt;Model!$B$4,0,MAX(0,Model!$B$6-IF((A104+31)&gt;=Model!$B$11,Model!$B$20,0)-IF(31&lt;Model!$B$15,Model!$B$22,0))/(1-Model!$B$9)/(1+Model!$B$18)^31))</f>
        <v/>
      </c>
      <c r="AT104" s="7">
        <f>IF(A104="","",IF((A104+32)&gt;Model!$B$4,0,MAX(0,Model!$B$6-IF((A104+32)&gt;=Model!$B$11,Model!$B$20,0)-IF(32&lt;Model!$B$15,Model!$B$22,0))/(1-Model!$B$9)/(1+Model!$B$18)^32))</f>
        <v/>
      </c>
      <c r="AU104" s="7">
        <f>IF(A104="","",IF((A104+33)&gt;Model!$B$4,0,MAX(0,Model!$B$6-IF((A104+33)&gt;=Model!$B$11,Model!$B$20,0)-IF(33&lt;Model!$B$15,Model!$B$22,0))/(1-Model!$B$9)/(1+Model!$B$18)^33))</f>
        <v/>
      </c>
      <c r="AV104" s="7">
        <f>IF(A104="","",IF((A104+34)&gt;Model!$B$4,0,MAX(0,Model!$B$6-IF((A104+34)&gt;=Model!$B$11,Model!$B$20,0)-IF(34&lt;Model!$B$15,Model!$B$22,0))/(1-Model!$B$9)/(1+Model!$B$18)^34))</f>
        <v/>
      </c>
      <c r="AW104" s="7">
        <f>IF(A104="","",IF((A104+35)&gt;Model!$B$4,0,MAX(0,Model!$B$6-IF((A104+35)&gt;=Model!$B$11,Model!$B$20,0)-IF(35&lt;Model!$B$15,Model!$B$22,0))/(1-Model!$B$9)/(1+Model!$B$18)^35))</f>
        <v/>
      </c>
      <c r="AX104" s="7">
        <f>IF(A104="","",IF((A104+36)&gt;Model!$B$4,0,MAX(0,Model!$B$6-IF((A104+36)&gt;=Model!$B$11,Model!$B$20,0)-IF(36&lt;Model!$B$15,Model!$B$22,0))/(1-Model!$B$9)/(1+Model!$B$18)^36))</f>
        <v/>
      </c>
      <c r="AY104" s="7">
        <f>IF(A104="","",IF((A104+37)&gt;Model!$B$4,0,MAX(0,Model!$B$6-IF((A104+37)&gt;=Model!$B$11,Model!$B$20,0)-IF(37&lt;Model!$B$15,Model!$B$22,0))/(1-Model!$B$9)/(1+Model!$B$18)^37))</f>
        <v/>
      </c>
      <c r="AZ104" s="7">
        <f>IF(A104="","",IF((A104+38)&gt;Model!$B$4,0,MAX(0,Model!$B$6-IF((A104+38)&gt;=Model!$B$11,Model!$B$20,0)-IF(38&lt;Model!$B$15,Model!$B$22,0))/(1-Model!$B$9)/(1+Model!$B$18)^38))</f>
        <v/>
      </c>
      <c r="BA104" s="7">
        <f>IF(A104="","",IF((A104+39)&gt;Model!$B$4,0,MAX(0,Model!$B$6-IF((A104+39)&gt;=Model!$B$11,Model!$B$20,0)-IF(39&lt;Model!$B$15,Model!$B$22,0))/(1-Model!$B$9)/(1+Model!$B$18)^39))</f>
        <v/>
      </c>
      <c r="BB104" s="7">
        <f>IF(A104="","",IF((A104+40)&gt;Model!$B$4,0,MAX(0,Model!$B$6-IF((A104+40)&gt;=Model!$B$11,Model!$B$20,0)-IF(40&lt;Model!$B$15,Model!$B$22,0))/(1-Model!$B$9)/(1+Model!$B$18)^40))</f>
        <v/>
      </c>
      <c r="BC104" s="7">
        <f>IF(A104="","",IF((A104+41)&gt;Model!$B$4,0,MAX(0,Model!$B$6-IF((A104+41)&gt;=Model!$B$11,Model!$B$20,0)-IF(41&lt;Model!$B$15,Model!$B$22,0))/(1-Model!$B$9)/(1+Model!$B$18)^41))</f>
        <v/>
      </c>
      <c r="BD104" s="7">
        <f>IF(A104="","",IF((A104+42)&gt;Model!$B$4,0,MAX(0,Model!$B$6-IF((A104+42)&gt;=Model!$B$11,Model!$B$20,0)-IF(42&lt;Model!$B$15,Model!$B$22,0))/(1-Model!$B$9)/(1+Model!$B$18)^42))</f>
        <v/>
      </c>
      <c r="BE104" s="7">
        <f>IF(A104="","",IF((A104+43)&gt;Model!$B$4,0,MAX(0,Model!$B$6-IF((A104+43)&gt;=Model!$B$11,Model!$B$20,0)-IF(43&lt;Model!$B$15,Model!$B$22,0))/(1-Model!$B$9)/(1+Model!$B$18)^43))</f>
        <v/>
      </c>
      <c r="BF104" s="7">
        <f>IF(A104="","",IF((A104+44)&gt;Model!$B$4,0,MAX(0,Model!$B$6-IF((A104+44)&gt;=Model!$B$11,Model!$B$20,0)-IF(44&lt;Model!$B$15,Model!$B$22,0))/(1-Model!$B$9)/(1+Model!$B$18)^44))</f>
        <v/>
      </c>
      <c r="BG104" s="7">
        <f>IF(A104="","",IF((A104+45)&gt;Model!$B$4,0,MAX(0,Model!$B$6-IF((A104+45)&gt;=Model!$B$11,Model!$B$20,0)-IF(45&lt;Model!$B$15,Model!$B$22,0))/(1-Model!$B$9)/(1+Model!$B$18)^45))</f>
        <v/>
      </c>
      <c r="BH104" s="7">
        <f>IF(A104="","",IF((A104+46)&gt;Model!$B$4,0,MAX(0,Model!$B$6-IF((A104+46)&gt;=Model!$B$11,Model!$B$20,0)-IF(46&lt;Model!$B$15,Model!$B$22,0))/(1-Model!$B$9)/(1+Model!$B$18)^46))</f>
        <v/>
      </c>
      <c r="BI104" s="7">
        <f>IF(A104="","",IF((A104+47)&gt;Model!$B$4,0,MAX(0,Model!$B$6-IF((A104+47)&gt;=Model!$B$11,Model!$B$20,0)-IF(47&lt;Model!$B$15,Model!$B$22,0))/(1-Model!$B$9)/(1+Model!$B$18)^47))</f>
        <v/>
      </c>
      <c r="BJ104" s="7">
        <f>IF(A104="","",IF((A104+48)&gt;Model!$B$4,0,MAX(0,Model!$B$6-IF((A104+48)&gt;=Model!$B$11,Model!$B$20,0)-IF(48&lt;Model!$B$15,Model!$B$22,0))/(1-Model!$B$9)/(1+Model!$B$18)^48))</f>
        <v/>
      </c>
      <c r="BK104" s="7">
        <f>IF(A104="","",IF((A104+49)&gt;Model!$B$4,0,MAX(0,Model!$B$6-IF((A104+49)&gt;=Model!$B$11,Model!$B$20,0)-IF(49&lt;Model!$B$15,Model!$B$22,0))/(1-Model!$B$9)/(1+Model!$B$18)^49))</f>
        <v/>
      </c>
      <c r="BL104" s="7">
        <f>IF(A104="","",IF((A104+50)&gt;Model!$B$4,0,MAX(0,Model!$B$6-IF((A104+50)&gt;=Model!$B$11,Model!$B$20,0)-IF(50&lt;Model!$B$15,Model!$B$22,0))/(1-Model!$B$9)/(1+Model!$B$18)^50))</f>
        <v/>
      </c>
      <c r="BM104" s="7">
        <f>IF(A104="","",IF((A104+51)&gt;Model!$B$4,0,MAX(0,Model!$B$6-IF((A104+51)&gt;=Model!$B$11,Model!$B$20,0)-IF(51&lt;Model!$B$15,Model!$B$22,0))/(1-Model!$B$9)/(1+Model!$B$18)^51))</f>
        <v/>
      </c>
      <c r="BN104" s="7">
        <f>IF(A104="","",IF((A104+52)&gt;Model!$B$4,0,MAX(0,Model!$B$6-IF((A104+52)&gt;=Model!$B$11,Model!$B$20,0)-IF(52&lt;Model!$B$15,Model!$B$22,0))/(1-Model!$B$9)/(1+Model!$B$18)^52))</f>
        <v/>
      </c>
      <c r="BO104" s="7">
        <f>IF(A104="","",IF((A104+53)&gt;Model!$B$4,0,MAX(0,Model!$B$6-IF((A104+53)&gt;=Model!$B$11,Model!$B$20,0)-IF(53&lt;Model!$B$15,Model!$B$22,0))/(1-Model!$B$9)/(1+Model!$B$18)^53))</f>
        <v/>
      </c>
      <c r="BP104" s="7">
        <f>IF(A104="","",IF((A104+54)&gt;Model!$B$4,0,MAX(0,Model!$B$6-IF((A104+54)&gt;=Model!$B$11,Model!$B$20,0)-IF(54&lt;Model!$B$15,Model!$B$22,0))/(1-Model!$B$9)/(1+Model!$B$18)^54))</f>
        <v/>
      </c>
      <c r="BQ104" s="7">
        <f>IF(A104="","",IF((A104+55)&gt;Model!$B$4,0,MAX(0,Model!$B$6-IF((A104+55)&gt;=Model!$B$11,Model!$B$20,0)-IF(55&lt;Model!$B$15,Model!$B$22,0))/(1-Model!$B$9)/(1+Model!$B$18)^55))</f>
        <v/>
      </c>
      <c r="BR104" s="7">
        <f>IF(A104="","",IF((A104+56)&gt;Model!$B$4,0,MAX(0,Model!$B$6-IF((A104+56)&gt;=Model!$B$11,Model!$B$20,0)-IF(56&lt;Model!$B$15,Model!$B$22,0))/(1-Model!$B$9)/(1+Model!$B$18)^56))</f>
        <v/>
      </c>
      <c r="BS104" s="7">
        <f>IF(A104="","",IF((A104+57)&gt;Model!$B$4,0,MAX(0,Model!$B$6-IF((A104+57)&gt;=Model!$B$11,Model!$B$20,0)-IF(57&lt;Model!$B$15,Model!$B$22,0))/(1-Model!$B$9)/(1+Model!$B$18)^57))</f>
        <v/>
      </c>
      <c r="BT104" s="7">
        <f>IF(A104="","",IF((A104+58)&gt;Model!$B$4,0,MAX(0,Model!$B$6-IF((A104+58)&gt;=Model!$B$11,Model!$B$20,0)-IF(58&lt;Model!$B$15,Model!$B$22,0))/(1-Model!$B$9)/(1+Model!$B$18)^58))</f>
        <v/>
      </c>
      <c r="BU104" s="7">
        <f>IF(A104="","",IF((A104+59)&gt;Model!$B$4,0,MAX(0,Model!$B$6-IF((A104+59)&gt;=Model!$B$11,Model!$B$20,0)-IF(59&lt;Model!$B$15,Model!$B$22,0))/(1-Model!$B$9)/(1+Model!$B$18)^59))</f>
        <v/>
      </c>
      <c r="BV104" s="7">
        <f>IF(A104="","",IF((A104+60)&gt;Model!$B$4,0,MAX(0,Model!$B$6-IF((A104+60)&gt;=Model!$B$11,Model!$B$20,0)-IF(60&lt;Model!$B$15,Model!$B$22,0))/(1-Model!$B$9)/(1+Model!$B$18)^60))</f>
        <v/>
      </c>
      <c r="BW104" s="7">
        <f>IF(A104="","",IF((A104+61)&gt;Model!$B$4,0,MAX(0,Model!$B$6-IF((A104+61)&gt;=Model!$B$11,Model!$B$20,0)-IF(61&lt;Model!$B$15,Model!$B$22,0))/(1-Model!$B$9)/(1+Model!$B$18)^61))</f>
        <v/>
      </c>
      <c r="BX104" s="7">
        <f>IF(A104="","",IF((A104+62)&gt;Model!$B$4,0,MAX(0,Model!$B$6-IF((A104+62)&gt;=Model!$B$11,Model!$B$20,0)-IF(62&lt;Model!$B$15,Model!$B$22,0))/(1-Model!$B$9)/(1+Model!$B$18)^62))</f>
        <v/>
      </c>
      <c r="BY104" s="7">
        <f>IF(A104="","",IF((A104+63)&gt;Model!$B$4,0,MAX(0,Model!$B$6-IF((A104+63)&gt;=Model!$B$11,Model!$B$20,0)-IF(63&lt;Model!$B$15,Model!$B$22,0))/(1-Model!$B$9)/(1+Model!$B$18)^63))</f>
        <v/>
      </c>
      <c r="BZ104" s="7">
        <f>IF(A104="","",IF((A104+64)&gt;Model!$B$4,0,MAX(0,Model!$B$6-IF((A104+64)&gt;=Model!$B$11,Model!$B$20,0)-IF(64&lt;Model!$B$15,Model!$B$22,0))/(1-Model!$B$9)/(1+Model!$B$18)^64))</f>
        <v/>
      </c>
      <c r="CA104" s="7">
        <f>IF(A104="","",IF((A104+65)&gt;Model!$B$4,0,MAX(0,Model!$B$6-IF((A104+65)&gt;=Model!$B$11,Model!$B$20,0)-IF(65&lt;Model!$B$15,Model!$B$22,0))/(1-Model!$B$9)/(1+Model!$B$18)^65))</f>
        <v/>
      </c>
      <c r="CB104" s="7">
        <f>IF(A104="","",IF((A104+66)&gt;Model!$B$4,0,MAX(0,Model!$B$6-IF((A104+66)&gt;=Model!$B$11,Model!$B$20,0)-IF(66&lt;Model!$B$15,Model!$B$22,0))/(1-Model!$B$9)/(1+Model!$B$18)^66))</f>
        <v/>
      </c>
      <c r="CC104" s="7">
        <f>IF(A104="","",IF((A104+67)&gt;Model!$B$4,0,MAX(0,Model!$B$6-IF((A104+67)&gt;=Model!$B$11,Model!$B$20,0)-IF(67&lt;Model!$B$15,Model!$B$22,0))/(1-Model!$B$9)/(1+Model!$B$18)^67))</f>
        <v/>
      </c>
      <c r="CD104" s="7">
        <f>IF(A104="","",IF((A104+68)&gt;Model!$B$4,0,MAX(0,Model!$B$6-IF((A104+68)&gt;=Model!$B$11,Model!$B$20,0)-IF(68&lt;Model!$B$15,Model!$B$22,0))/(1-Model!$B$9)/(1+Model!$B$18)^68))</f>
        <v/>
      </c>
      <c r="CE104" s="7">
        <f>IF(A104="","",IF((A104+69)&gt;Model!$B$4,0,MAX(0,Model!$B$6-IF((A104+69)&gt;=Model!$B$11,Model!$B$20,0)-IF(69&lt;Model!$B$15,Model!$B$22,0))/(1-Model!$B$9)/(1+Model!$B$18)^69))</f>
        <v/>
      </c>
      <c r="CF104" s="7">
        <f>IF(A104="","",IF((A104+70)&gt;Model!$B$4,0,MAX(0,Model!$B$6-IF((A104+70)&gt;=Model!$B$11,Model!$B$20,0)-IF(70&lt;Model!$B$15,Model!$B$22,0))/(1-Model!$B$9)/(1+Model!$B$18)^70))</f>
        <v/>
      </c>
      <c r="CG104" s="7">
        <f>IF(A104="","",IF((A104+71)&gt;Model!$B$4,0,MAX(0,Model!$B$6-IF((A104+71)&gt;=Model!$B$11,Model!$B$20,0)-IF(71&lt;Model!$B$15,Model!$B$22,0))/(1-Model!$B$9)/(1+Model!$B$18)^71))</f>
        <v/>
      </c>
      <c r="CH104" s="7">
        <f>IF(A104="","",IF((A104+72)&gt;Model!$B$4,0,MAX(0,Model!$B$6-IF((A104+72)&gt;=Model!$B$11,Model!$B$20,0)-IF(72&lt;Model!$B$15,Model!$B$22,0))/(1-Model!$B$9)/(1+Model!$B$18)^72))</f>
        <v/>
      </c>
      <c r="CI104" s="7">
        <f>IF(A104="","",IF((A104+73)&gt;Model!$B$4,0,MAX(0,Model!$B$6-IF((A104+73)&gt;=Model!$B$11,Model!$B$20,0)-IF(73&lt;Model!$B$15,Model!$B$22,0))/(1-Model!$B$9)/(1+Model!$B$18)^73))</f>
        <v/>
      </c>
      <c r="CJ104" s="7">
        <f>IF(A104="","",IF((A104+74)&gt;Model!$B$4,0,MAX(0,Model!$B$6-IF((A104+74)&gt;=Model!$B$11,Model!$B$20,0)-IF(74&lt;Model!$B$15,Model!$B$22,0))/(1-Model!$B$9)/(1+Model!$B$18)^74))</f>
        <v/>
      </c>
      <c r="CK104" s="7">
        <f>IF(A104="","",IF((A104+75)&gt;Model!$B$4,0,MAX(0,Model!$B$6-IF((A104+75)&gt;=Model!$B$11,Model!$B$20,0)-IF(75&lt;Model!$B$15,Model!$B$22,0))/(1-Model!$B$9)/(1+Model!$B$18)^75))</f>
        <v/>
      </c>
      <c r="CL104" s="7">
        <f>IF(A104="","",IF((A104+76)&gt;Model!$B$4,0,MAX(0,Model!$B$6-IF((A104+76)&gt;=Model!$B$11,Model!$B$20,0)-IF(76&lt;Model!$B$15,Model!$B$22,0))/(1-Model!$B$9)/(1+Model!$B$18)^76))</f>
        <v/>
      </c>
      <c r="CM104" s="7">
        <f>IF(A104="","",IF((A104+77)&gt;Model!$B$4,0,MAX(0,Model!$B$6-IF((A104+77)&gt;=Model!$B$11,Model!$B$20,0)-IF(77&lt;Model!$B$15,Model!$B$22,0))/(1-Model!$B$9)/(1+Model!$B$18)^77))</f>
        <v/>
      </c>
      <c r="CN104" s="7">
        <f>IF(A104="","",IF((A104+78)&gt;Model!$B$4,0,MAX(0,Model!$B$6-IF((A104+78)&gt;=Model!$B$11,Model!$B$20,0)-IF(78&lt;Model!$B$15,Model!$B$22,0))/(1-Model!$B$9)/(1+Model!$B$18)^78))</f>
        <v/>
      </c>
      <c r="CO104" s="7">
        <f>IF(A104="","",IF((A104+79)&gt;Model!$B$4,0,MAX(0,Model!$B$6-IF((A104+79)&gt;=Model!$B$11,Model!$B$20,0)-IF(79&lt;Model!$B$15,Model!$B$22,0))/(1-Model!$B$9)/(1+Model!$B$18)^79))</f>
        <v/>
      </c>
      <c r="CP104" s="7">
        <f>IF(A104="","",IF((A104+80)&gt;Model!$B$4,0,MAX(0,Model!$B$6-IF((A104+80)&gt;=Model!$B$11,Model!$B$20,0)-IF(80&lt;Model!$B$15,Model!$B$22,0))/(1-Model!$B$9)/(1+Model!$B$18)^80))</f>
        <v/>
      </c>
      <c r="CQ104" s="7">
        <f>IF(A104="","",IF((A104+81)&gt;Model!$B$4,0,MAX(0,Model!$B$6-IF((A104+81)&gt;=Model!$B$11,Model!$B$20,0)-IF(81&lt;Model!$B$15,Model!$B$22,0))/(1-Model!$B$9)/(1+Model!$B$18)^81))</f>
        <v/>
      </c>
      <c r="CR104" s="7">
        <f>IF(A104="","",IF((A104+82)&gt;Model!$B$4,0,MAX(0,Model!$B$6-IF((A104+82)&gt;=Model!$B$11,Model!$B$20,0)-IF(82&lt;Model!$B$15,Model!$B$22,0))/(1-Model!$B$9)/(1+Model!$B$18)^82))</f>
        <v/>
      </c>
      <c r="CS104" s="7">
        <f>IF(A104="","",IF((A104+83)&gt;Model!$B$4,0,MAX(0,Model!$B$6-IF((A104+83)&gt;=Model!$B$11,Model!$B$20,0)-IF(83&lt;Model!$B$15,Model!$B$22,0))/(1-Model!$B$9)/(1+Model!$B$18)^83))</f>
        <v/>
      </c>
      <c r="CT104" s="7">
        <f>IF(A104="","",IF((A104+84)&gt;Model!$B$4,0,MAX(0,Model!$B$6-IF((A104+84)&gt;=Model!$B$11,Model!$B$20,0)-IF(84&lt;Model!$B$15,Model!$B$22,0))/(1-Model!$B$9)/(1+Model!$B$18)^84))</f>
        <v/>
      </c>
      <c r="CU104" s="7">
        <f>IF(A104="","",IF((A104+85)&gt;Model!$B$4,0,MAX(0,Model!$B$6-IF((A104+85)&gt;=Model!$B$11,Model!$B$20,0)-IF(85&lt;Model!$B$15,Model!$B$22,0))/(1-Model!$B$9)/(1+Model!$B$18)^85))</f>
        <v/>
      </c>
      <c r="CV104" s="7">
        <f>IF(A104="","",IF((A104+86)&gt;Model!$B$4,0,MAX(0,Model!$B$6-IF((A104+86)&gt;=Model!$B$11,Model!$B$20,0)-IF(86&lt;Model!$B$15,Model!$B$22,0))/(1-Model!$B$9)/(1+Model!$B$18)^86))</f>
        <v/>
      </c>
      <c r="CW104" s="7">
        <f>IF(A104="","",IF((A104+87)&gt;Model!$B$4,0,MAX(0,Model!$B$6-IF((A104+87)&gt;=Model!$B$11,Model!$B$20,0)-IF(87&lt;Model!$B$15,Model!$B$22,0))/(1-Model!$B$9)/(1+Model!$B$18)^87))</f>
        <v/>
      </c>
      <c r="CX104" s="7">
        <f>IF(A104="","",IF((A104+88)&gt;Model!$B$4,0,MAX(0,Model!$B$6-IF((A104+88)&gt;=Model!$B$11,Model!$B$20,0)-IF(88&lt;Model!$B$15,Model!$B$22,0))/(1-Model!$B$9)/(1+Model!$B$18)^88))</f>
        <v/>
      </c>
      <c r="CY104" s="7">
        <f>IF(A104="","",IF((A104+89)&gt;Model!$B$4,0,MAX(0,Model!$B$6-IF((A104+89)&gt;=Model!$B$11,Model!$B$20,0)-IF(89&lt;Model!$B$15,Model!$B$22,0))/(1-Model!$B$9)/(1+Model!$B$18)^89))</f>
        <v/>
      </c>
      <c r="CZ104" s="7">
        <f>IF(A104="","",IF((A104+90)&gt;Model!$B$4,0,MAX(0,Model!$B$6-IF((A104+90)&gt;=Model!$B$11,Model!$B$20,0)-IF(90&lt;Model!$B$15,Model!$B$22,0))/(1-Model!$B$9)/(1+Model!$B$18)^90))</f>
        <v/>
      </c>
      <c r="DA104" s="7">
        <f>IF(A104="","",IF((A104+91)&gt;Model!$B$4,0,MAX(0,Model!$B$6-IF((A104+91)&gt;=Model!$B$11,Model!$B$20,0)-IF(91&lt;Model!$B$15,Model!$B$22,0))/(1-Model!$B$9)/(1+Model!$B$18)^91))</f>
        <v/>
      </c>
      <c r="DB104" s="7">
        <f>IF(A104="","",IF((A104+92)&gt;Model!$B$4,0,MAX(0,Model!$B$6-IF((A104+92)&gt;=Model!$B$11,Model!$B$20,0)-IF(92&lt;Model!$B$15,Model!$B$22,0))/(1-Model!$B$9)/(1+Model!$B$18)^92))</f>
        <v/>
      </c>
      <c r="DC104" s="7">
        <f>IF(A104="","",IF((A104+93)&gt;Model!$B$4,0,MAX(0,Model!$B$6-IF((A104+93)&gt;=Model!$B$11,Model!$B$20,0)-IF(93&lt;Model!$B$15,Model!$B$22,0))/(1-Model!$B$9)/(1+Model!$B$18)^93))</f>
        <v/>
      </c>
      <c r="DD104" s="7">
        <f>IF(A104="","",IF((A104+94)&gt;Model!$B$4,0,MAX(0,Model!$B$6-IF((A104+94)&gt;=Model!$B$11,Model!$B$20,0)-IF(94&lt;Model!$B$15,Model!$B$22,0))/(1-Model!$B$9)/(1+Model!$B$18)^94))</f>
        <v/>
      </c>
      <c r="DE104" s="7">
        <f>IF(A104="","",IF((A104+95)&gt;Model!$B$4,0,MAX(0,Model!$B$6-IF((A104+95)&gt;=Model!$B$11,Model!$B$20,0)-IF(95&lt;Model!$B$15,Model!$B$22,0))/(1-Model!$B$9)/(1+Model!$B$18)^95))</f>
        <v/>
      </c>
      <c r="DF104" s="7">
        <f>IF(A104="","",IF((A104+96)&gt;Model!$B$4,0,MAX(0,Model!$B$6-IF((A104+96)&gt;=Model!$B$11,Model!$B$20,0)-IF(96&lt;Model!$B$15,Model!$B$22,0))/(1-Model!$B$9)/(1+Model!$B$18)^96))</f>
        <v/>
      </c>
      <c r="DG104" s="7">
        <f>IF(A104="","",IF((A104+97)&gt;Model!$B$4,0,MAX(0,Model!$B$6-IF((A104+97)&gt;=Model!$B$11,Model!$B$20,0)-IF(97&lt;Model!$B$15,Model!$B$22,0))/(1-Model!$B$9)/(1+Model!$B$18)^97))</f>
        <v/>
      </c>
      <c r="DH104" s="7">
        <f>IF(A104="","",IF((A104+98)&gt;Model!$B$4,0,MAX(0,Model!$B$6-IF((A104+98)&gt;=Model!$B$11,Model!$B$20,0)-IF(98&lt;Model!$B$15,Model!$B$22,0))/(1-Model!$B$9)/(1+Model!$B$18)^98))</f>
        <v/>
      </c>
      <c r="DI104" s="7">
        <f>IF(A104="","",IF((A104+99)&gt;Model!$B$4,0,MAX(0,Model!$B$6-IF((A104+99)&gt;=Model!$B$11,Model!$B$20,0)-IF(99&lt;Model!$B$15,Model!$B$22,0))/(1-Model!$B$9)/(1+Model!$B$18)^99))</f>
        <v/>
      </c>
      <c r="DJ104" s="7">
        <f>IF(A104="","",IF((A104+100)&gt;Model!$B$4,0,MAX(0,Model!$B$6-IF((A104+100)&gt;=Model!$B$11,Model!$B$20,0)-IF(100&lt;Model!$B$15,Model!$B$22,0))/(1-Model!$B$9)/(1+Model!$B$18)^100))</f>
        <v/>
      </c>
      <c r="DK104" s="7">
        <f>IF(A104="","",IF((A104+101)&gt;Model!$B$4,0,MAX(0,Model!$B$6-IF((A104+101)&gt;=Model!$B$11,Model!$B$20,0)-IF(101&lt;Model!$B$15,Model!$B$22,0))/(1-Model!$B$9)/(1+Model!$B$18)^101))</f>
        <v/>
      </c>
      <c r="DL104" s="7">
        <f>IF(A104="","",IF((A104+102)&gt;Model!$B$4,0,MAX(0,Model!$B$6-IF((A104+102)&gt;=Model!$B$11,Model!$B$20,0)-IF(102&lt;Model!$B$15,Model!$B$22,0))/(1-Model!$B$9)/(1+Model!$B$18)^102))</f>
        <v/>
      </c>
      <c r="DM104" s="7">
        <f>IF(A104="","",IF((A104+103)&gt;Model!$B$4,0,MAX(0,Model!$B$6-IF((A104+103)&gt;=Model!$B$11,Model!$B$20,0)-IF(103&lt;Model!$B$15,Model!$B$22,0))/(1-Model!$B$9)/(1+Model!$B$18)^103))</f>
        <v/>
      </c>
      <c r="DN104" s="7">
        <f>IF(A104="","",IF((A104+104)&gt;Model!$B$4,0,MAX(0,Model!$B$6-IF((A104+104)&gt;=Model!$B$11,Model!$B$20,0)-IF(104&lt;Model!$B$15,Model!$B$22,0))/(1-Model!$B$9)/(1+Model!$B$18)^104))</f>
        <v/>
      </c>
      <c r="DO104" s="7">
        <f>IF(A104="","",IF((A104+105)&gt;Model!$B$4,0,MAX(0,Model!$B$6-IF((A104+105)&gt;=Model!$B$11,Model!$B$20,0)-IF(105&lt;Model!$B$15,Model!$B$22,0))/(1-Model!$B$9)/(1+Model!$B$18)^105))</f>
        <v/>
      </c>
      <c r="DP104" s="7">
        <f>IF(A104="","",IF((A104+106)&gt;Model!$B$4,0,MAX(0,Model!$B$6-IF((A104+106)&gt;=Model!$B$11,Model!$B$20,0)-IF(106&lt;Model!$B$15,Model!$B$22,0))/(1-Model!$B$9)/(1+Model!$B$18)^106))</f>
        <v/>
      </c>
      <c r="DQ104" s="7">
        <f>IF(A104="","",IF((A104+107)&gt;Model!$B$4,0,MAX(0,Model!$B$6-IF((A104+107)&gt;=Model!$B$11,Model!$B$20,0)-IF(107&lt;Model!$B$15,Model!$B$22,0))/(1-Model!$B$9)/(1+Model!$B$18)^107))</f>
        <v/>
      </c>
      <c r="DR104" s="7">
        <f>IF(A104="","",IF((A104+108)&gt;Model!$B$4,0,MAX(0,Model!$B$6-IF((A104+108)&gt;=Model!$B$11,Model!$B$20,0)-IF(108&lt;Model!$B$15,Model!$B$22,0))/(1-Model!$B$9)/(1+Model!$B$18)^108))</f>
        <v/>
      </c>
      <c r="DS104" s="7">
        <f>IF(A104="","",IF((A104+109)&gt;Model!$B$4,0,MAX(0,Model!$B$6-IF((A104+109)&gt;=Model!$B$11,Model!$B$20,0)-IF(109&lt;Model!$B$15,Model!$B$22,0))/(1-Model!$B$9)/(1+Model!$B$18)^109))</f>
        <v/>
      </c>
      <c r="DT104" s="7">
        <f>IF(A104="","",IF((A104+110)&gt;Model!$B$4,0,MAX(0,Model!$B$6-IF((A104+110)&gt;=Model!$B$11,Model!$B$20,0)-IF(110&lt;Model!$B$15,Model!$B$22,0))/(1-Model!$B$9)/(1+Model!$B$18)^110))</f>
        <v/>
      </c>
      <c r="DU104" s="7">
        <f>IF(A104="","",IF((A104+111)&gt;Model!$B$4,0,MAX(0,Model!$B$6-IF((A104+111)&gt;=Model!$B$11,Model!$B$20,0)-IF(111&lt;Model!$B$15,Model!$B$22,0))/(1-Model!$B$9)/(1+Model!$B$18)^111))</f>
        <v/>
      </c>
      <c r="DV104" s="7">
        <f>IF(A104="","",IF((A104+112)&gt;Model!$B$4,0,MAX(0,Model!$B$6-IF((A104+112)&gt;=Model!$B$11,Model!$B$20,0)-IF(112&lt;Model!$B$15,Model!$B$22,0))/(1-Model!$B$9)/(1+Model!$B$18)^112))</f>
        <v/>
      </c>
      <c r="DW104" s="7">
        <f>IF(A104="","",IF((A104+113)&gt;Model!$B$4,0,MAX(0,Model!$B$6-IF((A104+113)&gt;=Model!$B$11,Model!$B$20,0)-IF(113&lt;Model!$B$15,Model!$B$22,0))/(1-Model!$B$9)/(1+Model!$B$18)^113))</f>
        <v/>
      </c>
      <c r="DX104" s="7">
        <f>IF(A104="","",IF((A104+114)&gt;Model!$B$4,0,MAX(0,Model!$B$6-IF((A104+114)&gt;=Model!$B$11,Model!$B$20,0)-IF(114&lt;Model!$B$15,Model!$B$22,0))/(1-Model!$B$9)/(1+Model!$B$18)^114))</f>
        <v/>
      </c>
      <c r="DY104" s="7">
        <f>IF(A104="","",IF((A104+115)&gt;Model!$B$4,0,MAX(0,Model!$B$6-IF((A104+115)&gt;=Model!$B$11,Model!$B$20,0)-IF(115&lt;Model!$B$15,Model!$B$22,0))/(1-Model!$B$9)/(1+Model!$B$18)^115))</f>
        <v/>
      </c>
      <c r="DZ104" s="7">
        <f>IF(A104="","",IF((A104+116)&gt;Model!$B$4,0,MAX(0,Model!$B$6-IF((A104+116)&gt;=Model!$B$11,Model!$B$20,0)-IF(116&lt;Model!$B$15,Model!$B$22,0))/(1-Model!$B$9)/(1+Model!$B$18)^116))</f>
        <v/>
      </c>
      <c r="EA104" s="7">
        <f>IF(A104="","",IF((A104+117)&gt;Model!$B$4,0,MAX(0,Model!$B$6-IF((A104+117)&gt;=Model!$B$11,Model!$B$20,0)-IF(117&lt;Model!$B$15,Model!$B$22,0))/(1-Model!$B$9)/(1+Model!$B$18)^117))</f>
        <v/>
      </c>
      <c r="EB104" s="7">
        <f>IF(A104="","",IF((A104+118)&gt;Model!$B$4,0,MAX(0,Model!$B$6-IF((A104+118)&gt;=Model!$B$11,Model!$B$20,0)-IF(118&lt;Model!$B$15,Model!$B$22,0))/(1-Model!$B$9)/(1+Model!$B$18)^118))</f>
        <v/>
      </c>
      <c r="EC104" s="7">
        <f>IF(A104="","",IF((A104+119)&gt;Model!$B$4,0,MAX(0,Model!$B$6-IF((A104+119)&gt;=Model!$B$11,Model!$B$20,0)-IF(119&lt;Model!$B$15,Model!$B$22,0))/(1-Model!$B$9)/(1+Model!$B$18)^119))</f>
        <v/>
      </c>
      <c r="ED104" s="7">
        <f>IF(A104="","",IF((A104+120)&gt;Model!$B$4,0,MAX(0,Model!$B$6-IF((A104+120)&gt;=Model!$B$11,Model!$B$20,0)-IF(120&lt;Model!$B$15,Model!$B$22,0))/(1-Model!$B$9)/(1+Model!$B$18)^120))</f>
        <v/>
      </c>
    </row>
    <row r="105">
      <c r="A105">
        <f>IF(Model!$B$10+ROW()-2&lt;=Model!$B$4,Model!$B$10+ROW()-2,"")</f>
        <v/>
      </c>
      <c r="B105">
        <f>IF(A105="","",A105-Model!$B$10)</f>
        <v/>
      </c>
      <c r="C105" s="7">
        <f>IF(A105="","",Model!$B$5*(1+Model!$B$18)^B105)</f>
        <v/>
      </c>
      <c r="D105" s="7">
        <f>IF(A105="","",SUM(N105:ED105))</f>
        <v/>
      </c>
      <c r="E105" s="7">
        <f>IF(A105="","",IF(A105&gt;=Model!$B$11,Model!$B$20,0))</f>
        <v/>
      </c>
      <c r="F105" s="7">
        <f>IF(A105="","",IF(Model!$B$15&gt;0,Model!$B$22,0))</f>
        <v/>
      </c>
      <c r="G105" s="7">
        <f>IF(A105="","",E105+F105)</f>
        <v/>
      </c>
      <c r="H105" s="7">
        <f>IF(A105="","",MAX(0,Model!$B$6-G105))</f>
        <v/>
      </c>
      <c r="I105" s="7">
        <f>IF(A105="","",H105/(1-Model!$B$9))</f>
        <v/>
      </c>
      <c r="J105" s="7">
        <f>IF(A105="","",C105-D105)</f>
        <v/>
      </c>
      <c r="K105">
        <f>IF(A105="","",C105&gt;=D105)</f>
        <v/>
      </c>
      <c r="L105" s="7">
        <f>IF(A105="","",IF(A105&gt;=Model!$B$11,Model!$B$19*(1+Model!$B$13)^B105,0))</f>
        <v/>
      </c>
      <c r="M105" s="7">
        <f>IF(A105="","",IF(Model!$B$15&gt;0,Model!$B$21*(1+Model!$B$13)^B105,0))</f>
        <v/>
      </c>
      <c r="N105" s="7">
        <f>IF(A105="","",IF((A105+0)&gt;Model!$B$4,0,MAX(0,Model!$B$6-IF((A105+0)&gt;=Model!$B$11,Model!$B$20,0)-IF(0&lt;Model!$B$15,Model!$B$22,0))/(1-Model!$B$9)/(1+Model!$B$18)^0))</f>
        <v/>
      </c>
      <c r="O105" s="7">
        <f>IF(A105="","",IF((A105+1)&gt;Model!$B$4,0,MAX(0,Model!$B$6-IF((A105+1)&gt;=Model!$B$11,Model!$B$20,0)-IF(1&lt;Model!$B$15,Model!$B$22,0))/(1-Model!$B$9)/(1+Model!$B$18)^1))</f>
        <v/>
      </c>
      <c r="P105" s="7">
        <f>IF(A105="","",IF((A105+2)&gt;Model!$B$4,0,MAX(0,Model!$B$6-IF((A105+2)&gt;=Model!$B$11,Model!$B$20,0)-IF(2&lt;Model!$B$15,Model!$B$22,0))/(1-Model!$B$9)/(1+Model!$B$18)^2))</f>
        <v/>
      </c>
      <c r="Q105" s="7">
        <f>IF(A105="","",IF((A105+3)&gt;Model!$B$4,0,MAX(0,Model!$B$6-IF((A105+3)&gt;=Model!$B$11,Model!$B$20,0)-IF(3&lt;Model!$B$15,Model!$B$22,0))/(1-Model!$B$9)/(1+Model!$B$18)^3))</f>
        <v/>
      </c>
      <c r="R105" s="7">
        <f>IF(A105="","",IF((A105+4)&gt;Model!$B$4,0,MAX(0,Model!$B$6-IF((A105+4)&gt;=Model!$B$11,Model!$B$20,0)-IF(4&lt;Model!$B$15,Model!$B$22,0))/(1-Model!$B$9)/(1+Model!$B$18)^4))</f>
        <v/>
      </c>
      <c r="S105" s="7">
        <f>IF(A105="","",IF((A105+5)&gt;Model!$B$4,0,MAX(0,Model!$B$6-IF((A105+5)&gt;=Model!$B$11,Model!$B$20,0)-IF(5&lt;Model!$B$15,Model!$B$22,0))/(1-Model!$B$9)/(1+Model!$B$18)^5))</f>
        <v/>
      </c>
      <c r="T105" s="7">
        <f>IF(A105="","",IF((A105+6)&gt;Model!$B$4,0,MAX(0,Model!$B$6-IF((A105+6)&gt;=Model!$B$11,Model!$B$20,0)-IF(6&lt;Model!$B$15,Model!$B$22,0))/(1-Model!$B$9)/(1+Model!$B$18)^6))</f>
        <v/>
      </c>
      <c r="U105" s="7">
        <f>IF(A105="","",IF((A105+7)&gt;Model!$B$4,0,MAX(0,Model!$B$6-IF((A105+7)&gt;=Model!$B$11,Model!$B$20,0)-IF(7&lt;Model!$B$15,Model!$B$22,0))/(1-Model!$B$9)/(1+Model!$B$18)^7))</f>
        <v/>
      </c>
      <c r="V105" s="7">
        <f>IF(A105="","",IF((A105+8)&gt;Model!$B$4,0,MAX(0,Model!$B$6-IF((A105+8)&gt;=Model!$B$11,Model!$B$20,0)-IF(8&lt;Model!$B$15,Model!$B$22,0))/(1-Model!$B$9)/(1+Model!$B$18)^8))</f>
        <v/>
      </c>
      <c r="W105" s="7">
        <f>IF(A105="","",IF((A105+9)&gt;Model!$B$4,0,MAX(0,Model!$B$6-IF((A105+9)&gt;=Model!$B$11,Model!$B$20,0)-IF(9&lt;Model!$B$15,Model!$B$22,0))/(1-Model!$B$9)/(1+Model!$B$18)^9))</f>
        <v/>
      </c>
      <c r="X105" s="7">
        <f>IF(A105="","",IF((A105+10)&gt;Model!$B$4,0,MAX(0,Model!$B$6-IF((A105+10)&gt;=Model!$B$11,Model!$B$20,0)-IF(10&lt;Model!$B$15,Model!$B$22,0))/(1-Model!$B$9)/(1+Model!$B$18)^10))</f>
        <v/>
      </c>
      <c r="Y105" s="7">
        <f>IF(A105="","",IF((A105+11)&gt;Model!$B$4,0,MAX(0,Model!$B$6-IF((A105+11)&gt;=Model!$B$11,Model!$B$20,0)-IF(11&lt;Model!$B$15,Model!$B$22,0))/(1-Model!$B$9)/(1+Model!$B$18)^11))</f>
        <v/>
      </c>
      <c r="Z105" s="7">
        <f>IF(A105="","",IF((A105+12)&gt;Model!$B$4,0,MAX(0,Model!$B$6-IF((A105+12)&gt;=Model!$B$11,Model!$B$20,0)-IF(12&lt;Model!$B$15,Model!$B$22,0))/(1-Model!$B$9)/(1+Model!$B$18)^12))</f>
        <v/>
      </c>
      <c r="AA105" s="7">
        <f>IF(A105="","",IF((A105+13)&gt;Model!$B$4,0,MAX(0,Model!$B$6-IF((A105+13)&gt;=Model!$B$11,Model!$B$20,0)-IF(13&lt;Model!$B$15,Model!$B$22,0))/(1-Model!$B$9)/(1+Model!$B$18)^13))</f>
        <v/>
      </c>
      <c r="AB105" s="7">
        <f>IF(A105="","",IF((A105+14)&gt;Model!$B$4,0,MAX(0,Model!$B$6-IF((A105+14)&gt;=Model!$B$11,Model!$B$20,0)-IF(14&lt;Model!$B$15,Model!$B$22,0))/(1-Model!$B$9)/(1+Model!$B$18)^14))</f>
        <v/>
      </c>
      <c r="AC105" s="7">
        <f>IF(A105="","",IF((A105+15)&gt;Model!$B$4,0,MAX(0,Model!$B$6-IF((A105+15)&gt;=Model!$B$11,Model!$B$20,0)-IF(15&lt;Model!$B$15,Model!$B$22,0))/(1-Model!$B$9)/(1+Model!$B$18)^15))</f>
        <v/>
      </c>
      <c r="AD105" s="7">
        <f>IF(A105="","",IF((A105+16)&gt;Model!$B$4,0,MAX(0,Model!$B$6-IF((A105+16)&gt;=Model!$B$11,Model!$B$20,0)-IF(16&lt;Model!$B$15,Model!$B$22,0))/(1-Model!$B$9)/(1+Model!$B$18)^16))</f>
        <v/>
      </c>
      <c r="AE105" s="7">
        <f>IF(A105="","",IF((A105+17)&gt;Model!$B$4,0,MAX(0,Model!$B$6-IF((A105+17)&gt;=Model!$B$11,Model!$B$20,0)-IF(17&lt;Model!$B$15,Model!$B$22,0))/(1-Model!$B$9)/(1+Model!$B$18)^17))</f>
        <v/>
      </c>
      <c r="AF105" s="7">
        <f>IF(A105="","",IF((A105+18)&gt;Model!$B$4,0,MAX(0,Model!$B$6-IF((A105+18)&gt;=Model!$B$11,Model!$B$20,0)-IF(18&lt;Model!$B$15,Model!$B$22,0))/(1-Model!$B$9)/(1+Model!$B$18)^18))</f>
        <v/>
      </c>
      <c r="AG105" s="7">
        <f>IF(A105="","",IF((A105+19)&gt;Model!$B$4,0,MAX(0,Model!$B$6-IF((A105+19)&gt;=Model!$B$11,Model!$B$20,0)-IF(19&lt;Model!$B$15,Model!$B$22,0))/(1-Model!$B$9)/(1+Model!$B$18)^19))</f>
        <v/>
      </c>
      <c r="AH105" s="7">
        <f>IF(A105="","",IF((A105+20)&gt;Model!$B$4,0,MAX(0,Model!$B$6-IF((A105+20)&gt;=Model!$B$11,Model!$B$20,0)-IF(20&lt;Model!$B$15,Model!$B$22,0))/(1-Model!$B$9)/(1+Model!$B$18)^20))</f>
        <v/>
      </c>
      <c r="AI105" s="7">
        <f>IF(A105="","",IF((A105+21)&gt;Model!$B$4,0,MAX(0,Model!$B$6-IF((A105+21)&gt;=Model!$B$11,Model!$B$20,0)-IF(21&lt;Model!$B$15,Model!$B$22,0))/(1-Model!$B$9)/(1+Model!$B$18)^21))</f>
        <v/>
      </c>
      <c r="AJ105" s="7">
        <f>IF(A105="","",IF((A105+22)&gt;Model!$B$4,0,MAX(0,Model!$B$6-IF((A105+22)&gt;=Model!$B$11,Model!$B$20,0)-IF(22&lt;Model!$B$15,Model!$B$22,0))/(1-Model!$B$9)/(1+Model!$B$18)^22))</f>
        <v/>
      </c>
      <c r="AK105" s="7">
        <f>IF(A105="","",IF((A105+23)&gt;Model!$B$4,0,MAX(0,Model!$B$6-IF((A105+23)&gt;=Model!$B$11,Model!$B$20,0)-IF(23&lt;Model!$B$15,Model!$B$22,0))/(1-Model!$B$9)/(1+Model!$B$18)^23))</f>
        <v/>
      </c>
      <c r="AL105" s="7">
        <f>IF(A105="","",IF((A105+24)&gt;Model!$B$4,0,MAX(0,Model!$B$6-IF((A105+24)&gt;=Model!$B$11,Model!$B$20,0)-IF(24&lt;Model!$B$15,Model!$B$22,0))/(1-Model!$B$9)/(1+Model!$B$18)^24))</f>
        <v/>
      </c>
      <c r="AM105" s="7">
        <f>IF(A105="","",IF((A105+25)&gt;Model!$B$4,0,MAX(0,Model!$B$6-IF((A105+25)&gt;=Model!$B$11,Model!$B$20,0)-IF(25&lt;Model!$B$15,Model!$B$22,0))/(1-Model!$B$9)/(1+Model!$B$18)^25))</f>
        <v/>
      </c>
      <c r="AN105" s="7">
        <f>IF(A105="","",IF((A105+26)&gt;Model!$B$4,0,MAX(0,Model!$B$6-IF((A105+26)&gt;=Model!$B$11,Model!$B$20,0)-IF(26&lt;Model!$B$15,Model!$B$22,0))/(1-Model!$B$9)/(1+Model!$B$18)^26))</f>
        <v/>
      </c>
      <c r="AO105" s="7">
        <f>IF(A105="","",IF((A105+27)&gt;Model!$B$4,0,MAX(0,Model!$B$6-IF((A105+27)&gt;=Model!$B$11,Model!$B$20,0)-IF(27&lt;Model!$B$15,Model!$B$22,0))/(1-Model!$B$9)/(1+Model!$B$18)^27))</f>
        <v/>
      </c>
      <c r="AP105" s="7">
        <f>IF(A105="","",IF((A105+28)&gt;Model!$B$4,0,MAX(0,Model!$B$6-IF((A105+28)&gt;=Model!$B$11,Model!$B$20,0)-IF(28&lt;Model!$B$15,Model!$B$22,0))/(1-Model!$B$9)/(1+Model!$B$18)^28))</f>
        <v/>
      </c>
      <c r="AQ105" s="7">
        <f>IF(A105="","",IF((A105+29)&gt;Model!$B$4,0,MAX(0,Model!$B$6-IF((A105+29)&gt;=Model!$B$11,Model!$B$20,0)-IF(29&lt;Model!$B$15,Model!$B$22,0))/(1-Model!$B$9)/(1+Model!$B$18)^29))</f>
        <v/>
      </c>
      <c r="AR105" s="7">
        <f>IF(A105="","",IF((A105+30)&gt;Model!$B$4,0,MAX(0,Model!$B$6-IF((A105+30)&gt;=Model!$B$11,Model!$B$20,0)-IF(30&lt;Model!$B$15,Model!$B$22,0))/(1-Model!$B$9)/(1+Model!$B$18)^30))</f>
        <v/>
      </c>
      <c r="AS105" s="7">
        <f>IF(A105="","",IF((A105+31)&gt;Model!$B$4,0,MAX(0,Model!$B$6-IF((A105+31)&gt;=Model!$B$11,Model!$B$20,0)-IF(31&lt;Model!$B$15,Model!$B$22,0))/(1-Model!$B$9)/(1+Model!$B$18)^31))</f>
        <v/>
      </c>
      <c r="AT105" s="7">
        <f>IF(A105="","",IF((A105+32)&gt;Model!$B$4,0,MAX(0,Model!$B$6-IF((A105+32)&gt;=Model!$B$11,Model!$B$20,0)-IF(32&lt;Model!$B$15,Model!$B$22,0))/(1-Model!$B$9)/(1+Model!$B$18)^32))</f>
        <v/>
      </c>
      <c r="AU105" s="7">
        <f>IF(A105="","",IF((A105+33)&gt;Model!$B$4,0,MAX(0,Model!$B$6-IF((A105+33)&gt;=Model!$B$11,Model!$B$20,0)-IF(33&lt;Model!$B$15,Model!$B$22,0))/(1-Model!$B$9)/(1+Model!$B$18)^33))</f>
        <v/>
      </c>
      <c r="AV105" s="7">
        <f>IF(A105="","",IF((A105+34)&gt;Model!$B$4,0,MAX(0,Model!$B$6-IF((A105+34)&gt;=Model!$B$11,Model!$B$20,0)-IF(34&lt;Model!$B$15,Model!$B$22,0))/(1-Model!$B$9)/(1+Model!$B$18)^34))</f>
        <v/>
      </c>
      <c r="AW105" s="7">
        <f>IF(A105="","",IF((A105+35)&gt;Model!$B$4,0,MAX(0,Model!$B$6-IF((A105+35)&gt;=Model!$B$11,Model!$B$20,0)-IF(35&lt;Model!$B$15,Model!$B$22,0))/(1-Model!$B$9)/(1+Model!$B$18)^35))</f>
        <v/>
      </c>
      <c r="AX105" s="7">
        <f>IF(A105="","",IF((A105+36)&gt;Model!$B$4,0,MAX(0,Model!$B$6-IF((A105+36)&gt;=Model!$B$11,Model!$B$20,0)-IF(36&lt;Model!$B$15,Model!$B$22,0))/(1-Model!$B$9)/(1+Model!$B$18)^36))</f>
        <v/>
      </c>
      <c r="AY105" s="7">
        <f>IF(A105="","",IF((A105+37)&gt;Model!$B$4,0,MAX(0,Model!$B$6-IF((A105+37)&gt;=Model!$B$11,Model!$B$20,0)-IF(37&lt;Model!$B$15,Model!$B$22,0))/(1-Model!$B$9)/(1+Model!$B$18)^37))</f>
        <v/>
      </c>
      <c r="AZ105" s="7">
        <f>IF(A105="","",IF((A105+38)&gt;Model!$B$4,0,MAX(0,Model!$B$6-IF((A105+38)&gt;=Model!$B$11,Model!$B$20,0)-IF(38&lt;Model!$B$15,Model!$B$22,0))/(1-Model!$B$9)/(1+Model!$B$18)^38))</f>
        <v/>
      </c>
      <c r="BA105" s="7">
        <f>IF(A105="","",IF((A105+39)&gt;Model!$B$4,0,MAX(0,Model!$B$6-IF((A105+39)&gt;=Model!$B$11,Model!$B$20,0)-IF(39&lt;Model!$B$15,Model!$B$22,0))/(1-Model!$B$9)/(1+Model!$B$18)^39))</f>
        <v/>
      </c>
      <c r="BB105" s="7">
        <f>IF(A105="","",IF((A105+40)&gt;Model!$B$4,0,MAX(0,Model!$B$6-IF((A105+40)&gt;=Model!$B$11,Model!$B$20,0)-IF(40&lt;Model!$B$15,Model!$B$22,0))/(1-Model!$B$9)/(1+Model!$B$18)^40))</f>
        <v/>
      </c>
      <c r="BC105" s="7">
        <f>IF(A105="","",IF((A105+41)&gt;Model!$B$4,0,MAX(0,Model!$B$6-IF((A105+41)&gt;=Model!$B$11,Model!$B$20,0)-IF(41&lt;Model!$B$15,Model!$B$22,0))/(1-Model!$B$9)/(1+Model!$B$18)^41))</f>
        <v/>
      </c>
      <c r="BD105" s="7">
        <f>IF(A105="","",IF((A105+42)&gt;Model!$B$4,0,MAX(0,Model!$B$6-IF((A105+42)&gt;=Model!$B$11,Model!$B$20,0)-IF(42&lt;Model!$B$15,Model!$B$22,0))/(1-Model!$B$9)/(1+Model!$B$18)^42))</f>
        <v/>
      </c>
      <c r="BE105" s="7">
        <f>IF(A105="","",IF((A105+43)&gt;Model!$B$4,0,MAX(0,Model!$B$6-IF((A105+43)&gt;=Model!$B$11,Model!$B$20,0)-IF(43&lt;Model!$B$15,Model!$B$22,0))/(1-Model!$B$9)/(1+Model!$B$18)^43))</f>
        <v/>
      </c>
      <c r="BF105" s="7">
        <f>IF(A105="","",IF((A105+44)&gt;Model!$B$4,0,MAX(0,Model!$B$6-IF((A105+44)&gt;=Model!$B$11,Model!$B$20,0)-IF(44&lt;Model!$B$15,Model!$B$22,0))/(1-Model!$B$9)/(1+Model!$B$18)^44))</f>
        <v/>
      </c>
      <c r="BG105" s="7">
        <f>IF(A105="","",IF((A105+45)&gt;Model!$B$4,0,MAX(0,Model!$B$6-IF((A105+45)&gt;=Model!$B$11,Model!$B$20,0)-IF(45&lt;Model!$B$15,Model!$B$22,0))/(1-Model!$B$9)/(1+Model!$B$18)^45))</f>
        <v/>
      </c>
      <c r="BH105" s="7">
        <f>IF(A105="","",IF((A105+46)&gt;Model!$B$4,0,MAX(0,Model!$B$6-IF((A105+46)&gt;=Model!$B$11,Model!$B$20,0)-IF(46&lt;Model!$B$15,Model!$B$22,0))/(1-Model!$B$9)/(1+Model!$B$18)^46))</f>
        <v/>
      </c>
      <c r="BI105" s="7">
        <f>IF(A105="","",IF((A105+47)&gt;Model!$B$4,0,MAX(0,Model!$B$6-IF((A105+47)&gt;=Model!$B$11,Model!$B$20,0)-IF(47&lt;Model!$B$15,Model!$B$22,0))/(1-Model!$B$9)/(1+Model!$B$18)^47))</f>
        <v/>
      </c>
      <c r="BJ105" s="7">
        <f>IF(A105="","",IF((A105+48)&gt;Model!$B$4,0,MAX(0,Model!$B$6-IF((A105+48)&gt;=Model!$B$11,Model!$B$20,0)-IF(48&lt;Model!$B$15,Model!$B$22,0))/(1-Model!$B$9)/(1+Model!$B$18)^48))</f>
        <v/>
      </c>
      <c r="BK105" s="7">
        <f>IF(A105="","",IF((A105+49)&gt;Model!$B$4,0,MAX(0,Model!$B$6-IF((A105+49)&gt;=Model!$B$11,Model!$B$20,0)-IF(49&lt;Model!$B$15,Model!$B$22,0))/(1-Model!$B$9)/(1+Model!$B$18)^49))</f>
        <v/>
      </c>
      <c r="BL105" s="7">
        <f>IF(A105="","",IF((A105+50)&gt;Model!$B$4,0,MAX(0,Model!$B$6-IF((A105+50)&gt;=Model!$B$11,Model!$B$20,0)-IF(50&lt;Model!$B$15,Model!$B$22,0))/(1-Model!$B$9)/(1+Model!$B$18)^50))</f>
        <v/>
      </c>
      <c r="BM105" s="7">
        <f>IF(A105="","",IF((A105+51)&gt;Model!$B$4,0,MAX(0,Model!$B$6-IF((A105+51)&gt;=Model!$B$11,Model!$B$20,0)-IF(51&lt;Model!$B$15,Model!$B$22,0))/(1-Model!$B$9)/(1+Model!$B$18)^51))</f>
        <v/>
      </c>
      <c r="BN105" s="7">
        <f>IF(A105="","",IF((A105+52)&gt;Model!$B$4,0,MAX(0,Model!$B$6-IF((A105+52)&gt;=Model!$B$11,Model!$B$20,0)-IF(52&lt;Model!$B$15,Model!$B$22,0))/(1-Model!$B$9)/(1+Model!$B$18)^52))</f>
        <v/>
      </c>
      <c r="BO105" s="7">
        <f>IF(A105="","",IF((A105+53)&gt;Model!$B$4,0,MAX(0,Model!$B$6-IF((A105+53)&gt;=Model!$B$11,Model!$B$20,0)-IF(53&lt;Model!$B$15,Model!$B$22,0))/(1-Model!$B$9)/(1+Model!$B$18)^53))</f>
        <v/>
      </c>
      <c r="BP105" s="7">
        <f>IF(A105="","",IF((A105+54)&gt;Model!$B$4,0,MAX(0,Model!$B$6-IF((A105+54)&gt;=Model!$B$11,Model!$B$20,0)-IF(54&lt;Model!$B$15,Model!$B$22,0))/(1-Model!$B$9)/(1+Model!$B$18)^54))</f>
        <v/>
      </c>
      <c r="BQ105" s="7">
        <f>IF(A105="","",IF((A105+55)&gt;Model!$B$4,0,MAX(0,Model!$B$6-IF((A105+55)&gt;=Model!$B$11,Model!$B$20,0)-IF(55&lt;Model!$B$15,Model!$B$22,0))/(1-Model!$B$9)/(1+Model!$B$18)^55))</f>
        <v/>
      </c>
      <c r="BR105" s="7">
        <f>IF(A105="","",IF((A105+56)&gt;Model!$B$4,0,MAX(0,Model!$B$6-IF((A105+56)&gt;=Model!$B$11,Model!$B$20,0)-IF(56&lt;Model!$B$15,Model!$B$22,0))/(1-Model!$B$9)/(1+Model!$B$18)^56))</f>
        <v/>
      </c>
      <c r="BS105" s="7">
        <f>IF(A105="","",IF((A105+57)&gt;Model!$B$4,0,MAX(0,Model!$B$6-IF((A105+57)&gt;=Model!$B$11,Model!$B$20,0)-IF(57&lt;Model!$B$15,Model!$B$22,0))/(1-Model!$B$9)/(1+Model!$B$18)^57))</f>
        <v/>
      </c>
      <c r="BT105" s="7">
        <f>IF(A105="","",IF((A105+58)&gt;Model!$B$4,0,MAX(0,Model!$B$6-IF((A105+58)&gt;=Model!$B$11,Model!$B$20,0)-IF(58&lt;Model!$B$15,Model!$B$22,0))/(1-Model!$B$9)/(1+Model!$B$18)^58))</f>
        <v/>
      </c>
      <c r="BU105" s="7">
        <f>IF(A105="","",IF((A105+59)&gt;Model!$B$4,0,MAX(0,Model!$B$6-IF((A105+59)&gt;=Model!$B$11,Model!$B$20,0)-IF(59&lt;Model!$B$15,Model!$B$22,0))/(1-Model!$B$9)/(1+Model!$B$18)^59))</f>
        <v/>
      </c>
      <c r="BV105" s="7">
        <f>IF(A105="","",IF((A105+60)&gt;Model!$B$4,0,MAX(0,Model!$B$6-IF((A105+60)&gt;=Model!$B$11,Model!$B$20,0)-IF(60&lt;Model!$B$15,Model!$B$22,0))/(1-Model!$B$9)/(1+Model!$B$18)^60))</f>
        <v/>
      </c>
      <c r="BW105" s="7">
        <f>IF(A105="","",IF((A105+61)&gt;Model!$B$4,0,MAX(0,Model!$B$6-IF((A105+61)&gt;=Model!$B$11,Model!$B$20,0)-IF(61&lt;Model!$B$15,Model!$B$22,0))/(1-Model!$B$9)/(1+Model!$B$18)^61))</f>
        <v/>
      </c>
      <c r="BX105" s="7">
        <f>IF(A105="","",IF((A105+62)&gt;Model!$B$4,0,MAX(0,Model!$B$6-IF((A105+62)&gt;=Model!$B$11,Model!$B$20,0)-IF(62&lt;Model!$B$15,Model!$B$22,0))/(1-Model!$B$9)/(1+Model!$B$18)^62))</f>
        <v/>
      </c>
      <c r="BY105" s="7">
        <f>IF(A105="","",IF((A105+63)&gt;Model!$B$4,0,MAX(0,Model!$B$6-IF((A105+63)&gt;=Model!$B$11,Model!$B$20,0)-IF(63&lt;Model!$B$15,Model!$B$22,0))/(1-Model!$B$9)/(1+Model!$B$18)^63))</f>
        <v/>
      </c>
      <c r="BZ105" s="7">
        <f>IF(A105="","",IF((A105+64)&gt;Model!$B$4,0,MAX(0,Model!$B$6-IF((A105+64)&gt;=Model!$B$11,Model!$B$20,0)-IF(64&lt;Model!$B$15,Model!$B$22,0))/(1-Model!$B$9)/(1+Model!$B$18)^64))</f>
        <v/>
      </c>
      <c r="CA105" s="7">
        <f>IF(A105="","",IF((A105+65)&gt;Model!$B$4,0,MAX(0,Model!$B$6-IF((A105+65)&gt;=Model!$B$11,Model!$B$20,0)-IF(65&lt;Model!$B$15,Model!$B$22,0))/(1-Model!$B$9)/(1+Model!$B$18)^65))</f>
        <v/>
      </c>
      <c r="CB105" s="7">
        <f>IF(A105="","",IF((A105+66)&gt;Model!$B$4,0,MAX(0,Model!$B$6-IF((A105+66)&gt;=Model!$B$11,Model!$B$20,0)-IF(66&lt;Model!$B$15,Model!$B$22,0))/(1-Model!$B$9)/(1+Model!$B$18)^66))</f>
        <v/>
      </c>
      <c r="CC105" s="7">
        <f>IF(A105="","",IF((A105+67)&gt;Model!$B$4,0,MAX(0,Model!$B$6-IF((A105+67)&gt;=Model!$B$11,Model!$B$20,0)-IF(67&lt;Model!$B$15,Model!$B$22,0))/(1-Model!$B$9)/(1+Model!$B$18)^67))</f>
        <v/>
      </c>
      <c r="CD105" s="7">
        <f>IF(A105="","",IF((A105+68)&gt;Model!$B$4,0,MAX(0,Model!$B$6-IF((A105+68)&gt;=Model!$B$11,Model!$B$20,0)-IF(68&lt;Model!$B$15,Model!$B$22,0))/(1-Model!$B$9)/(1+Model!$B$18)^68))</f>
        <v/>
      </c>
      <c r="CE105" s="7">
        <f>IF(A105="","",IF((A105+69)&gt;Model!$B$4,0,MAX(0,Model!$B$6-IF((A105+69)&gt;=Model!$B$11,Model!$B$20,0)-IF(69&lt;Model!$B$15,Model!$B$22,0))/(1-Model!$B$9)/(1+Model!$B$18)^69))</f>
        <v/>
      </c>
      <c r="CF105" s="7">
        <f>IF(A105="","",IF((A105+70)&gt;Model!$B$4,0,MAX(0,Model!$B$6-IF((A105+70)&gt;=Model!$B$11,Model!$B$20,0)-IF(70&lt;Model!$B$15,Model!$B$22,0))/(1-Model!$B$9)/(1+Model!$B$18)^70))</f>
        <v/>
      </c>
      <c r="CG105" s="7">
        <f>IF(A105="","",IF((A105+71)&gt;Model!$B$4,0,MAX(0,Model!$B$6-IF((A105+71)&gt;=Model!$B$11,Model!$B$20,0)-IF(71&lt;Model!$B$15,Model!$B$22,0))/(1-Model!$B$9)/(1+Model!$B$18)^71))</f>
        <v/>
      </c>
      <c r="CH105" s="7">
        <f>IF(A105="","",IF((A105+72)&gt;Model!$B$4,0,MAX(0,Model!$B$6-IF((A105+72)&gt;=Model!$B$11,Model!$B$20,0)-IF(72&lt;Model!$B$15,Model!$B$22,0))/(1-Model!$B$9)/(1+Model!$B$18)^72))</f>
        <v/>
      </c>
      <c r="CI105" s="7">
        <f>IF(A105="","",IF((A105+73)&gt;Model!$B$4,0,MAX(0,Model!$B$6-IF((A105+73)&gt;=Model!$B$11,Model!$B$20,0)-IF(73&lt;Model!$B$15,Model!$B$22,0))/(1-Model!$B$9)/(1+Model!$B$18)^73))</f>
        <v/>
      </c>
      <c r="CJ105" s="7">
        <f>IF(A105="","",IF((A105+74)&gt;Model!$B$4,0,MAX(0,Model!$B$6-IF((A105+74)&gt;=Model!$B$11,Model!$B$20,0)-IF(74&lt;Model!$B$15,Model!$B$22,0))/(1-Model!$B$9)/(1+Model!$B$18)^74))</f>
        <v/>
      </c>
      <c r="CK105" s="7">
        <f>IF(A105="","",IF((A105+75)&gt;Model!$B$4,0,MAX(0,Model!$B$6-IF((A105+75)&gt;=Model!$B$11,Model!$B$20,0)-IF(75&lt;Model!$B$15,Model!$B$22,0))/(1-Model!$B$9)/(1+Model!$B$18)^75))</f>
        <v/>
      </c>
      <c r="CL105" s="7">
        <f>IF(A105="","",IF((A105+76)&gt;Model!$B$4,0,MAX(0,Model!$B$6-IF((A105+76)&gt;=Model!$B$11,Model!$B$20,0)-IF(76&lt;Model!$B$15,Model!$B$22,0))/(1-Model!$B$9)/(1+Model!$B$18)^76))</f>
        <v/>
      </c>
      <c r="CM105" s="7">
        <f>IF(A105="","",IF((A105+77)&gt;Model!$B$4,0,MAX(0,Model!$B$6-IF((A105+77)&gt;=Model!$B$11,Model!$B$20,0)-IF(77&lt;Model!$B$15,Model!$B$22,0))/(1-Model!$B$9)/(1+Model!$B$18)^77))</f>
        <v/>
      </c>
      <c r="CN105" s="7">
        <f>IF(A105="","",IF((A105+78)&gt;Model!$B$4,0,MAX(0,Model!$B$6-IF((A105+78)&gt;=Model!$B$11,Model!$B$20,0)-IF(78&lt;Model!$B$15,Model!$B$22,0))/(1-Model!$B$9)/(1+Model!$B$18)^78))</f>
        <v/>
      </c>
      <c r="CO105" s="7">
        <f>IF(A105="","",IF((A105+79)&gt;Model!$B$4,0,MAX(0,Model!$B$6-IF((A105+79)&gt;=Model!$B$11,Model!$B$20,0)-IF(79&lt;Model!$B$15,Model!$B$22,0))/(1-Model!$B$9)/(1+Model!$B$18)^79))</f>
        <v/>
      </c>
      <c r="CP105" s="7">
        <f>IF(A105="","",IF((A105+80)&gt;Model!$B$4,0,MAX(0,Model!$B$6-IF((A105+80)&gt;=Model!$B$11,Model!$B$20,0)-IF(80&lt;Model!$B$15,Model!$B$22,0))/(1-Model!$B$9)/(1+Model!$B$18)^80))</f>
        <v/>
      </c>
      <c r="CQ105" s="7">
        <f>IF(A105="","",IF((A105+81)&gt;Model!$B$4,0,MAX(0,Model!$B$6-IF((A105+81)&gt;=Model!$B$11,Model!$B$20,0)-IF(81&lt;Model!$B$15,Model!$B$22,0))/(1-Model!$B$9)/(1+Model!$B$18)^81))</f>
        <v/>
      </c>
      <c r="CR105" s="7">
        <f>IF(A105="","",IF((A105+82)&gt;Model!$B$4,0,MAX(0,Model!$B$6-IF((A105+82)&gt;=Model!$B$11,Model!$B$20,0)-IF(82&lt;Model!$B$15,Model!$B$22,0))/(1-Model!$B$9)/(1+Model!$B$18)^82))</f>
        <v/>
      </c>
      <c r="CS105" s="7">
        <f>IF(A105="","",IF((A105+83)&gt;Model!$B$4,0,MAX(0,Model!$B$6-IF((A105+83)&gt;=Model!$B$11,Model!$B$20,0)-IF(83&lt;Model!$B$15,Model!$B$22,0))/(1-Model!$B$9)/(1+Model!$B$18)^83))</f>
        <v/>
      </c>
      <c r="CT105" s="7">
        <f>IF(A105="","",IF((A105+84)&gt;Model!$B$4,0,MAX(0,Model!$B$6-IF((A105+84)&gt;=Model!$B$11,Model!$B$20,0)-IF(84&lt;Model!$B$15,Model!$B$22,0))/(1-Model!$B$9)/(1+Model!$B$18)^84))</f>
        <v/>
      </c>
      <c r="CU105" s="7">
        <f>IF(A105="","",IF((A105+85)&gt;Model!$B$4,0,MAX(0,Model!$B$6-IF((A105+85)&gt;=Model!$B$11,Model!$B$20,0)-IF(85&lt;Model!$B$15,Model!$B$22,0))/(1-Model!$B$9)/(1+Model!$B$18)^85))</f>
        <v/>
      </c>
      <c r="CV105" s="7">
        <f>IF(A105="","",IF((A105+86)&gt;Model!$B$4,0,MAX(0,Model!$B$6-IF((A105+86)&gt;=Model!$B$11,Model!$B$20,0)-IF(86&lt;Model!$B$15,Model!$B$22,0))/(1-Model!$B$9)/(1+Model!$B$18)^86))</f>
        <v/>
      </c>
      <c r="CW105" s="7">
        <f>IF(A105="","",IF((A105+87)&gt;Model!$B$4,0,MAX(0,Model!$B$6-IF((A105+87)&gt;=Model!$B$11,Model!$B$20,0)-IF(87&lt;Model!$B$15,Model!$B$22,0))/(1-Model!$B$9)/(1+Model!$B$18)^87))</f>
        <v/>
      </c>
      <c r="CX105" s="7">
        <f>IF(A105="","",IF((A105+88)&gt;Model!$B$4,0,MAX(0,Model!$B$6-IF((A105+88)&gt;=Model!$B$11,Model!$B$20,0)-IF(88&lt;Model!$B$15,Model!$B$22,0))/(1-Model!$B$9)/(1+Model!$B$18)^88))</f>
        <v/>
      </c>
      <c r="CY105" s="7">
        <f>IF(A105="","",IF((A105+89)&gt;Model!$B$4,0,MAX(0,Model!$B$6-IF((A105+89)&gt;=Model!$B$11,Model!$B$20,0)-IF(89&lt;Model!$B$15,Model!$B$22,0))/(1-Model!$B$9)/(1+Model!$B$18)^89))</f>
        <v/>
      </c>
      <c r="CZ105" s="7">
        <f>IF(A105="","",IF((A105+90)&gt;Model!$B$4,0,MAX(0,Model!$B$6-IF((A105+90)&gt;=Model!$B$11,Model!$B$20,0)-IF(90&lt;Model!$B$15,Model!$B$22,0))/(1-Model!$B$9)/(1+Model!$B$18)^90))</f>
        <v/>
      </c>
      <c r="DA105" s="7">
        <f>IF(A105="","",IF((A105+91)&gt;Model!$B$4,0,MAX(0,Model!$B$6-IF((A105+91)&gt;=Model!$B$11,Model!$B$20,0)-IF(91&lt;Model!$B$15,Model!$B$22,0))/(1-Model!$B$9)/(1+Model!$B$18)^91))</f>
        <v/>
      </c>
      <c r="DB105" s="7">
        <f>IF(A105="","",IF((A105+92)&gt;Model!$B$4,0,MAX(0,Model!$B$6-IF((A105+92)&gt;=Model!$B$11,Model!$B$20,0)-IF(92&lt;Model!$B$15,Model!$B$22,0))/(1-Model!$B$9)/(1+Model!$B$18)^92))</f>
        <v/>
      </c>
      <c r="DC105" s="7">
        <f>IF(A105="","",IF((A105+93)&gt;Model!$B$4,0,MAX(0,Model!$B$6-IF((A105+93)&gt;=Model!$B$11,Model!$B$20,0)-IF(93&lt;Model!$B$15,Model!$B$22,0))/(1-Model!$B$9)/(1+Model!$B$18)^93))</f>
        <v/>
      </c>
      <c r="DD105" s="7">
        <f>IF(A105="","",IF((A105+94)&gt;Model!$B$4,0,MAX(0,Model!$B$6-IF((A105+94)&gt;=Model!$B$11,Model!$B$20,0)-IF(94&lt;Model!$B$15,Model!$B$22,0))/(1-Model!$B$9)/(1+Model!$B$18)^94))</f>
        <v/>
      </c>
      <c r="DE105" s="7">
        <f>IF(A105="","",IF((A105+95)&gt;Model!$B$4,0,MAX(0,Model!$B$6-IF((A105+95)&gt;=Model!$B$11,Model!$B$20,0)-IF(95&lt;Model!$B$15,Model!$B$22,0))/(1-Model!$B$9)/(1+Model!$B$18)^95))</f>
        <v/>
      </c>
      <c r="DF105" s="7">
        <f>IF(A105="","",IF((A105+96)&gt;Model!$B$4,0,MAX(0,Model!$B$6-IF((A105+96)&gt;=Model!$B$11,Model!$B$20,0)-IF(96&lt;Model!$B$15,Model!$B$22,0))/(1-Model!$B$9)/(1+Model!$B$18)^96))</f>
        <v/>
      </c>
      <c r="DG105" s="7">
        <f>IF(A105="","",IF((A105+97)&gt;Model!$B$4,0,MAX(0,Model!$B$6-IF((A105+97)&gt;=Model!$B$11,Model!$B$20,0)-IF(97&lt;Model!$B$15,Model!$B$22,0))/(1-Model!$B$9)/(1+Model!$B$18)^97))</f>
        <v/>
      </c>
      <c r="DH105" s="7">
        <f>IF(A105="","",IF((A105+98)&gt;Model!$B$4,0,MAX(0,Model!$B$6-IF((A105+98)&gt;=Model!$B$11,Model!$B$20,0)-IF(98&lt;Model!$B$15,Model!$B$22,0))/(1-Model!$B$9)/(1+Model!$B$18)^98))</f>
        <v/>
      </c>
      <c r="DI105" s="7">
        <f>IF(A105="","",IF((A105+99)&gt;Model!$B$4,0,MAX(0,Model!$B$6-IF((A105+99)&gt;=Model!$B$11,Model!$B$20,0)-IF(99&lt;Model!$B$15,Model!$B$22,0))/(1-Model!$B$9)/(1+Model!$B$18)^99))</f>
        <v/>
      </c>
      <c r="DJ105" s="7">
        <f>IF(A105="","",IF((A105+100)&gt;Model!$B$4,0,MAX(0,Model!$B$6-IF((A105+100)&gt;=Model!$B$11,Model!$B$20,0)-IF(100&lt;Model!$B$15,Model!$B$22,0))/(1-Model!$B$9)/(1+Model!$B$18)^100))</f>
        <v/>
      </c>
      <c r="DK105" s="7">
        <f>IF(A105="","",IF((A105+101)&gt;Model!$B$4,0,MAX(0,Model!$B$6-IF((A105+101)&gt;=Model!$B$11,Model!$B$20,0)-IF(101&lt;Model!$B$15,Model!$B$22,0))/(1-Model!$B$9)/(1+Model!$B$18)^101))</f>
        <v/>
      </c>
      <c r="DL105" s="7">
        <f>IF(A105="","",IF((A105+102)&gt;Model!$B$4,0,MAX(0,Model!$B$6-IF((A105+102)&gt;=Model!$B$11,Model!$B$20,0)-IF(102&lt;Model!$B$15,Model!$B$22,0))/(1-Model!$B$9)/(1+Model!$B$18)^102))</f>
        <v/>
      </c>
      <c r="DM105" s="7">
        <f>IF(A105="","",IF((A105+103)&gt;Model!$B$4,0,MAX(0,Model!$B$6-IF((A105+103)&gt;=Model!$B$11,Model!$B$20,0)-IF(103&lt;Model!$B$15,Model!$B$22,0))/(1-Model!$B$9)/(1+Model!$B$18)^103))</f>
        <v/>
      </c>
      <c r="DN105" s="7">
        <f>IF(A105="","",IF((A105+104)&gt;Model!$B$4,0,MAX(0,Model!$B$6-IF((A105+104)&gt;=Model!$B$11,Model!$B$20,0)-IF(104&lt;Model!$B$15,Model!$B$22,0))/(1-Model!$B$9)/(1+Model!$B$18)^104))</f>
        <v/>
      </c>
      <c r="DO105" s="7">
        <f>IF(A105="","",IF((A105+105)&gt;Model!$B$4,0,MAX(0,Model!$B$6-IF((A105+105)&gt;=Model!$B$11,Model!$B$20,0)-IF(105&lt;Model!$B$15,Model!$B$22,0))/(1-Model!$B$9)/(1+Model!$B$18)^105))</f>
        <v/>
      </c>
      <c r="DP105" s="7">
        <f>IF(A105="","",IF((A105+106)&gt;Model!$B$4,0,MAX(0,Model!$B$6-IF((A105+106)&gt;=Model!$B$11,Model!$B$20,0)-IF(106&lt;Model!$B$15,Model!$B$22,0))/(1-Model!$B$9)/(1+Model!$B$18)^106))</f>
        <v/>
      </c>
      <c r="DQ105" s="7">
        <f>IF(A105="","",IF((A105+107)&gt;Model!$B$4,0,MAX(0,Model!$B$6-IF((A105+107)&gt;=Model!$B$11,Model!$B$20,0)-IF(107&lt;Model!$B$15,Model!$B$22,0))/(1-Model!$B$9)/(1+Model!$B$18)^107))</f>
        <v/>
      </c>
      <c r="DR105" s="7">
        <f>IF(A105="","",IF((A105+108)&gt;Model!$B$4,0,MAX(0,Model!$B$6-IF((A105+108)&gt;=Model!$B$11,Model!$B$20,0)-IF(108&lt;Model!$B$15,Model!$B$22,0))/(1-Model!$B$9)/(1+Model!$B$18)^108))</f>
        <v/>
      </c>
      <c r="DS105" s="7">
        <f>IF(A105="","",IF((A105+109)&gt;Model!$B$4,0,MAX(0,Model!$B$6-IF((A105+109)&gt;=Model!$B$11,Model!$B$20,0)-IF(109&lt;Model!$B$15,Model!$B$22,0))/(1-Model!$B$9)/(1+Model!$B$18)^109))</f>
        <v/>
      </c>
      <c r="DT105" s="7">
        <f>IF(A105="","",IF((A105+110)&gt;Model!$B$4,0,MAX(0,Model!$B$6-IF((A105+110)&gt;=Model!$B$11,Model!$B$20,0)-IF(110&lt;Model!$B$15,Model!$B$22,0))/(1-Model!$B$9)/(1+Model!$B$18)^110))</f>
        <v/>
      </c>
      <c r="DU105" s="7">
        <f>IF(A105="","",IF((A105+111)&gt;Model!$B$4,0,MAX(0,Model!$B$6-IF((A105+111)&gt;=Model!$B$11,Model!$B$20,0)-IF(111&lt;Model!$B$15,Model!$B$22,0))/(1-Model!$B$9)/(1+Model!$B$18)^111))</f>
        <v/>
      </c>
      <c r="DV105" s="7">
        <f>IF(A105="","",IF((A105+112)&gt;Model!$B$4,0,MAX(0,Model!$B$6-IF((A105+112)&gt;=Model!$B$11,Model!$B$20,0)-IF(112&lt;Model!$B$15,Model!$B$22,0))/(1-Model!$B$9)/(1+Model!$B$18)^112))</f>
        <v/>
      </c>
      <c r="DW105" s="7">
        <f>IF(A105="","",IF((A105+113)&gt;Model!$B$4,0,MAX(0,Model!$B$6-IF((A105+113)&gt;=Model!$B$11,Model!$B$20,0)-IF(113&lt;Model!$B$15,Model!$B$22,0))/(1-Model!$B$9)/(1+Model!$B$18)^113))</f>
        <v/>
      </c>
      <c r="DX105" s="7">
        <f>IF(A105="","",IF((A105+114)&gt;Model!$B$4,0,MAX(0,Model!$B$6-IF((A105+114)&gt;=Model!$B$11,Model!$B$20,0)-IF(114&lt;Model!$B$15,Model!$B$22,0))/(1-Model!$B$9)/(1+Model!$B$18)^114))</f>
        <v/>
      </c>
      <c r="DY105" s="7">
        <f>IF(A105="","",IF((A105+115)&gt;Model!$B$4,0,MAX(0,Model!$B$6-IF((A105+115)&gt;=Model!$B$11,Model!$B$20,0)-IF(115&lt;Model!$B$15,Model!$B$22,0))/(1-Model!$B$9)/(1+Model!$B$18)^115))</f>
        <v/>
      </c>
      <c r="DZ105" s="7">
        <f>IF(A105="","",IF((A105+116)&gt;Model!$B$4,0,MAX(0,Model!$B$6-IF((A105+116)&gt;=Model!$B$11,Model!$B$20,0)-IF(116&lt;Model!$B$15,Model!$B$22,0))/(1-Model!$B$9)/(1+Model!$B$18)^116))</f>
        <v/>
      </c>
      <c r="EA105" s="7">
        <f>IF(A105="","",IF((A105+117)&gt;Model!$B$4,0,MAX(0,Model!$B$6-IF((A105+117)&gt;=Model!$B$11,Model!$B$20,0)-IF(117&lt;Model!$B$15,Model!$B$22,0))/(1-Model!$B$9)/(1+Model!$B$18)^117))</f>
        <v/>
      </c>
      <c r="EB105" s="7">
        <f>IF(A105="","",IF((A105+118)&gt;Model!$B$4,0,MAX(0,Model!$B$6-IF((A105+118)&gt;=Model!$B$11,Model!$B$20,0)-IF(118&lt;Model!$B$15,Model!$B$22,0))/(1-Model!$B$9)/(1+Model!$B$18)^118))</f>
        <v/>
      </c>
      <c r="EC105" s="7">
        <f>IF(A105="","",IF((A105+119)&gt;Model!$B$4,0,MAX(0,Model!$B$6-IF((A105+119)&gt;=Model!$B$11,Model!$B$20,0)-IF(119&lt;Model!$B$15,Model!$B$22,0))/(1-Model!$B$9)/(1+Model!$B$18)^119))</f>
        <v/>
      </c>
      <c r="ED105" s="7">
        <f>IF(A105="","",IF((A105+120)&gt;Model!$B$4,0,MAX(0,Model!$B$6-IF((A105+120)&gt;=Model!$B$11,Model!$B$20,0)-IF(120&lt;Model!$B$15,Model!$B$22,0))/(1-Model!$B$9)/(1+Model!$B$18)^120))</f>
        <v/>
      </c>
    </row>
    <row r="106">
      <c r="A106">
        <f>IF(Model!$B$10+ROW()-2&lt;=Model!$B$4,Model!$B$10+ROW()-2,"")</f>
        <v/>
      </c>
      <c r="B106">
        <f>IF(A106="","",A106-Model!$B$10)</f>
        <v/>
      </c>
      <c r="C106" s="7">
        <f>IF(A106="","",Model!$B$5*(1+Model!$B$18)^B106)</f>
        <v/>
      </c>
      <c r="D106" s="7">
        <f>IF(A106="","",SUM(N106:ED106))</f>
        <v/>
      </c>
      <c r="E106" s="7">
        <f>IF(A106="","",IF(A106&gt;=Model!$B$11,Model!$B$20,0))</f>
        <v/>
      </c>
      <c r="F106" s="7">
        <f>IF(A106="","",IF(Model!$B$15&gt;0,Model!$B$22,0))</f>
        <v/>
      </c>
      <c r="G106" s="7">
        <f>IF(A106="","",E106+F106)</f>
        <v/>
      </c>
      <c r="H106" s="7">
        <f>IF(A106="","",MAX(0,Model!$B$6-G106))</f>
        <v/>
      </c>
      <c r="I106" s="7">
        <f>IF(A106="","",H106/(1-Model!$B$9))</f>
        <v/>
      </c>
      <c r="J106" s="7">
        <f>IF(A106="","",C106-D106)</f>
        <v/>
      </c>
      <c r="K106">
        <f>IF(A106="","",C106&gt;=D106)</f>
        <v/>
      </c>
      <c r="L106" s="7">
        <f>IF(A106="","",IF(A106&gt;=Model!$B$11,Model!$B$19*(1+Model!$B$13)^B106,0))</f>
        <v/>
      </c>
      <c r="M106" s="7">
        <f>IF(A106="","",IF(Model!$B$15&gt;0,Model!$B$21*(1+Model!$B$13)^B106,0))</f>
        <v/>
      </c>
      <c r="N106" s="7">
        <f>IF(A106="","",IF((A106+0)&gt;Model!$B$4,0,MAX(0,Model!$B$6-IF((A106+0)&gt;=Model!$B$11,Model!$B$20,0)-IF(0&lt;Model!$B$15,Model!$B$22,0))/(1-Model!$B$9)/(1+Model!$B$18)^0))</f>
        <v/>
      </c>
      <c r="O106" s="7">
        <f>IF(A106="","",IF((A106+1)&gt;Model!$B$4,0,MAX(0,Model!$B$6-IF((A106+1)&gt;=Model!$B$11,Model!$B$20,0)-IF(1&lt;Model!$B$15,Model!$B$22,0))/(1-Model!$B$9)/(1+Model!$B$18)^1))</f>
        <v/>
      </c>
      <c r="P106" s="7">
        <f>IF(A106="","",IF((A106+2)&gt;Model!$B$4,0,MAX(0,Model!$B$6-IF((A106+2)&gt;=Model!$B$11,Model!$B$20,0)-IF(2&lt;Model!$B$15,Model!$B$22,0))/(1-Model!$B$9)/(1+Model!$B$18)^2))</f>
        <v/>
      </c>
      <c r="Q106" s="7">
        <f>IF(A106="","",IF((A106+3)&gt;Model!$B$4,0,MAX(0,Model!$B$6-IF((A106+3)&gt;=Model!$B$11,Model!$B$20,0)-IF(3&lt;Model!$B$15,Model!$B$22,0))/(1-Model!$B$9)/(1+Model!$B$18)^3))</f>
        <v/>
      </c>
      <c r="R106" s="7">
        <f>IF(A106="","",IF((A106+4)&gt;Model!$B$4,0,MAX(0,Model!$B$6-IF((A106+4)&gt;=Model!$B$11,Model!$B$20,0)-IF(4&lt;Model!$B$15,Model!$B$22,0))/(1-Model!$B$9)/(1+Model!$B$18)^4))</f>
        <v/>
      </c>
      <c r="S106" s="7">
        <f>IF(A106="","",IF((A106+5)&gt;Model!$B$4,0,MAX(0,Model!$B$6-IF((A106+5)&gt;=Model!$B$11,Model!$B$20,0)-IF(5&lt;Model!$B$15,Model!$B$22,0))/(1-Model!$B$9)/(1+Model!$B$18)^5))</f>
        <v/>
      </c>
      <c r="T106" s="7">
        <f>IF(A106="","",IF((A106+6)&gt;Model!$B$4,0,MAX(0,Model!$B$6-IF((A106+6)&gt;=Model!$B$11,Model!$B$20,0)-IF(6&lt;Model!$B$15,Model!$B$22,0))/(1-Model!$B$9)/(1+Model!$B$18)^6))</f>
        <v/>
      </c>
      <c r="U106" s="7">
        <f>IF(A106="","",IF((A106+7)&gt;Model!$B$4,0,MAX(0,Model!$B$6-IF((A106+7)&gt;=Model!$B$11,Model!$B$20,0)-IF(7&lt;Model!$B$15,Model!$B$22,0))/(1-Model!$B$9)/(1+Model!$B$18)^7))</f>
        <v/>
      </c>
      <c r="V106" s="7">
        <f>IF(A106="","",IF((A106+8)&gt;Model!$B$4,0,MAX(0,Model!$B$6-IF((A106+8)&gt;=Model!$B$11,Model!$B$20,0)-IF(8&lt;Model!$B$15,Model!$B$22,0))/(1-Model!$B$9)/(1+Model!$B$18)^8))</f>
        <v/>
      </c>
      <c r="W106" s="7">
        <f>IF(A106="","",IF((A106+9)&gt;Model!$B$4,0,MAX(0,Model!$B$6-IF((A106+9)&gt;=Model!$B$11,Model!$B$20,0)-IF(9&lt;Model!$B$15,Model!$B$22,0))/(1-Model!$B$9)/(1+Model!$B$18)^9))</f>
        <v/>
      </c>
      <c r="X106" s="7">
        <f>IF(A106="","",IF((A106+10)&gt;Model!$B$4,0,MAX(0,Model!$B$6-IF((A106+10)&gt;=Model!$B$11,Model!$B$20,0)-IF(10&lt;Model!$B$15,Model!$B$22,0))/(1-Model!$B$9)/(1+Model!$B$18)^10))</f>
        <v/>
      </c>
      <c r="Y106" s="7">
        <f>IF(A106="","",IF((A106+11)&gt;Model!$B$4,0,MAX(0,Model!$B$6-IF((A106+11)&gt;=Model!$B$11,Model!$B$20,0)-IF(11&lt;Model!$B$15,Model!$B$22,0))/(1-Model!$B$9)/(1+Model!$B$18)^11))</f>
        <v/>
      </c>
      <c r="Z106" s="7">
        <f>IF(A106="","",IF((A106+12)&gt;Model!$B$4,0,MAX(0,Model!$B$6-IF((A106+12)&gt;=Model!$B$11,Model!$B$20,0)-IF(12&lt;Model!$B$15,Model!$B$22,0))/(1-Model!$B$9)/(1+Model!$B$18)^12))</f>
        <v/>
      </c>
      <c r="AA106" s="7">
        <f>IF(A106="","",IF((A106+13)&gt;Model!$B$4,0,MAX(0,Model!$B$6-IF((A106+13)&gt;=Model!$B$11,Model!$B$20,0)-IF(13&lt;Model!$B$15,Model!$B$22,0))/(1-Model!$B$9)/(1+Model!$B$18)^13))</f>
        <v/>
      </c>
      <c r="AB106" s="7">
        <f>IF(A106="","",IF((A106+14)&gt;Model!$B$4,0,MAX(0,Model!$B$6-IF((A106+14)&gt;=Model!$B$11,Model!$B$20,0)-IF(14&lt;Model!$B$15,Model!$B$22,0))/(1-Model!$B$9)/(1+Model!$B$18)^14))</f>
        <v/>
      </c>
      <c r="AC106" s="7">
        <f>IF(A106="","",IF((A106+15)&gt;Model!$B$4,0,MAX(0,Model!$B$6-IF((A106+15)&gt;=Model!$B$11,Model!$B$20,0)-IF(15&lt;Model!$B$15,Model!$B$22,0))/(1-Model!$B$9)/(1+Model!$B$18)^15))</f>
        <v/>
      </c>
      <c r="AD106" s="7">
        <f>IF(A106="","",IF((A106+16)&gt;Model!$B$4,0,MAX(0,Model!$B$6-IF((A106+16)&gt;=Model!$B$11,Model!$B$20,0)-IF(16&lt;Model!$B$15,Model!$B$22,0))/(1-Model!$B$9)/(1+Model!$B$18)^16))</f>
        <v/>
      </c>
      <c r="AE106" s="7">
        <f>IF(A106="","",IF((A106+17)&gt;Model!$B$4,0,MAX(0,Model!$B$6-IF((A106+17)&gt;=Model!$B$11,Model!$B$20,0)-IF(17&lt;Model!$B$15,Model!$B$22,0))/(1-Model!$B$9)/(1+Model!$B$18)^17))</f>
        <v/>
      </c>
      <c r="AF106" s="7">
        <f>IF(A106="","",IF((A106+18)&gt;Model!$B$4,0,MAX(0,Model!$B$6-IF((A106+18)&gt;=Model!$B$11,Model!$B$20,0)-IF(18&lt;Model!$B$15,Model!$B$22,0))/(1-Model!$B$9)/(1+Model!$B$18)^18))</f>
        <v/>
      </c>
      <c r="AG106" s="7">
        <f>IF(A106="","",IF((A106+19)&gt;Model!$B$4,0,MAX(0,Model!$B$6-IF((A106+19)&gt;=Model!$B$11,Model!$B$20,0)-IF(19&lt;Model!$B$15,Model!$B$22,0))/(1-Model!$B$9)/(1+Model!$B$18)^19))</f>
        <v/>
      </c>
      <c r="AH106" s="7">
        <f>IF(A106="","",IF((A106+20)&gt;Model!$B$4,0,MAX(0,Model!$B$6-IF((A106+20)&gt;=Model!$B$11,Model!$B$20,0)-IF(20&lt;Model!$B$15,Model!$B$22,0))/(1-Model!$B$9)/(1+Model!$B$18)^20))</f>
        <v/>
      </c>
      <c r="AI106" s="7">
        <f>IF(A106="","",IF((A106+21)&gt;Model!$B$4,0,MAX(0,Model!$B$6-IF((A106+21)&gt;=Model!$B$11,Model!$B$20,0)-IF(21&lt;Model!$B$15,Model!$B$22,0))/(1-Model!$B$9)/(1+Model!$B$18)^21))</f>
        <v/>
      </c>
      <c r="AJ106" s="7">
        <f>IF(A106="","",IF((A106+22)&gt;Model!$B$4,0,MAX(0,Model!$B$6-IF((A106+22)&gt;=Model!$B$11,Model!$B$20,0)-IF(22&lt;Model!$B$15,Model!$B$22,0))/(1-Model!$B$9)/(1+Model!$B$18)^22))</f>
        <v/>
      </c>
      <c r="AK106" s="7">
        <f>IF(A106="","",IF((A106+23)&gt;Model!$B$4,0,MAX(0,Model!$B$6-IF((A106+23)&gt;=Model!$B$11,Model!$B$20,0)-IF(23&lt;Model!$B$15,Model!$B$22,0))/(1-Model!$B$9)/(1+Model!$B$18)^23))</f>
        <v/>
      </c>
      <c r="AL106" s="7">
        <f>IF(A106="","",IF((A106+24)&gt;Model!$B$4,0,MAX(0,Model!$B$6-IF((A106+24)&gt;=Model!$B$11,Model!$B$20,0)-IF(24&lt;Model!$B$15,Model!$B$22,0))/(1-Model!$B$9)/(1+Model!$B$18)^24))</f>
        <v/>
      </c>
      <c r="AM106" s="7">
        <f>IF(A106="","",IF((A106+25)&gt;Model!$B$4,0,MAX(0,Model!$B$6-IF((A106+25)&gt;=Model!$B$11,Model!$B$20,0)-IF(25&lt;Model!$B$15,Model!$B$22,0))/(1-Model!$B$9)/(1+Model!$B$18)^25))</f>
        <v/>
      </c>
      <c r="AN106" s="7">
        <f>IF(A106="","",IF((A106+26)&gt;Model!$B$4,0,MAX(0,Model!$B$6-IF((A106+26)&gt;=Model!$B$11,Model!$B$20,0)-IF(26&lt;Model!$B$15,Model!$B$22,0))/(1-Model!$B$9)/(1+Model!$B$18)^26))</f>
        <v/>
      </c>
      <c r="AO106" s="7">
        <f>IF(A106="","",IF((A106+27)&gt;Model!$B$4,0,MAX(0,Model!$B$6-IF((A106+27)&gt;=Model!$B$11,Model!$B$20,0)-IF(27&lt;Model!$B$15,Model!$B$22,0))/(1-Model!$B$9)/(1+Model!$B$18)^27))</f>
        <v/>
      </c>
      <c r="AP106" s="7">
        <f>IF(A106="","",IF((A106+28)&gt;Model!$B$4,0,MAX(0,Model!$B$6-IF((A106+28)&gt;=Model!$B$11,Model!$B$20,0)-IF(28&lt;Model!$B$15,Model!$B$22,0))/(1-Model!$B$9)/(1+Model!$B$18)^28))</f>
        <v/>
      </c>
      <c r="AQ106" s="7">
        <f>IF(A106="","",IF((A106+29)&gt;Model!$B$4,0,MAX(0,Model!$B$6-IF((A106+29)&gt;=Model!$B$11,Model!$B$20,0)-IF(29&lt;Model!$B$15,Model!$B$22,0))/(1-Model!$B$9)/(1+Model!$B$18)^29))</f>
        <v/>
      </c>
      <c r="AR106" s="7">
        <f>IF(A106="","",IF((A106+30)&gt;Model!$B$4,0,MAX(0,Model!$B$6-IF((A106+30)&gt;=Model!$B$11,Model!$B$20,0)-IF(30&lt;Model!$B$15,Model!$B$22,0))/(1-Model!$B$9)/(1+Model!$B$18)^30))</f>
        <v/>
      </c>
      <c r="AS106" s="7">
        <f>IF(A106="","",IF((A106+31)&gt;Model!$B$4,0,MAX(0,Model!$B$6-IF((A106+31)&gt;=Model!$B$11,Model!$B$20,0)-IF(31&lt;Model!$B$15,Model!$B$22,0))/(1-Model!$B$9)/(1+Model!$B$18)^31))</f>
        <v/>
      </c>
      <c r="AT106" s="7">
        <f>IF(A106="","",IF((A106+32)&gt;Model!$B$4,0,MAX(0,Model!$B$6-IF((A106+32)&gt;=Model!$B$11,Model!$B$20,0)-IF(32&lt;Model!$B$15,Model!$B$22,0))/(1-Model!$B$9)/(1+Model!$B$18)^32))</f>
        <v/>
      </c>
      <c r="AU106" s="7">
        <f>IF(A106="","",IF((A106+33)&gt;Model!$B$4,0,MAX(0,Model!$B$6-IF((A106+33)&gt;=Model!$B$11,Model!$B$20,0)-IF(33&lt;Model!$B$15,Model!$B$22,0))/(1-Model!$B$9)/(1+Model!$B$18)^33))</f>
        <v/>
      </c>
      <c r="AV106" s="7">
        <f>IF(A106="","",IF((A106+34)&gt;Model!$B$4,0,MAX(0,Model!$B$6-IF((A106+34)&gt;=Model!$B$11,Model!$B$20,0)-IF(34&lt;Model!$B$15,Model!$B$22,0))/(1-Model!$B$9)/(1+Model!$B$18)^34))</f>
        <v/>
      </c>
      <c r="AW106" s="7">
        <f>IF(A106="","",IF((A106+35)&gt;Model!$B$4,0,MAX(0,Model!$B$6-IF((A106+35)&gt;=Model!$B$11,Model!$B$20,0)-IF(35&lt;Model!$B$15,Model!$B$22,0))/(1-Model!$B$9)/(1+Model!$B$18)^35))</f>
        <v/>
      </c>
      <c r="AX106" s="7">
        <f>IF(A106="","",IF((A106+36)&gt;Model!$B$4,0,MAX(0,Model!$B$6-IF((A106+36)&gt;=Model!$B$11,Model!$B$20,0)-IF(36&lt;Model!$B$15,Model!$B$22,0))/(1-Model!$B$9)/(1+Model!$B$18)^36))</f>
        <v/>
      </c>
      <c r="AY106" s="7">
        <f>IF(A106="","",IF((A106+37)&gt;Model!$B$4,0,MAX(0,Model!$B$6-IF((A106+37)&gt;=Model!$B$11,Model!$B$20,0)-IF(37&lt;Model!$B$15,Model!$B$22,0))/(1-Model!$B$9)/(1+Model!$B$18)^37))</f>
        <v/>
      </c>
      <c r="AZ106" s="7">
        <f>IF(A106="","",IF((A106+38)&gt;Model!$B$4,0,MAX(0,Model!$B$6-IF((A106+38)&gt;=Model!$B$11,Model!$B$20,0)-IF(38&lt;Model!$B$15,Model!$B$22,0))/(1-Model!$B$9)/(1+Model!$B$18)^38))</f>
        <v/>
      </c>
      <c r="BA106" s="7">
        <f>IF(A106="","",IF((A106+39)&gt;Model!$B$4,0,MAX(0,Model!$B$6-IF((A106+39)&gt;=Model!$B$11,Model!$B$20,0)-IF(39&lt;Model!$B$15,Model!$B$22,0))/(1-Model!$B$9)/(1+Model!$B$18)^39))</f>
        <v/>
      </c>
      <c r="BB106" s="7">
        <f>IF(A106="","",IF((A106+40)&gt;Model!$B$4,0,MAX(0,Model!$B$6-IF((A106+40)&gt;=Model!$B$11,Model!$B$20,0)-IF(40&lt;Model!$B$15,Model!$B$22,0))/(1-Model!$B$9)/(1+Model!$B$18)^40))</f>
        <v/>
      </c>
      <c r="BC106" s="7">
        <f>IF(A106="","",IF((A106+41)&gt;Model!$B$4,0,MAX(0,Model!$B$6-IF((A106+41)&gt;=Model!$B$11,Model!$B$20,0)-IF(41&lt;Model!$B$15,Model!$B$22,0))/(1-Model!$B$9)/(1+Model!$B$18)^41))</f>
        <v/>
      </c>
      <c r="BD106" s="7">
        <f>IF(A106="","",IF((A106+42)&gt;Model!$B$4,0,MAX(0,Model!$B$6-IF((A106+42)&gt;=Model!$B$11,Model!$B$20,0)-IF(42&lt;Model!$B$15,Model!$B$22,0))/(1-Model!$B$9)/(1+Model!$B$18)^42))</f>
        <v/>
      </c>
      <c r="BE106" s="7">
        <f>IF(A106="","",IF((A106+43)&gt;Model!$B$4,0,MAX(0,Model!$B$6-IF((A106+43)&gt;=Model!$B$11,Model!$B$20,0)-IF(43&lt;Model!$B$15,Model!$B$22,0))/(1-Model!$B$9)/(1+Model!$B$18)^43))</f>
        <v/>
      </c>
      <c r="BF106" s="7">
        <f>IF(A106="","",IF((A106+44)&gt;Model!$B$4,0,MAX(0,Model!$B$6-IF((A106+44)&gt;=Model!$B$11,Model!$B$20,0)-IF(44&lt;Model!$B$15,Model!$B$22,0))/(1-Model!$B$9)/(1+Model!$B$18)^44))</f>
        <v/>
      </c>
      <c r="BG106" s="7">
        <f>IF(A106="","",IF((A106+45)&gt;Model!$B$4,0,MAX(0,Model!$B$6-IF((A106+45)&gt;=Model!$B$11,Model!$B$20,0)-IF(45&lt;Model!$B$15,Model!$B$22,0))/(1-Model!$B$9)/(1+Model!$B$18)^45))</f>
        <v/>
      </c>
      <c r="BH106" s="7">
        <f>IF(A106="","",IF((A106+46)&gt;Model!$B$4,0,MAX(0,Model!$B$6-IF((A106+46)&gt;=Model!$B$11,Model!$B$20,0)-IF(46&lt;Model!$B$15,Model!$B$22,0))/(1-Model!$B$9)/(1+Model!$B$18)^46))</f>
        <v/>
      </c>
      <c r="BI106" s="7">
        <f>IF(A106="","",IF((A106+47)&gt;Model!$B$4,0,MAX(0,Model!$B$6-IF((A106+47)&gt;=Model!$B$11,Model!$B$20,0)-IF(47&lt;Model!$B$15,Model!$B$22,0))/(1-Model!$B$9)/(1+Model!$B$18)^47))</f>
        <v/>
      </c>
      <c r="BJ106" s="7">
        <f>IF(A106="","",IF((A106+48)&gt;Model!$B$4,0,MAX(0,Model!$B$6-IF((A106+48)&gt;=Model!$B$11,Model!$B$20,0)-IF(48&lt;Model!$B$15,Model!$B$22,0))/(1-Model!$B$9)/(1+Model!$B$18)^48))</f>
        <v/>
      </c>
      <c r="BK106" s="7">
        <f>IF(A106="","",IF((A106+49)&gt;Model!$B$4,0,MAX(0,Model!$B$6-IF((A106+49)&gt;=Model!$B$11,Model!$B$20,0)-IF(49&lt;Model!$B$15,Model!$B$22,0))/(1-Model!$B$9)/(1+Model!$B$18)^49))</f>
        <v/>
      </c>
      <c r="BL106" s="7">
        <f>IF(A106="","",IF((A106+50)&gt;Model!$B$4,0,MAX(0,Model!$B$6-IF((A106+50)&gt;=Model!$B$11,Model!$B$20,0)-IF(50&lt;Model!$B$15,Model!$B$22,0))/(1-Model!$B$9)/(1+Model!$B$18)^50))</f>
        <v/>
      </c>
      <c r="BM106" s="7">
        <f>IF(A106="","",IF((A106+51)&gt;Model!$B$4,0,MAX(0,Model!$B$6-IF((A106+51)&gt;=Model!$B$11,Model!$B$20,0)-IF(51&lt;Model!$B$15,Model!$B$22,0))/(1-Model!$B$9)/(1+Model!$B$18)^51))</f>
        <v/>
      </c>
      <c r="BN106" s="7">
        <f>IF(A106="","",IF((A106+52)&gt;Model!$B$4,0,MAX(0,Model!$B$6-IF((A106+52)&gt;=Model!$B$11,Model!$B$20,0)-IF(52&lt;Model!$B$15,Model!$B$22,0))/(1-Model!$B$9)/(1+Model!$B$18)^52))</f>
        <v/>
      </c>
      <c r="BO106" s="7">
        <f>IF(A106="","",IF((A106+53)&gt;Model!$B$4,0,MAX(0,Model!$B$6-IF((A106+53)&gt;=Model!$B$11,Model!$B$20,0)-IF(53&lt;Model!$B$15,Model!$B$22,0))/(1-Model!$B$9)/(1+Model!$B$18)^53))</f>
        <v/>
      </c>
      <c r="BP106" s="7">
        <f>IF(A106="","",IF((A106+54)&gt;Model!$B$4,0,MAX(0,Model!$B$6-IF((A106+54)&gt;=Model!$B$11,Model!$B$20,0)-IF(54&lt;Model!$B$15,Model!$B$22,0))/(1-Model!$B$9)/(1+Model!$B$18)^54))</f>
        <v/>
      </c>
      <c r="BQ106" s="7">
        <f>IF(A106="","",IF((A106+55)&gt;Model!$B$4,0,MAX(0,Model!$B$6-IF((A106+55)&gt;=Model!$B$11,Model!$B$20,0)-IF(55&lt;Model!$B$15,Model!$B$22,0))/(1-Model!$B$9)/(1+Model!$B$18)^55))</f>
        <v/>
      </c>
      <c r="BR106" s="7">
        <f>IF(A106="","",IF((A106+56)&gt;Model!$B$4,0,MAX(0,Model!$B$6-IF((A106+56)&gt;=Model!$B$11,Model!$B$20,0)-IF(56&lt;Model!$B$15,Model!$B$22,0))/(1-Model!$B$9)/(1+Model!$B$18)^56))</f>
        <v/>
      </c>
      <c r="BS106" s="7">
        <f>IF(A106="","",IF((A106+57)&gt;Model!$B$4,0,MAX(0,Model!$B$6-IF((A106+57)&gt;=Model!$B$11,Model!$B$20,0)-IF(57&lt;Model!$B$15,Model!$B$22,0))/(1-Model!$B$9)/(1+Model!$B$18)^57))</f>
        <v/>
      </c>
      <c r="BT106" s="7">
        <f>IF(A106="","",IF((A106+58)&gt;Model!$B$4,0,MAX(0,Model!$B$6-IF((A106+58)&gt;=Model!$B$11,Model!$B$20,0)-IF(58&lt;Model!$B$15,Model!$B$22,0))/(1-Model!$B$9)/(1+Model!$B$18)^58))</f>
        <v/>
      </c>
      <c r="BU106" s="7">
        <f>IF(A106="","",IF((A106+59)&gt;Model!$B$4,0,MAX(0,Model!$B$6-IF((A106+59)&gt;=Model!$B$11,Model!$B$20,0)-IF(59&lt;Model!$B$15,Model!$B$22,0))/(1-Model!$B$9)/(1+Model!$B$18)^59))</f>
        <v/>
      </c>
      <c r="BV106" s="7">
        <f>IF(A106="","",IF((A106+60)&gt;Model!$B$4,0,MAX(0,Model!$B$6-IF((A106+60)&gt;=Model!$B$11,Model!$B$20,0)-IF(60&lt;Model!$B$15,Model!$B$22,0))/(1-Model!$B$9)/(1+Model!$B$18)^60))</f>
        <v/>
      </c>
      <c r="BW106" s="7">
        <f>IF(A106="","",IF((A106+61)&gt;Model!$B$4,0,MAX(0,Model!$B$6-IF((A106+61)&gt;=Model!$B$11,Model!$B$20,0)-IF(61&lt;Model!$B$15,Model!$B$22,0))/(1-Model!$B$9)/(1+Model!$B$18)^61))</f>
        <v/>
      </c>
      <c r="BX106" s="7">
        <f>IF(A106="","",IF((A106+62)&gt;Model!$B$4,0,MAX(0,Model!$B$6-IF((A106+62)&gt;=Model!$B$11,Model!$B$20,0)-IF(62&lt;Model!$B$15,Model!$B$22,0))/(1-Model!$B$9)/(1+Model!$B$18)^62))</f>
        <v/>
      </c>
      <c r="BY106" s="7">
        <f>IF(A106="","",IF((A106+63)&gt;Model!$B$4,0,MAX(0,Model!$B$6-IF((A106+63)&gt;=Model!$B$11,Model!$B$20,0)-IF(63&lt;Model!$B$15,Model!$B$22,0))/(1-Model!$B$9)/(1+Model!$B$18)^63))</f>
        <v/>
      </c>
      <c r="BZ106" s="7">
        <f>IF(A106="","",IF((A106+64)&gt;Model!$B$4,0,MAX(0,Model!$B$6-IF((A106+64)&gt;=Model!$B$11,Model!$B$20,0)-IF(64&lt;Model!$B$15,Model!$B$22,0))/(1-Model!$B$9)/(1+Model!$B$18)^64))</f>
        <v/>
      </c>
      <c r="CA106" s="7">
        <f>IF(A106="","",IF((A106+65)&gt;Model!$B$4,0,MAX(0,Model!$B$6-IF((A106+65)&gt;=Model!$B$11,Model!$B$20,0)-IF(65&lt;Model!$B$15,Model!$B$22,0))/(1-Model!$B$9)/(1+Model!$B$18)^65))</f>
        <v/>
      </c>
      <c r="CB106" s="7">
        <f>IF(A106="","",IF((A106+66)&gt;Model!$B$4,0,MAX(0,Model!$B$6-IF((A106+66)&gt;=Model!$B$11,Model!$B$20,0)-IF(66&lt;Model!$B$15,Model!$B$22,0))/(1-Model!$B$9)/(1+Model!$B$18)^66))</f>
        <v/>
      </c>
      <c r="CC106" s="7">
        <f>IF(A106="","",IF((A106+67)&gt;Model!$B$4,0,MAX(0,Model!$B$6-IF((A106+67)&gt;=Model!$B$11,Model!$B$20,0)-IF(67&lt;Model!$B$15,Model!$B$22,0))/(1-Model!$B$9)/(1+Model!$B$18)^67))</f>
        <v/>
      </c>
      <c r="CD106" s="7">
        <f>IF(A106="","",IF((A106+68)&gt;Model!$B$4,0,MAX(0,Model!$B$6-IF((A106+68)&gt;=Model!$B$11,Model!$B$20,0)-IF(68&lt;Model!$B$15,Model!$B$22,0))/(1-Model!$B$9)/(1+Model!$B$18)^68))</f>
        <v/>
      </c>
      <c r="CE106" s="7">
        <f>IF(A106="","",IF((A106+69)&gt;Model!$B$4,0,MAX(0,Model!$B$6-IF((A106+69)&gt;=Model!$B$11,Model!$B$20,0)-IF(69&lt;Model!$B$15,Model!$B$22,0))/(1-Model!$B$9)/(1+Model!$B$18)^69))</f>
        <v/>
      </c>
      <c r="CF106" s="7">
        <f>IF(A106="","",IF((A106+70)&gt;Model!$B$4,0,MAX(0,Model!$B$6-IF((A106+70)&gt;=Model!$B$11,Model!$B$20,0)-IF(70&lt;Model!$B$15,Model!$B$22,0))/(1-Model!$B$9)/(1+Model!$B$18)^70))</f>
        <v/>
      </c>
      <c r="CG106" s="7">
        <f>IF(A106="","",IF((A106+71)&gt;Model!$B$4,0,MAX(0,Model!$B$6-IF((A106+71)&gt;=Model!$B$11,Model!$B$20,0)-IF(71&lt;Model!$B$15,Model!$B$22,0))/(1-Model!$B$9)/(1+Model!$B$18)^71))</f>
        <v/>
      </c>
      <c r="CH106" s="7">
        <f>IF(A106="","",IF((A106+72)&gt;Model!$B$4,0,MAX(0,Model!$B$6-IF((A106+72)&gt;=Model!$B$11,Model!$B$20,0)-IF(72&lt;Model!$B$15,Model!$B$22,0))/(1-Model!$B$9)/(1+Model!$B$18)^72))</f>
        <v/>
      </c>
      <c r="CI106" s="7">
        <f>IF(A106="","",IF((A106+73)&gt;Model!$B$4,0,MAX(0,Model!$B$6-IF((A106+73)&gt;=Model!$B$11,Model!$B$20,0)-IF(73&lt;Model!$B$15,Model!$B$22,0))/(1-Model!$B$9)/(1+Model!$B$18)^73))</f>
        <v/>
      </c>
      <c r="CJ106" s="7">
        <f>IF(A106="","",IF((A106+74)&gt;Model!$B$4,0,MAX(0,Model!$B$6-IF((A106+74)&gt;=Model!$B$11,Model!$B$20,0)-IF(74&lt;Model!$B$15,Model!$B$22,0))/(1-Model!$B$9)/(1+Model!$B$18)^74))</f>
        <v/>
      </c>
      <c r="CK106" s="7">
        <f>IF(A106="","",IF((A106+75)&gt;Model!$B$4,0,MAX(0,Model!$B$6-IF((A106+75)&gt;=Model!$B$11,Model!$B$20,0)-IF(75&lt;Model!$B$15,Model!$B$22,0))/(1-Model!$B$9)/(1+Model!$B$18)^75))</f>
        <v/>
      </c>
      <c r="CL106" s="7">
        <f>IF(A106="","",IF((A106+76)&gt;Model!$B$4,0,MAX(0,Model!$B$6-IF((A106+76)&gt;=Model!$B$11,Model!$B$20,0)-IF(76&lt;Model!$B$15,Model!$B$22,0))/(1-Model!$B$9)/(1+Model!$B$18)^76))</f>
        <v/>
      </c>
      <c r="CM106" s="7">
        <f>IF(A106="","",IF((A106+77)&gt;Model!$B$4,0,MAX(0,Model!$B$6-IF((A106+77)&gt;=Model!$B$11,Model!$B$20,0)-IF(77&lt;Model!$B$15,Model!$B$22,0))/(1-Model!$B$9)/(1+Model!$B$18)^77))</f>
        <v/>
      </c>
      <c r="CN106" s="7">
        <f>IF(A106="","",IF((A106+78)&gt;Model!$B$4,0,MAX(0,Model!$B$6-IF((A106+78)&gt;=Model!$B$11,Model!$B$20,0)-IF(78&lt;Model!$B$15,Model!$B$22,0))/(1-Model!$B$9)/(1+Model!$B$18)^78))</f>
        <v/>
      </c>
      <c r="CO106" s="7">
        <f>IF(A106="","",IF((A106+79)&gt;Model!$B$4,0,MAX(0,Model!$B$6-IF((A106+79)&gt;=Model!$B$11,Model!$B$20,0)-IF(79&lt;Model!$B$15,Model!$B$22,0))/(1-Model!$B$9)/(1+Model!$B$18)^79))</f>
        <v/>
      </c>
      <c r="CP106" s="7">
        <f>IF(A106="","",IF((A106+80)&gt;Model!$B$4,0,MAX(0,Model!$B$6-IF((A106+80)&gt;=Model!$B$11,Model!$B$20,0)-IF(80&lt;Model!$B$15,Model!$B$22,0))/(1-Model!$B$9)/(1+Model!$B$18)^80))</f>
        <v/>
      </c>
      <c r="CQ106" s="7">
        <f>IF(A106="","",IF((A106+81)&gt;Model!$B$4,0,MAX(0,Model!$B$6-IF((A106+81)&gt;=Model!$B$11,Model!$B$20,0)-IF(81&lt;Model!$B$15,Model!$B$22,0))/(1-Model!$B$9)/(1+Model!$B$18)^81))</f>
        <v/>
      </c>
      <c r="CR106" s="7">
        <f>IF(A106="","",IF((A106+82)&gt;Model!$B$4,0,MAX(0,Model!$B$6-IF((A106+82)&gt;=Model!$B$11,Model!$B$20,0)-IF(82&lt;Model!$B$15,Model!$B$22,0))/(1-Model!$B$9)/(1+Model!$B$18)^82))</f>
        <v/>
      </c>
      <c r="CS106" s="7">
        <f>IF(A106="","",IF((A106+83)&gt;Model!$B$4,0,MAX(0,Model!$B$6-IF((A106+83)&gt;=Model!$B$11,Model!$B$20,0)-IF(83&lt;Model!$B$15,Model!$B$22,0))/(1-Model!$B$9)/(1+Model!$B$18)^83))</f>
        <v/>
      </c>
      <c r="CT106" s="7">
        <f>IF(A106="","",IF((A106+84)&gt;Model!$B$4,0,MAX(0,Model!$B$6-IF((A106+84)&gt;=Model!$B$11,Model!$B$20,0)-IF(84&lt;Model!$B$15,Model!$B$22,0))/(1-Model!$B$9)/(1+Model!$B$18)^84))</f>
        <v/>
      </c>
      <c r="CU106" s="7">
        <f>IF(A106="","",IF((A106+85)&gt;Model!$B$4,0,MAX(0,Model!$B$6-IF((A106+85)&gt;=Model!$B$11,Model!$B$20,0)-IF(85&lt;Model!$B$15,Model!$B$22,0))/(1-Model!$B$9)/(1+Model!$B$18)^85))</f>
        <v/>
      </c>
      <c r="CV106" s="7">
        <f>IF(A106="","",IF((A106+86)&gt;Model!$B$4,0,MAX(0,Model!$B$6-IF((A106+86)&gt;=Model!$B$11,Model!$B$20,0)-IF(86&lt;Model!$B$15,Model!$B$22,0))/(1-Model!$B$9)/(1+Model!$B$18)^86))</f>
        <v/>
      </c>
      <c r="CW106" s="7">
        <f>IF(A106="","",IF((A106+87)&gt;Model!$B$4,0,MAX(0,Model!$B$6-IF((A106+87)&gt;=Model!$B$11,Model!$B$20,0)-IF(87&lt;Model!$B$15,Model!$B$22,0))/(1-Model!$B$9)/(1+Model!$B$18)^87))</f>
        <v/>
      </c>
      <c r="CX106" s="7">
        <f>IF(A106="","",IF((A106+88)&gt;Model!$B$4,0,MAX(0,Model!$B$6-IF((A106+88)&gt;=Model!$B$11,Model!$B$20,0)-IF(88&lt;Model!$B$15,Model!$B$22,0))/(1-Model!$B$9)/(1+Model!$B$18)^88))</f>
        <v/>
      </c>
      <c r="CY106" s="7">
        <f>IF(A106="","",IF((A106+89)&gt;Model!$B$4,0,MAX(0,Model!$B$6-IF((A106+89)&gt;=Model!$B$11,Model!$B$20,0)-IF(89&lt;Model!$B$15,Model!$B$22,0))/(1-Model!$B$9)/(1+Model!$B$18)^89))</f>
        <v/>
      </c>
      <c r="CZ106" s="7">
        <f>IF(A106="","",IF((A106+90)&gt;Model!$B$4,0,MAX(0,Model!$B$6-IF((A106+90)&gt;=Model!$B$11,Model!$B$20,0)-IF(90&lt;Model!$B$15,Model!$B$22,0))/(1-Model!$B$9)/(1+Model!$B$18)^90))</f>
        <v/>
      </c>
      <c r="DA106" s="7">
        <f>IF(A106="","",IF((A106+91)&gt;Model!$B$4,0,MAX(0,Model!$B$6-IF((A106+91)&gt;=Model!$B$11,Model!$B$20,0)-IF(91&lt;Model!$B$15,Model!$B$22,0))/(1-Model!$B$9)/(1+Model!$B$18)^91))</f>
        <v/>
      </c>
      <c r="DB106" s="7">
        <f>IF(A106="","",IF((A106+92)&gt;Model!$B$4,0,MAX(0,Model!$B$6-IF((A106+92)&gt;=Model!$B$11,Model!$B$20,0)-IF(92&lt;Model!$B$15,Model!$B$22,0))/(1-Model!$B$9)/(1+Model!$B$18)^92))</f>
        <v/>
      </c>
      <c r="DC106" s="7">
        <f>IF(A106="","",IF((A106+93)&gt;Model!$B$4,0,MAX(0,Model!$B$6-IF((A106+93)&gt;=Model!$B$11,Model!$B$20,0)-IF(93&lt;Model!$B$15,Model!$B$22,0))/(1-Model!$B$9)/(1+Model!$B$18)^93))</f>
        <v/>
      </c>
      <c r="DD106" s="7">
        <f>IF(A106="","",IF((A106+94)&gt;Model!$B$4,0,MAX(0,Model!$B$6-IF((A106+94)&gt;=Model!$B$11,Model!$B$20,0)-IF(94&lt;Model!$B$15,Model!$B$22,0))/(1-Model!$B$9)/(1+Model!$B$18)^94))</f>
        <v/>
      </c>
      <c r="DE106" s="7">
        <f>IF(A106="","",IF((A106+95)&gt;Model!$B$4,0,MAX(0,Model!$B$6-IF((A106+95)&gt;=Model!$B$11,Model!$B$20,0)-IF(95&lt;Model!$B$15,Model!$B$22,0))/(1-Model!$B$9)/(1+Model!$B$18)^95))</f>
        <v/>
      </c>
      <c r="DF106" s="7">
        <f>IF(A106="","",IF((A106+96)&gt;Model!$B$4,0,MAX(0,Model!$B$6-IF((A106+96)&gt;=Model!$B$11,Model!$B$20,0)-IF(96&lt;Model!$B$15,Model!$B$22,0))/(1-Model!$B$9)/(1+Model!$B$18)^96))</f>
        <v/>
      </c>
      <c r="DG106" s="7">
        <f>IF(A106="","",IF((A106+97)&gt;Model!$B$4,0,MAX(0,Model!$B$6-IF((A106+97)&gt;=Model!$B$11,Model!$B$20,0)-IF(97&lt;Model!$B$15,Model!$B$22,0))/(1-Model!$B$9)/(1+Model!$B$18)^97))</f>
        <v/>
      </c>
      <c r="DH106" s="7">
        <f>IF(A106="","",IF((A106+98)&gt;Model!$B$4,0,MAX(0,Model!$B$6-IF((A106+98)&gt;=Model!$B$11,Model!$B$20,0)-IF(98&lt;Model!$B$15,Model!$B$22,0))/(1-Model!$B$9)/(1+Model!$B$18)^98))</f>
        <v/>
      </c>
      <c r="DI106" s="7">
        <f>IF(A106="","",IF((A106+99)&gt;Model!$B$4,0,MAX(0,Model!$B$6-IF((A106+99)&gt;=Model!$B$11,Model!$B$20,0)-IF(99&lt;Model!$B$15,Model!$B$22,0))/(1-Model!$B$9)/(1+Model!$B$18)^99))</f>
        <v/>
      </c>
      <c r="DJ106" s="7">
        <f>IF(A106="","",IF((A106+100)&gt;Model!$B$4,0,MAX(0,Model!$B$6-IF((A106+100)&gt;=Model!$B$11,Model!$B$20,0)-IF(100&lt;Model!$B$15,Model!$B$22,0))/(1-Model!$B$9)/(1+Model!$B$18)^100))</f>
        <v/>
      </c>
      <c r="DK106" s="7">
        <f>IF(A106="","",IF((A106+101)&gt;Model!$B$4,0,MAX(0,Model!$B$6-IF((A106+101)&gt;=Model!$B$11,Model!$B$20,0)-IF(101&lt;Model!$B$15,Model!$B$22,0))/(1-Model!$B$9)/(1+Model!$B$18)^101))</f>
        <v/>
      </c>
      <c r="DL106" s="7">
        <f>IF(A106="","",IF((A106+102)&gt;Model!$B$4,0,MAX(0,Model!$B$6-IF((A106+102)&gt;=Model!$B$11,Model!$B$20,0)-IF(102&lt;Model!$B$15,Model!$B$22,0))/(1-Model!$B$9)/(1+Model!$B$18)^102))</f>
        <v/>
      </c>
      <c r="DM106" s="7">
        <f>IF(A106="","",IF((A106+103)&gt;Model!$B$4,0,MAX(0,Model!$B$6-IF((A106+103)&gt;=Model!$B$11,Model!$B$20,0)-IF(103&lt;Model!$B$15,Model!$B$22,0))/(1-Model!$B$9)/(1+Model!$B$18)^103))</f>
        <v/>
      </c>
      <c r="DN106" s="7">
        <f>IF(A106="","",IF((A106+104)&gt;Model!$B$4,0,MAX(0,Model!$B$6-IF((A106+104)&gt;=Model!$B$11,Model!$B$20,0)-IF(104&lt;Model!$B$15,Model!$B$22,0))/(1-Model!$B$9)/(1+Model!$B$18)^104))</f>
        <v/>
      </c>
      <c r="DO106" s="7">
        <f>IF(A106="","",IF((A106+105)&gt;Model!$B$4,0,MAX(0,Model!$B$6-IF((A106+105)&gt;=Model!$B$11,Model!$B$20,0)-IF(105&lt;Model!$B$15,Model!$B$22,0))/(1-Model!$B$9)/(1+Model!$B$18)^105))</f>
        <v/>
      </c>
      <c r="DP106" s="7">
        <f>IF(A106="","",IF((A106+106)&gt;Model!$B$4,0,MAX(0,Model!$B$6-IF((A106+106)&gt;=Model!$B$11,Model!$B$20,0)-IF(106&lt;Model!$B$15,Model!$B$22,0))/(1-Model!$B$9)/(1+Model!$B$18)^106))</f>
        <v/>
      </c>
      <c r="DQ106" s="7">
        <f>IF(A106="","",IF((A106+107)&gt;Model!$B$4,0,MAX(0,Model!$B$6-IF((A106+107)&gt;=Model!$B$11,Model!$B$20,0)-IF(107&lt;Model!$B$15,Model!$B$22,0))/(1-Model!$B$9)/(1+Model!$B$18)^107))</f>
        <v/>
      </c>
      <c r="DR106" s="7">
        <f>IF(A106="","",IF((A106+108)&gt;Model!$B$4,0,MAX(0,Model!$B$6-IF((A106+108)&gt;=Model!$B$11,Model!$B$20,0)-IF(108&lt;Model!$B$15,Model!$B$22,0))/(1-Model!$B$9)/(1+Model!$B$18)^108))</f>
        <v/>
      </c>
      <c r="DS106" s="7">
        <f>IF(A106="","",IF((A106+109)&gt;Model!$B$4,0,MAX(0,Model!$B$6-IF((A106+109)&gt;=Model!$B$11,Model!$B$20,0)-IF(109&lt;Model!$B$15,Model!$B$22,0))/(1-Model!$B$9)/(1+Model!$B$18)^109))</f>
        <v/>
      </c>
      <c r="DT106" s="7">
        <f>IF(A106="","",IF((A106+110)&gt;Model!$B$4,0,MAX(0,Model!$B$6-IF((A106+110)&gt;=Model!$B$11,Model!$B$20,0)-IF(110&lt;Model!$B$15,Model!$B$22,0))/(1-Model!$B$9)/(1+Model!$B$18)^110))</f>
        <v/>
      </c>
      <c r="DU106" s="7">
        <f>IF(A106="","",IF((A106+111)&gt;Model!$B$4,0,MAX(0,Model!$B$6-IF((A106+111)&gt;=Model!$B$11,Model!$B$20,0)-IF(111&lt;Model!$B$15,Model!$B$22,0))/(1-Model!$B$9)/(1+Model!$B$18)^111))</f>
        <v/>
      </c>
      <c r="DV106" s="7">
        <f>IF(A106="","",IF((A106+112)&gt;Model!$B$4,0,MAX(0,Model!$B$6-IF((A106+112)&gt;=Model!$B$11,Model!$B$20,0)-IF(112&lt;Model!$B$15,Model!$B$22,0))/(1-Model!$B$9)/(1+Model!$B$18)^112))</f>
        <v/>
      </c>
      <c r="DW106" s="7">
        <f>IF(A106="","",IF((A106+113)&gt;Model!$B$4,0,MAX(0,Model!$B$6-IF((A106+113)&gt;=Model!$B$11,Model!$B$20,0)-IF(113&lt;Model!$B$15,Model!$B$22,0))/(1-Model!$B$9)/(1+Model!$B$18)^113))</f>
        <v/>
      </c>
      <c r="DX106" s="7">
        <f>IF(A106="","",IF((A106+114)&gt;Model!$B$4,0,MAX(0,Model!$B$6-IF((A106+114)&gt;=Model!$B$11,Model!$B$20,0)-IF(114&lt;Model!$B$15,Model!$B$22,0))/(1-Model!$B$9)/(1+Model!$B$18)^114))</f>
        <v/>
      </c>
      <c r="DY106" s="7">
        <f>IF(A106="","",IF((A106+115)&gt;Model!$B$4,0,MAX(0,Model!$B$6-IF((A106+115)&gt;=Model!$B$11,Model!$B$20,0)-IF(115&lt;Model!$B$15,Model!$B$22,0))/(1-Model!$B$9)/(1+Model!$B$18)^115))</f>
        <v/>
      </c>
      <c r="DZ106" s="7">
        <f>IF(A106="","",IF((A106+116)&gt;Model!$B$4,0,MAX(0,Model!$B$6-IF((A106+116)&gt;=Model!$B$11,Model!$B$20,0)-IF(116&lt;Model!$B$15,Model!$B$22,0))/(1-Model!$B$9)/(1+Model!$B$18)^116))</f>
        <v/>
      </c>
      <c r="EA106" s="7">
        <f>IF(A106="","",IF((A106+117)&gt;Model!$B$4,0,MAX(0,Model!$B$6-IF((A106+117)&gt;=Model!$B$11,Model!$B$20,0)-IF(117&lt;Model!$B$15,Model!$B$22,0))/(1-Model!$B$9)/(1+Model!$B$18)^117))</f>
        <v/>
      </c>
      <c r="EB106" s="7">
        <f>IF(A106="","",IF((A106+118)&gt;Model!$B$4,0,MAX(0,Model!$B$6-IF((A106+118)&gt;=Model!$B$11,Model!$B$20,0)-IF(118&lt;Model!$B$15,Model!$B$22,0))/(1-Model!$B$9)/(1+Model!$B$18)^118))</f>
        <v/>
      </c>
      <c r="EC106" s="7">
        <f>IF(A106="","",IF((A106+119)&gt;Model!$B$4,0,MAX(0,Model!$B$6-IF((A106+119)&gt;=Model!$B$11,Model!$B$20,0)-IF(119&lt;Model!$B$15,Model!$B$22,0))/(1-Model!$B$9)/(1+Model!$B$18)^119))</f>
        <v/>
      </c>
      <c r="ED106" s="7">
        <f>IF(A106="","",IF((A106+120)&gt;Model!$B$4,0,MAX(0,Model!$B$6-IF((A106+120)&gt;=Model!$B$11,Model!$B$20,0)-IF(120&lt;Model!$B$15,Model!$B$22,0))/(1-Model!$B$9)/(1+Model!$B$18)^120))</f>
        <v/>
      </c>
    </row>
    <row r="107">
      <c r="A107">
        <f>IF(Model!$B$10+ROW()-2&lt;=Model!$B$4,Model!$B$10+ROW()-2,"")</f>
        <v/>
      </c>
      <c r="B107">
        <f>IF(A107="","",A107-Model!$B$10)</f>
        <v/>
      </c>
      <c r="C107" s="7">
        <f>IF(A107="","",Model!$B$5*(1+Model!$B$18)^B107)</f>
        <v/>
      </c>
      <c r="D107" s="7">
        <f>IF(A107="","",SUM(N107:ED107))</f>
        <v/>
      </c>
      <c r="E107" s="7">
        <f>IF(A107="","",IF(A107&gt;=Model!$B$11,Model!$B$20,0))</f>
        <v/>
      </c>
      <c r="F107" s="7">
        <f>IF(A107="","",IF(Model!$B$15&gt;0,Model!$B$22,0))</f>
        <v/>
      </c>
      <c r="G107" s="7">
        <f>IF(A107="","",E107+F107)</f>
        <v/>
      </c>
      <c r="H107" s="7">
        <f>IF(A107="","",MAX(0,Model!$B$6-G107))</f>
        <v/>
      </c>
      <c r="I107" s="7">
        <f>IF(A107="","",H107/(1-Model!$B$9))</f>
        <v/>
      </c>
      <c r="J107" s="7">
        <f>IF(A107="","",C107-D107)</f>
        <v/>
      </c>
      <c r="K107">
        <f>IF(A107="","",C107&gt;=D107)</f>
        <v/>
      </c>
      <c r="L107" s="7">
        <f>IF(A107="","",IF(A107&gt;=Model!$B$11,Model!$B$19*(1+Model!$B$13)^B107,0))</f>
        <v/>
      </c>
      <c r="M107" s="7">
        <f>IF(A107="","",IF(Model!$B$15&gt;0,Model!$B$21*(1+Model!$B$13)^B107,0))</f>
        <v/>
      </c>
      <c r="N107" s="7">
        <f>IF(A107="","",IF((A107+0)&gt;Model!$B$4,0,MAX(0,Model!$B$6-IF((A107+0)&gt;=Model!$B$11,Model!$B$20,0)-IF(0&lt;Model!$B$15,Model!$B$22,0))/(1-Model!$B$9)/(1+Model!$B$18)^0))</f>
        <v/>
      </c>
      <c r="O107" s="7">
        <f>IF(A107="","",IF((A107+1)&gt;Model!$B$4,0,MAX(0,Model!$B$6-IF((A107+1)&gt;=Model!$B$11,Model!$B$20,0)-IF(1&lt;Model!$B$15,Model!$B$22,0))/(1-Model!$B$9)/(1+Model!$B$18)^1))</f>
        <v/>
      </c>
      <c r="P107" s="7">
        <f>IF(A107="","",IF((A107+2)&gt;Model!$B$4,0,MAX(0,Model!$B$6-IF((A107+2)&gt;=Model!$B$11,Model!$B$20,0)-IF(2&lt;Model!$B$15,Model!$B$22,0))/(1-Model!$B$9)/(1+Model!$B$18)^2))</f>
        <v/>
      </c>
      <c r="Q107" s="7">
        <f>IF(A107="","",IF((A107+3)&gt;Model!$B$4,0,MAX(0,Model!$B$6-IF((A107+3)&gt;=Model!$B$11,Model!$B$20,0)-IF(3&lt;Model!$B$15,Model!$B$22,0))/(1-Model!$B$9)/(1+Model!$B$18)^3))</f>
        <v/>
      </c>
      <c r="R107" s="7">
        <f>IF(A107="","",IF((A107+4)&gt;Model!$B$4,0,MAX(0,Model!$B$6-IF((A107+4)&gt;=Model!$B$11,Model!$B$20,0)-IF(4&lt;Model!$B$15,Model!$B$22,0))/(1-Model!$B$9)/(1+Model!$B$18)^4))</f>
        <v/>
      </c>
      <c r="S107" s="7">
        <f>IF(A107="","",IF((A107+5)&gt;Model!$B$4,0,MAX(0,Model!$B$6-IF((A107+5)&gt;=Model!$B$11,Model!$B$20,0)-IF(5&lt;Model!$B$15,Model!$B$22,0))/(1-Model!$B$9)/(1+Model!$B$18)^5))</f>
        <v/>
      </c>
      <c r="T107" s="7">
        <f>IF(A107="","",IF((A107+6)&gt;Model!$B$4,0,MAX(0,Model!$B$6-IF((A107+6)&gt;=Model!$B$11,Model!$B$20,0)-IF(6&lt;Model!$B$15,Model!$B$22,0))/(1-Model!$B$9)/(1+Model!$B$18)^6))</f>
        <v/>
      </c>
      <c r="U107" s="7">
        <f>IF(A107="","",IF((A107+7)&gt;Model!$B$4,0,MAX(0,Model!$B$6-IF((A107+7)&gt;=Model!$B$11,Model!$B$20,0)-IF(7&lt;Model!$B$15,Model!$B$22,0))/(1-Model!$B$9)/(1+Model!$B$18)^7))</f>
        <v/>
      </c>
      <c r="V107" s="7">
        <f>IF(A107="","",IF((A107+8)&gt;Model!$B$4,0,MAX(0,Model!$B$6-IF((A107+8)&gt;=Model!$B$11,Model!$B$20,0)-IF(8&lt;Model!$B$15,Model!$B$22,0))/(1-Model!$B$9)/(1+Model!$B$18)^8))</f>
        <v/>
      </c>
      <c r="W107" s="7">
        <f>IF(A107="","",IF((A107+9)&gt;Model!$B$4,0,MAX(0,Model!$B$6-IF((A107+9)&gt;=Model!$B$11,Model!$B$20,0)-IF(9&lt;Model!$B$15,Model!$B$22,0))/(1-Model!$B$9)/(1+Model!$B$18)^9))</f>
        <v/>
      </c>
      <c r="X107" s="7">
        <f>IF(A107="","",IF((A107+10)&gt;Model!$B$4,0,MAX(0,Model!$B$6-IF((A107+10)&gt;=Model!$B$11,Model!$B$20,0)-IF(10&lt;Model!$B$15,Model!$B$22,0))/(1-Model!$B$9)/(1+Model!$B$18)^10))</f>
        <v/>
      </c>
      <c r="Y107" s="7">
        <f>IF(A107="","",IF((A107+11)&gt;Model!$B$4,0,MAX(0,Model!$B$6-IF((A107+11)&gt;=Model!$B$11,Model!$B$20,0)-IF(11&lt;Model!$B$15,Model!$B$22,0))/(1-Model!$B$9)/(1+Model!$B$18)^11))</f>
        <v/>
      </c>
      <c r="Z107" s="7">
        <f>IF(A107="","",IF((A107+12)&gt;Model!$B$4,0,MAX(0,Model!$B$6-IF((A107+12)&gt;=Model!$B$11,Model!$B$20,0)-IF(12&lt;Model!$B$15,Model!$B$22,0))/(1-Model!$B$9)/(1+Model!$B$18)^12))</f>
        <v/>
      </c>
      <c r="AA107" s="7">
        <f>IF(A107="","",IF((A107+13)&gt;Model!$B$4,0,MAX(0,Model!$B$6-IF((A107+13)&gt;=Model!$B$11,Model!$B$20,0)-IF(13&lt;Model!$B$15,Model!$B$22,0))/(1-Model!$B$9)/(1+Model!$B$18)^13))</f>
        <v/>
      </c>
      <c r="AB107" s="7">
        <f>IF(A107="","",IF((A107+14)&gt;Model!$B$4,0,MAX(0,Model!$B$6-IF((A107+14)&gt;=Model!$B$11,Model!$B$20,0)-IF(14&lt;Model!$B$15,Model!$B$22,0))/(1-Model!$B$9)/(1+Model!$B$18)^14))</f>
        <v/>
      </c>
      <c r="AC107" s="7">
        <f>IF(A107="","",IF((A107+15)&gt;Model!$B$4,0,MAX(0,Model!$B$6-IF((A107+15)&gt;=Model!$B$11,Model!$B$20,0)-IF(15&lt;Model!$B$15,Model!$B$22,0))/(1-Model!$B$9)/(1+Model!$B$18)^15))</f>
        <v/>
      </c>
      <c r="AD107" s="7">
        <f>IF(A107="","",IF((A107+16)&gt;Model!$B$4,0,MAX(0,Model!$B$6-IF((A107+16)&gt;=Model!$B$11,Model!$B$20,0)-IF(16&lt;Model!$B$15,Model!$B$22,0))/(1-Model!$B$9)/(1+Model!$B$18)^16))</f>
        <v/>
      </c>
      <c r="AE107" s="7">
        <f>IF(A107="","",IF((A107+17)&gt;Model!$B$4,0,MAX(0,Model!$B$6-IF((A107+17)&gt;=Model!$B$11,Model!$B$20,0)-IF(17&lt;Model!$B$15,Model!$B$22,0))/(1-Model!$B$9)/(1+Model!$B$18)^17))</f>
        <v/>
      </c>
      <c r="AF107" s="7">
        <f>IF(A107="","",IF((A107+18)&gt;Model!$B$4,0,MAX(0,Model!$B$6-IF((A107+18)&gt;=Model!$B$11,Model!$B$20,0)-IF(18&lt;Model!$B$15,Model!$B$22,0))/(1-Model!$B$9)/(1+Model!$B$18)^18))</f>
        <v/>
      </c>
      <c r="AG107" s="7">
        <f>IF(A107="","",IF((A107+19)&gt;Model!$B$4,0,MAX(0,Model!$B$6-IF((A107+19)&gt;=Model!$B$11,Model!$B$20,0)-IF(19&lt;Model!$B$15,Model!$B$22,0))/(1-Model!$B$9)/(1+Model!$B$18)^19))</f>
        <v/>
      </c>
      <c r="AH107" s="7">
        <f>IF(A107="","",IF((A107+20)&gt;Model!$B$4,0,MAX(0,Model!$B$6-IF((A107+20)&gt;=Model!$B$11,Model!$B$20,0)-IF(20&lt;Model!$B$15,Model!$B$22,0))/(1-Model!$B$9)/(1+Model!$B$18)^20))</f>
        <v/>
      </c>
      <c r="AI107" s="7">
        <f>IF(A107="","",IF((A107+21)&gt;Model!$B$4,0,MAX(0,Model!$B$6-IF((A107+21)&gt;=Model!$B$11,Model!$B$20,0)-IF(21&lt;Model!$B$15,Model!$B$22,0))/(1-Model!$B$9)/(1+Model!$B$18)^21))</f>
        <v/>
      </c>
      <c r="AJ107" s="7">
        <f>IF(A107="","",IF((A107+22)&gt;Model!$B$4,0,MAX(0,Model!$B$6-IF((A107+22)&gt;=Model!$B$11,Model!$B$20,0)-IF(22&lt;Model!$B$15,Model!$B$22,0))/(1-Model!$B$9)/(1+Model!$B$18)^22))</f>
        <v/>
      </c>
      <c r="AK107" s="7">
        <f>IF(A107="","",IF((A107+23)&gt;Model!$B$4,0,MAX(0,Model!$B$6-IF((A107+23)&gt;=Model!$B$11,Model!$B$20,0)-IF(23&lt;Model!$B$15,Model!$B$22,0))/(1-Model!$B$9)/(1+Model!$B$18)^23))</f>
        <v/>
      </c>
      <c r="AL107" s="7">
        <f>IF(A107="","",IF((A107+24)&gt;Model!$B$4,0,MAX(0,Model!$B$6-IF((A107+24)&gt;=Model!$B$11,Model!$B$20,0)-IF(24&lt;Model!$B$15,Model!$B$22,0))/(1-Model!$B$9)/(1+Model!$B$18)^24))</f>
        <v/>
      </c>
      <c r="AM107" s="7">
        <f>IF(A107="","",IF((A107+25)&gt;Model!$B$4,0,MAX(0,Model!$B$6-IF((A107+25)&gt;=Model!$B$11,Model!$B$20,0)-IF(25&lt;Model!$B$15,Model!$B$22,0))/(1-Model!$B$9)/(1+Model!$B$18)^25))</f>
        <v/>
      </c>
      <c r="AN107" s="7">
        <f>IF(A107="","",IF((A107+26)&gt;Model!$B$4,0,MAX(0,Model!$B$6-IF((A107+26)&gt;=Model!$B$11,Model!$B$20,0)-IF(26&lt;Model!$B$15,Model!$B$22,0))/(1-Model!$B$9)/(1+Model!$B$18)^26))</f>
        <v/>
      </c>
      <c r="AO107" s="7">
        <f>IF(A107="","",IF((A107+27)&gt;Model!$B$4,0,MAX(0,Model!$B$6-IF((A107+27)&gt;=Model!$B$11,Model!$B$20,0)-IF(27&lt;Model!$B$15,Model!$B$22,0))/(1-Model!$B$9)/(1+Model!$B$18)^27))</f>
        <v/>
      </c>
      <c r="AP107" s="7">
        <f>IF(A107="","",IF((A107+28)&gt;Model!$B$4,0,MAX(0,Model!$B$6-IF((A107+28)&gt;=Model!$B$11,Model!$B$20,0)-IF(28&lt;Model!$B$15,Model!$B$22,0))/(1-Model!$B$9)/(1+Model!$B$18)^28))</f>
        <v/>
      </c>
      <c r="AQ107" s="7">
        <f>IF(A107="","",IF((A107+29)&gt;Model!$B$4,0,MAX(0,Model!$B$6-IF((A107+29)&gt;=Model!$B$11,Model!$B$20,0)-IF(29&lt;Model!$B$15,Model!$B$22,0))/(1-Model!$B$9)/(1+Model!$B$18)^29))</f>
        <v/>
      </c>
      <c r="AR107" s="7">
        <f>IF(A107="","",IF((A107+30)&gt;Model!$B$4,0,MAX(0,Model!$B$6-IF((A107+30)&gt;=Model!$B$11,Model!$B$20,0)-IF(30&lt;Model!$B$15,Model!$B$22,0))/(1-Model!$B$9)/(1+Model!$B$18)^30))</f>
        <v/>
      </c>
      <c r="AS107" s="7">
        <f>IF(A107="","",IF((A107+31)&gt;Model!$B$4,0,MAX(0,Model!$B$6-IF((A107+31)&gt;=Model!$B$11,Model!$B$20,0)-IF(31&lt;Model!$B$15,Model!$B$22,0))/(1-Model!$B$9)/(1+Model!$B$18)^31))</f>
        <v/>
      </c>
      <c r="AT107" s="7">
        <f>IF(A107="","",IF((A107+32)&gt;Model!$B$4,0,MAX(0,Model!$B$6-IF((A107+32)&gt;=Model!$B$11,Model!$B$20,0)-IF(32&lt;Model!$B$15,Model!$B$22,0))/(1-Model!$B$9)/(1+Model!$B$18)^32))</f>
        <v/>
      </c>
      <c r="AU107" s="7">
        <f>IF(A107="","",IF((A107+33)&gt;Model!$B$4,0,MAX(0,Model!$B$6-IF((A107+33)&gt;=Model!$B$11,Model!$B$20,0)-IF(33&lt;Model!$B$15,Model!$B$22,0))/(1-Model!$B$9)/(1+Model!$B$18)^33))</f>
        <v/>
      </c>
      <c r="AV107" s="7">
        <f>IF(A107="","",IF((A107+34)&gt;Model!$B$4,0,MAX(0,Model!$B$6-IF((A107+34)&gt;=Model!$B$11,Model!$B$20,0)-IF(34&lt;Model!$B$15,Model!$B$22,0))/(1-Model!$B$9)/(1+Model!$B$18)^34))</f>
        <v/>
      </c>
      <c r="AW107" s="7">
        <f>IF(A107="","",IF((A107+35)&gt;Model!$B$4,0,MAX(0,Model!$B$6-IF((A107+35)&gt;=Model!$B$11,Model!$B$20,0)-IF(35&lt;Model!$B$15,Model!$B$22,0))/(1-Model!$B$9)/(1+Model!$B$18)^35))</f>
        <v/>
      </c>
      <c r="AX107" s="7">
        <f>IF(A107="","",IF((A107+36)&gt;Model!$B$4,0,MAX(0,Model!$B$6-IF((A107+36)&gt;=Model!$B$11,Model!$B$20,0)-IF(36&lt;Model!$B$15,Model!$B$22,0))/(1-Model!$B$9)/(1+Model!$B$18)^36))</f>
        <v/>
      </c>
      <c r="AY107" s="7">
        <f>IF(A107="","",IF((A107+37)&gt;Model!$B$4,0,MAX(0,Model!$B$6-IF((A107+37)&gt;=Model!$B$11,Model!$B$20,0)-IF(37&lt;Model!$B$15,Model!$B$22,0))/(1-Model!$B$9)/(1+Model!$B$18)^37))</f>
        <v/>
      </c>
      <c r="AZ107" s="7">
        <f>IF(A107="","",IF((A107+38)&gt;Model!$B$4,0,MAX(0,Model!$B$6-IF((A107+38)&gt;=Model!$B$11,Model!$B$20,0)-IF(38&lt;Model!$B$15,Model!$B$22,0))/(1-Model!$B$9)/(1+Model!$B$18)^38))</f>
        <v/>
      </c>
      <c r="BA107" s="7">
        <f>IF(A107="","",IF((A107+39)&gt;Model!$B$4,0,MAX(0,Model!$B$6-IF((A107+39)&gt;=Model!$B$11,Model!$B$20,0)-IF(39&lt;Model!$B$15,Model!$B$22,0))/(1-Model!$B$9)/(1+Model!$B$18)^39))</f>
        <v/>
      </c>
      <c r="BB107" s="7">
        <f>IF(A107="","",IF((A107+40)&gt;Model!$B$4,0,MAX(0,Model!$B$6-IF((A107+40)&gt;=Model!$B$11,Model!$B$20,0)-IF(40&lt;Model!$B$15,Model!$B$22,0))/(1-Model!$B$9)/(1+Model!$B$18)^40))</f>
        <v/>
      </c>
      <c r="BC107" s="7">
        <f>IF(A107="","",IF((A107+41)&gt;Model!$B$4,0,MAX(0,Model!$B$6-IF((A107+41)&gt;=Model!$B$11,Model!$B$20,0)-IF(41&lt;Model!$B$15,Model!$B$22,0))/(1-Model!$B$9)/(1+Model!$B$18)^41))</f>
        <v/>
      </c>
      <c r="BD107" s="7">
        <f>IF(A107="","",IF((A107+42)&gt;Model!$B$4,0,MAX(0,Model!$B$6-IF((A107+42)&gt;=Model!$B$11,Model!$B$20,0)-IF(42&lt;Model!$B$15,Model!$B$22,0))/(1-Model!$B$9)/(1+Model!$B$18)^42))</f>
        <v/>
      </c>
      <c r="BE107" s="7">
        <f>IF(A107="","",IF((A107+43)&gt;Model!$B$4,0,MAX(0,Model!$B$6-IF((A107+43)&gt;=Model!$B$11,Model!$B$20,0)-IF(43&lt;Model!$B$15,Model!$B$22,0))/(1-Model!$B$9)/(1+Model!$B$18)^43))</f>
        <v/>
      </c>
      <c r="BF107" s="7">
        <f>IF(A107="","",IF((A107+44)&gt;Model!$B$4,0,MAX(0,Model!$B$6-IF((A107+44)&gt;=Model!$B$11,Model!$B$20,0)-IF(44&lt;Model!$B$15,Model!$B$22,0))/(1-Model!$B$9)/(1+Model!$B$18)^44))</f>
        <v/>
      </c>
      <c r="BG107" s="7">
        <f>IF(A107="","",IF((A107+45)&gt;Model!$B$4,0,MAX(0,Model!$B$6-IF((A107+45)&gt;=Model!$B$11,Model!$B$20,0)-IF(45&lt;Model!$B$15,Model!$B$22,0))/(1-Model!$B$9)/(1+Model!$B$18)^45))</f>
        <v/>
      </c>
      <c r="BH107" s="7">
        <f>IF(A107="","",IF((A107+46)&gt;Model!$B$4,0,MAX(0,Model!$B$6-IF((A107+46)&gt;=Model!$B$11,Model!$B$20,0)-IF(46&lt;Model!$B$15,Model!$B$22,0))/(1-Model!$B$9)/(1+Model!$B$18)^46))</f>
        <v/>
      </c>
      <c r="BI107" s="7">
        <f>IF(A107="","",IF((A107+47)&gt;Model!$B$4,0,MAX(0,Model!$B$6-IF((A107+47)&gt;=Model!$B$11,Model!$B$20,0)-IF(47&lt;Model!$B$15,Model!$B$22,0))/(1-Model!$B$9)/(1+Model!$B$18)^47))</f>
        <v/>
      </c>
      <c r="BJ107" s="7">
        <f>IF(A107="","",IF((A107+48)&gt;Model!$B$4,0,MAX(0,Model!$B$6-IF((A107+48)&gt;=Model!$B$11,Model!$B$20,0)-IF(48&lt;Model!$B$15,Model!$B$22,0))/(1-Model!$B$9)/(1+Model!$B$18)^48))</f>
        <v/>
      </c>
      <c r="BK107" s="7">
        <f>IF(A107="","",IF((A107+49)&gt;Model!$B$4,0,MAX(0,Model!$B$6-IF((A107+49)&gt;=Model!$B$11,Model!$B$20,0)-IF(49&lt;Model!$B$15,Model!$B$22,0))/(1-Model!$B$9)/(1+Model!$B$18)^49))</f>
        <v/>
      </c>
      <c r="BL107" s="7">
        <f>IF(A107="","",IF((A107+50)&gt;Model!$B$4,0,MAX(0,Model!$B$6-IF((A107+50)&gt;=Model!$B$11,Model!$B$20,0)-IF(50&lt;Model!$B$15,Model!$B$22,0))/(1-Model!$B$9)/(1+Model!$B$18)^50))</f>
        <v/>
      </c>
      <c r="BM107" s="7">
        <f>IF(A107="","",IF((A107+51)&gt;Model!$B$4,0,MAX(0,Model!$B$6-IF((A107+51)&gt;=Model!$B$11,Model!$B$20,0)-IF(51&lt;Model!$B$15,Model!$B$22,0))/(1-Model!$B$9)/(1+Model!$B$18)^51))</f>
        <v/>
      </c>
      <c r="BN107" s="7">
        <f>IF(A107="","",IF((A107+52)&gt;Model!$B$4,0,MAX(0,Model!$B$6-IF((A107+52)&gt;=Model!$B$11,Model!$B$20,0)-IF(52&lt;Model!$B$15,Model!$B$22,0))/(1-Model!$B$9)/(1+Model!$B$18)^52))</f>
        <v/>
      </c>
      <c r="BO107" s="7">
        <f>IF(A107="","",IF((A107+53)&gt;Model!$B$4,0,MAX(0,Model!$B$6-IF((A107+53)&gt;=Model!$B$11,Model!$B$20,0)-IF(53&lt;Model!$B$15,Model!$B$22,0))/(1-Model!$B$9)/(1+Model!$B$18)^53))</f>
        <v/>
      </c>
      <c r="BP107" s="7">
        <f>IF(A107="","",IF((A107+54)&gt;Model!$B$4,0,MAX(0,Model!$B$6-IF((A107+54)&gt;=Model!$B$11,Model!$B$20,0)-IF(54&lt;Model!$B$15,Model!$B$22,0))/(1-Model!$B$9)/(1+Model!$B$18)^54))</f>
        <v/>
      </c>
      <c r="BQ107" s="7">
        <f>IF(A107="","",IF((A107+55)&gt;Model!$B$4,0,MAX(0,Model!$B$6-IF((A107+55)&gt;=Model!$B$11,Model!$B$20,0)-IF(55&lt;Model!$B$15,Model!$B$22,0))/(1-Model!$B$9)/(1+Model!$B$18)^55))</f>
        <v/>
      </c>
      <c r="BR107" s="7">
        <f>IF(A107="","",IF((A107+56)&gt;Model!$B$4,0,MAX(0,Model!$B$6-IF((A107+56)&gt;=Model!$B$11,Model!$B$20,0)-IF(56&lt;Model!$B$15,Model!$B$22,0))/(1-Model!$B$9)/(1+Model!$B$18)^56))</f>
        <v/>
      </c>
      <c r="BS107" s="7">
        <f>IF(A107="","",IF((A107+57)&gt;Model!$B$4,0,MAX(0,Model!$B$6-IF((A107+57)&gt;=Model!$B$11,Model!$B$20,0)-IF(57&lt;Model!$B$15,Model!$B$22,0))/(1-Model!$B$9)/(1+Model!$B$18)^57))</f>
        <v/>
      </c>
      <c r="BT107" s="7">
        <f>IF(A107="","",IF((A107+58)&gt;Model!$B$4,0,MAX(0,Model!$B$6-IF((A107+58)&gt;=Model!$B$11,Model!$B$20,0)-IF(58&lt;Model!$B$15,Model!$B$22,0))/(1-Model!$B$9)/(1+Model!$B$18)^58))</f>
        <v/>
      </c>
      <c r="BU107" s="7">
        <f>IF(A107="","",IF((A107+59)&gt;Model!$B$4,0,MAX(0,Model!$B$6-IF((A107+59)&gt;=Model!$B$11,Model!$B$20,0)-IF(59&lt;Model!$B$15,Model!$B$22,0))/(1-Model!$B$9)/(1+Model!$B$18)^59))</f>
        <v/>
      </c>
      <c r="BV107" s="7">
        <f>IF(A107="","",IF((A107+60)&gt;Model!$B$4,0,MAX(0,Model!$B$6-IF((A107+60)&gt;=Model!$B$11,Model!$B$20,0)-IF(60&lt;Model!$B$15,Model!$B$22,0))/(1-Model!$B$9)/(1+Model!$B$18)^60))</f>
        <v/>
      </c>
      <c r="BW107" s="7">
        <f>IF(A107="","",IF((A107+61)&gt;Model!$B$4,0,MAX(0,Model!$B$6-IF((A107+61)&gt;=Model!$B$11,Model!$B$20,0)-IF(61&lt;Model!$B$15,Model!$B$22,0))/(1-Model!$B$9)/(1+Model!$B$18)^61))</f>
        <v/>
      </c>
      <c r="BX107" s="7">
        <f>IF(A107="","",IF((A107+62)&gt;Model!$B$4,0,MAX(0,Model!$B$6-IF((A107+62)&gt;=Model!$B$11,Model!$B$20,0)-IF(62&lt;Model!$B$15,Model!$B$22,0))/(1-Model!$B$9)/(1+Model!$B$18)^62))</f>
        <v/>
      </c>
      <c r="BY107" s="7">
        <f>IF(A107="","",IF((A107+63)&gt;Model!$B$4,0,MAX(0,Model!$B$6-IF((A107+63)&gt;=Model!$B$11,Model!$B$20,0)-IF(63&lt;Model!$B$15,Model!$B$22,0))/(1-Model!$B$9)/(1+Model!$B$18)^63))</f>
        <v/>
      </c>
      <c r="BZ107" s="7">
        <f>IF(A107="","",IF((A107+64)&gt;Model!$B$4,0,MAX(0,Model!$B$6-IF((A107+64)&gt;=Model!$B$11,Model!$B$20,0)-IF(64&lt;Model!$B$15,Model!$B$22,0))/(1-Model!$B$9)/(1+Model!$B$18)^64))</f>
        <v/>
      </c>
      <c r="CA107" s="7">
        <f>IF(A107="","",IF((A107+65)&gt;Model!$B$4,0,MAX(0,Model!$B$6-IF((A107+65)&gt;=Model!$B$11,Model!$B$20,0)-IF(65&lt;Model!$B$15,Model!$B$22,0))/(1-Model!$B$9)/(1+Model!$B$18)^65))</f>
        <v/>
      </c>
      <c r="CB107" s="7">
        <f>IF(A107="","",IF((A107+66)&gt;Model!$B$4,0,MAX(0,Model!$B$6-IF((A107+66)&gt;=Model!$B$11,Model!$B$20,0)-IF(66&lt;Model!$B$15,Model!$B$22,0))/(1-Model!$B$9)/(1+Model!$B$18)^66))</f>
        <v/>
      </c>
      <c r="CC107" s="7">
        <f>IF(A107="","",IF((A107+67)&gt;Model!$B$4,0,MAX(0,Model!$B$6-IF((A107+67)&gt;=Model!$B$11,Model!$B$20,0)-IF(67&lt;Model!$B$15,Model!$B$22,0))/(1-Model!$B$9)/(1+Model!$B$18)^67))</f>
        <v/>
      </c>
      <c r="CD107" s="7">
        <f>IF(A107="","",IF((A107+68)&gt;Model!$B$4,0,MAX(0,Model!$B$6-IF((A107+68)&gt;=Model!$B$11,Model!$B$20,0)-IF(68&lt;Model!$B$15,Model!$B$22,0))/(1-Model!$B$9)/(1+Model!$B$18)^68))</f>
        <v/>
      </c>
      <c r="CE107" s="7">
        <f>IF(A107="","",IF((A107+69)&gt;Model!$B$4,0,MAX(0,Model!$B$6-IF((A107+69)&gt;=Model!$B$11,Model!$B$20,0)-IF(69&lt;Model!$B$15,Model!$B$22,0))/(1-Model!$B$9)/(1+Model!$B$18)^69))</f>
        <v/>
      </c>
      <c r="CF107" s="7">
        <f>IF(A107="","",IF((A107+70)&gt;Model!$B$4,0,MAX(0,Model!$B$6-IF((A107+70)&gt;=Model!$B$11,Model!$B$20,0)-IF(70&lt;Model!$B$15,Model!$B$22,0))/(1-Model!$B$9)/(1+Model!$B$18)^70))</f>
        <v/>
      </c>
      <c r="CG107" s="7">
        <f>IF(A107="","",IF((A107+71)&gt;Model!$B$4,0,MAX(0,Model!$B$6-IF((A107+71)&gt;=Model!$B$11,Model!$B$20,0)-IF(71&lt;Model!$B$15,Model!$B$22,0))/(1-Model!$B$9)/(1+Model!$B$18)^71))</f>
        <v/>
      </c>
      <c r="CH107" s="7">
        <f>IF(A107="","",IF((A107+72)&gt;Model!$B$4,0,MAX(0,Model!$B$6-IF((A107+72)&gt;=Model!$B$11,Model!$B$20,0)-IF(72&lt;Model!$B$15,Model!$B$22,0))/(1-Model!$B$9)/(1+Model!$B$18)^72))</f>
        <v/>
      </c>
      <c r="CI107" s="7">
        <f>IF(A107="","",IF((A107+73)&gt;Model!$B$4,0,MAX(0,Model!$B$6-IF((A107+73)&gt;=Model!$B$11,Model!$B$20,0)-IF(73&lt;Model!$B$15,Model!$B$22,0))/(1-Model!$B$9)/(1+Model!$B$18)^73))</f>
        <v/>
      </c>
      <c r="CJ107" s="7">
        <f>IF(A107="","",IF((A107+74)&gt;Model!$B$4,0,MAX(0,Model!$B$6-IF((A107+74)&gt;=Model!$B$11,Model!$B$20,0)-IF(74&lt;Model!$B$15,Model!$B$22,0))/(1-Model!$B$9)/(1+Model!$B$18)^74))</f>
        <v/>
      </c>
      <c r="CK107" s="7">
        <f>IF(A107="","",IF((A107+75)&gt;Model!$B$4,0,MAX(0,Model!$B$6-IF((A107+75)&gt;=Model!$B$11,Model!$B$20,0)-IF(75&lt;Model!$B$15,Model!$B$22,0))/(1-Model!$B$9)/(1+Model!$B$18)^75))</f>
        <v/>
      </c>
      <c r="CL107" s="7">
        <f>IF(A107="","",IF((A107+76)&gt;Model!$B$4,0,MAX(0,Model!$B$6-IF((A107+76)&gt;=Model!$B$11,Model!$B$20,0)-IF(76&lt;Model!$B$15,Model!$B$22,0))/(1-Model!$B$9)/(1+Model!$B$18)^76))</f>
        <v/>
      </c>
      <c r="CM107" s="7">
        <f>IF(A107="","",IF((A107+77)&gt;Model!$B$4,0,MAX(0,Model!$B$6-IF((A107+77)&gt;=Model!$B$11,Model!$B$20,0)-IF(77&lt;Model!$B$15,Model!$B$22,0))/(1-Model!$B$9)/(1+Model!$B$18)^77))</f>
        <v/>
      </c>
      <c r="CN107" s="7">
        <f>IF(A107="","",IF((A107+78)&gt;Model!$B$4,0,MAX(0,Model!$B$6-IF((A107+78)&gt;=Model!$B$11,Model!$B$20,0)-IF(78&lt;Model!$B$15,Model!$B$22,0))/(1-Model!$B$9)/(1+Model!$B$18)^78))</f>
        <v/>
      </c>
      <c r="CO107" s="7">
        <f>IF(A107="","",IF((A107+79)&gt;Model!$B$4,0,MAX(0,Model!$B$6-IF((A107+79)&gt;=Model!$B$11,Model!$B$20,0)-IF(79&lt;Model!$B$15,Model!$B$22,0))/(1-Model!$B$9)/(1+Model!$B$18)^79))</f>
        <v/>
      </c>
      <c r="CP107" s="7">
        <f>IF(A107="","",IF((A107+80)&gt;Model!$B$4,0,MAX(0,Model!$B$6-IF((A107+80)&gt;=Model!$B$11,Model!$B$20,0)-IF(80&lt;Model!$B$15,Model!$B$22,0))/(1-Model!$B$9)/(1+Model!$B$18)^80))</f>
        <v/>
      </c>
      <c r="CQ107" s="7">
        <f>IF(A107="","",IF((A107+81)&gt;Model!$B$4,0,MAX(0,Model!$B$6-IF((A107+81)&gt;=Model!$B$11,Model!$B$20,0)-IF(81&lt;Model!$B$15,Model!$B$22,0))/(1-Model!$B$9)/(1+Model!$B$18)^81))</f>
        <v/>
      </c>
      <c r="CR107" s="7">
        <f>IF(A107="","",IF((A107+82)&gt;Model!$B$4,0,MAX(0,Model!$B$6-IF((A107+82)&gt;=Model!$B$11,Model!$B$20,0)-IF(82&lt;Model!$B$15,Model!$B$22,0))/(1-Model!$B$9)/(1+Model!$B$18)^82))</f>
        <v/>
      </c>
      <c r="CS107" s="7">
        <f>IF(A107="","",IF((A107+83)&gt;Model!$B$4,0,MAX(0,Model!$B$6-IF((A107+83)&gt;=Model!$B$11,Model!$B$20,0)-IF(83&lt;Model!$B$15,Model!$B$22,0))/(1-Model!$B$9)/(1+Model!$B$18)^83))</f>
        <v/>
      </c>
      <c r="CT107" s="7">
        <f>IF(A107="","",IF((A107+84)&gt;Model!$B$4,0,MAX(0,Model!$B$6-IF((A107+84)&gt;=Model!$B$11,Model!$B$20,0)-IF(84&lt;Model!$B$15,Model!$B$22,0))/(1-Model!$B$9)/(1+Model!$B$18)^84))</f>
        <v/>
      </c>
      <c r="CU107" s="7">
        <f>IF(A107="","",IF((A107+85)&gt;Model!$B$4,0,MAX(0,Model!$B$6-IF((A107+85)&gt;=Model!$B$11,Model!$B$20,0)-IF(85&lt;Model!$B$15,Model!$B$22,0))/(1-Model!$B$9)/(1+Model!$B$18)^85))</f>
        <v/>
      </c>
      <c r="CV107" s="7">
        <f>IF(A107="","",IF((A107+86)&gt;Model!$B$4,0,MAX(0,Model!$B$6-IF((A107+86)&gt;=Model!$B$11,Model!$B$20,0)-IF(86&lt;Model!$B$15,Model!$B$22,0))/(1-Model!$B$9)/(1+Model!$B$18)^86))</f>
        <v/>
      </c>
      <c r="CW107" s="7">
        <f>IF(A107="","",IF((A107+87)&gt;Model!$B$4,0,MAX(0,Model!$B$6-IF((A107+87)&gt;=Model!$B$11,Model!$B$20,0)-IF(87&lt;Model!$B$15,Model!$B$22,0))/(1-Model!$B$9)/(1+Model!$B$18)^87))</f>
        <v/>
      </c>
      <c r="CX107" s="7">
        <f>IF(A107="","",IF((A107+88)&gt;Model!$B$4,0,MAX(0,Model!$B$6-IF((A107+88)&gt;=Model!$B$11,Model!$B$20,0)-IF(88&lt;Model!$B$15,Model!$B$22,0))/(1-Model!$B$9)/(1+Model!$B$18)^88))</f>
        <v/>
      </c>
      <c r="CY107" s="7">
        <f>IF(A107="","",IF((A107+89)&gt;Model!$B$4,0,MAX(0,Model!$B$6-IF((A107+89)&gt;=Model!$B$11,Model!$B$20,0)-IF(89&lt;Model!$B$15,Model!$B$22,0))/(1-Model!$B$9)/(1+Model!$B$18)^89))</f>
        <v/>
      </c>
      <c r="CZ107" s="7">
        <f>IF(A107="","",IF((A107+90)&gt;Model!$B$4,0,MAX(0,Model!$B$6-IF((A107+90)&gt;=Model!$B$11,Model!$B$20,0)-IF(90&lt;Model!$B$15,Model!$B$22,0))/(1-Model!$B$9)/(1+Model!$B$18)^90))</f>
        <v/>
      </c>
      <c r="DA107" s="7">
        <f>IF(A107="","",IF((A107+91)&gt;Model!$B$4,0,MAX(0,Model!$B$6-IF((A107+91)&gt;=Model!$B$11,Model!$B$20,0)-IF(91&lt;Model!$B$15,Model!$B$22,0))/(1-Model!$B$9)/(1+Model!$B$18)^91))</f>
        <v/>
      </c>
      <c r="DB107" s="7">
        <f>IF(A107="","",IF((A107+92)&gt;Model!$B$4,0,MAX(0,Model!$B$6-IF((A107+92)&gt;=Model!$B$11,Model!$B$20,0)-IF(92&lt;Model!$B$15,Model!$B$22,0))/(1-Model!$B$9)/(1+Model!$B$18)^92))</f>
        <v/>
      </c>
      <c r="DC107" s="7">
        <f>IF(A107="","",IF((A107+93)&gt;Model!$B$4,0,MAX(0,Model!$B$6-IF((A107+93)&gt;=Model!$B$11,Model!$B$20,0)-IF(93&lt;Model!$B$15,Model!$B$22,0))/(1-Model!$B$9)/(1+Model!$B$18)^93))</f>
        <v/>
      </c>
      <c r="DD107" s="7">
        <f>IF(A107="","",IF((A107+94)&gt;Model!$B$4,0,MAX(0,Model!$B$6-IF((A107+94)&gt;=Model!$B$11,Model!$B$20,0)-IF(94&lt;Model!$B$15,Model!$B$22,0))/(1-Model!$B$9)/(1+Model!$B$18)^94))</f>
        <v/>
      </c>
      <c r="DE107" s="7">
        <f>IF(A107="","",IF((A107+95)&gt;Model!$B$4,0,MAX(0,Model!$B$6-IF((A107+95)&gt;=Model!$B$11,Model!$B$20,0)-IF(95&lt;Model!$B$15,Model!$B$22,0))/(1-Model!$B$9)/(1+Model!$B$18)^95))</f>
        <v/>
      </c>
      <c r="DF107" s="7">
        <f>IF(A107="","",IF((A107+96)&gt;Model!$B$4,0,MAX(0,Model!$B$6-IF((A107+96)&gt;=Model!$B$11,Model!$B$20,0)-IF(96&lt;Model!$B$15,Model!$B$22,0))/(1-Model!$B$9)/(1+Model!$B$18)^96))</f>
        <v/>
      </c>
      <c r="DG107" s="7">
        <f>IF(A107="","",IF((A107+97)&gt;Model!$B$4,0,MAX(0,Model!$B$6-IF((A107+97)&gt;=Model!$B$11,Model!$B$20,0)-IF(97&lt;Model!$B$15,Model!$B$22,0))/(1-Model!$B$9)/(1+Model!$B$18)^97))</f>
        <v/>
      </c>
      <c r="DH107" s="7">
        <f>IF(A107="","",IF((A107+98)&gt;Model!$B$4,0,MAX(0,Model!$B$6-IF((A107+98)&gt;=Model!$B$11,Model!$B$20,0)-IF(98&lt;Model!$B$15,Model!$B$22,0))/(1-Model!$B$9)/(1+Model!$B$18)^98))</f>
        <v/>
      </c>
      <c r="DI107" s="7">
        <f>IF(A107="","",IF((A107+99)&gt;Model!$B$4,0,MAX(0,Model!$B$6-IF((A107+99)&gt;=Model!$B$11,Model!$B$20,0)-IF(99&lt;Model!$B$15,Model!$B$22,0))/(1-Model!$B$9)/(1+Model!$B$18)^99))</f>
        <v/>
      </c>
      <c r="DJ107" s="7">
        <f>IF(A107="","",IF((A107+100)&gt;Model!$B$4,0,MAX(0,Model!$B$6-IF((A107+100)&gt;=Model!$B$11,Model!$B$20,0)-IF(100&lt;Model!$B$15,Model!$B$22,0))/(1-Model!$B$9)/(1+Model!$B$18)^100))</f>
        <v/>
      </c>
      <c r="DK107" s="7">
        <f>IF(A107="","",IF((A107+101)&gt;Model!$B$4,0,MAX(0,Model!$B$6-IF((A107+101)&gt;=Model!$B$11,Model!$B$20,0)-IF(101&lt;Model!$B$15,Model!$B$22,0))/(1-Model!$B$9)/(1+Model!$B$18)^101))</f>
        <v/>
      </c>
      <c r="DL107" s="7">
        <f>IF(A107="","",IF((A107+102)&gt;Model!$B$4,0,MAX(0,Model!$B$6-IF((A107+102)&gt;=Model!$B$11,Model!$B$20,0)-IF(102&lt;Model!$B$15,Model!$B$22,0))/(1-Model!$B$9)/(1+Model!$B$18)^102))</f>
        <v/>
      </c>
      <c r="DM107" s="7">
        <f>IF(A107="","",IF((A107+103)&gt;Model!$B$4,0,MAX(0,Model!$B$6-IF((A107+103)&gt;=Model!$B$11,Model!$B$20,0)-IF(103&lt;Model!$B$15,Model!$B$22,0))/(1-Model!$B$9)/(1+Model!$B$18)^103))</f>
        <v/>
      </c>
      <c r="DN107" s="7">
        <f>IF(A107="","",IF((A107+104)&gt;Model!$B$4,0,MAX(0,Model!$B$6-IF((A107+104)&gt;=Model!$B$11,Model!$B$20,0)-IF(104&lt;Model!$B$15,Model!$B$22,0))/(1-Model!$B$9)/(1+Model!$B$18)^104))</f>
        <v/>
      </c>
      <c r="DO107" s="7">
        <f>IF(A107="","",IF((A107+105)&gt;Model!$B$4,0,MAX(0,Model!$B$6-IF((A107+105)&gt;=Model!$B$11,Model!$B$20,0)-IF(105&lt;Model!$B$15,Model!$B$22,0))/(1-Model!$B$9)/(1+Model!$B$18)^105))</f>
        <v/>
      </c>
      <c r="DP107" s="7">
        <f>IF(A107="","",IF((A107+106)&gt;Model!$B$4,0,MAX(0,Model!$B$6-IF((A107+106)&gt;=Model!$B$11,Model!$B$20,0)-IF(106&lt;Model!$B$15,Model!$B$22,0))/(1-Model!$B$9)/(1+Model!$B$18)^106))</f>
        <v/>
      </c>
      <c r="DQ107" s="7">
        <f>IF(A107="","",IF((A107+107)&gt;Model!$B$4,0,MAX(0,Model!$B$6-IF((A107+107)&gt;=Model!$B$11,Model!$B$20,0)-IF(107&lt;Model!$B$15,Model!$B$22,0))/(1-Model!$B$9)/(1+Model!$B$18)^107))</f>
        <v/>
      </c>
      <c r="DR107" s="7">
        <f>IF(A107="","",IF((A107+108)&gt;Model!$B$4,0,MAX(0,Model!$B$6-IF((A107+108)&gt;=Model!$B$11,Model!$B$20,0)-IF(108&lt;Model!$B$15,Model!$B$22,0))/(1-Model!$B$9)/(1+Model!$B$18)^108))</f>
        <v/>
      </c>
      <c r="DS107" s="7">
        <f>IF(A107="","",IF((A107+109)&gt;Model!$B$4,0,MAX(0,Model!$B$6-IF((A107+109)&gt;=Model!$B$11,Model!$B$20,0)-IF(109&lt;Model!$B$15,Model!$B$22,0))/(1-Model!$B$9)/(1+Model!$B$18)^109))</f>
        <v/>
      </c>
      <c r="DT107" s="7">
        <f>IF(A107="","",IF((A107+110)&gt;Model!$B$4,0,MAX(0,Model!$B$6-IF((A107+110)&gt;=Model!$B$11,Model!$B$20,0)-IF(110&lt;Model!$B$15,Model!$B$22,0))/(1-Model!$B$9)/(1+Model!$B$18)^110))</f>
        <v/>
      </c>
      <c r="DU107" s="7">
        <f>IF(A107="","",IF((A107+111)&gt;Model!$B$4,0,MAX(0,Model!$B$6-IF((A107+111)&gt;=Model!$B$11,Model!$B$20,0)-IF(111&lt;Model!$B$15,Model!$B$22,0))/(1-Model!$B$9)/(1+Model!$B$18)^111))</f>
        <v/>
      </c>
      <c r="DV107" s="7">
        <f>IF(A107="","",IF((A107+112)&gt;Model!$B$4,0,MAX(0,Model!$B$6-IF((A107+112)&gt;=Model!$B$11,Model!$B$20,0)-IF(112&lt;Model!$B$15,Model!$B$22,0))/(1-Model!$B$9)/(1+Model!$B$18)^112))</f>
        <v/>
      </c>
      <c r="DW107" s="7">
        <f>IF(A107="","",IF((A107+113)&gt;Model!$B$4,0,MAX(0,Model!$B$6-IF((A107+113)&gt;=Model!$B$11,Model!$B$20,0)-IF(113&lt;Model!$B$15,Model!$B$22,0))/(1-Model!$B$9)/(1+Model!$B$18)^113))</f>
        <v/>
      </c>
      <c r="DX107" s="7">
        <f>IF(A107="","",IF((A107+114)&gt;Model!$B$4,0,MAX(0,Model!$B$6-IF((A107+114)&gt;=Model!$B$11,Model!$B$20,0)-IF(114&lt;Model!$B$15,Model!$B$22,0))/(1-Model!$B$9)/(1+Model!$B$18)^114))</f>
        <v/>
      </c>
      <c r="DY107" s="7">
        <f>IF(A107="","",IF((A107+115)&gt;Model!$B$4,0,MAX(0,Model!$B$6-IF((A107+115)&gt;=Model!$B$11,Model!$B$20,0)-IF(115&lt;Model!$B$15,Model!$B$22,0))/(1-Model!$B$9)/(1+Model!$B$18)^115))</f>
        <v/>
      </c>
      <c r="DZ107" s="7">
        <f>IF(A107="","",IF((A107+116)&gt;Model!$B$4,0,MAX(0,Model!$B$6-IF((A107+116)&gt;=Model!$B$11,Model!$B$20,0)-IF(116&lt;Model!$B$15,Model!$B$22,0))/(1-Model!$B$9)/(1+Model!$B$18)^116))</f>
        <v/>
      </c>
      <c r="EA107" s="7">
        <f>IF(A107="","",IF((A107+117)&gt;Model!$B$4,0,MAX(0,Model!$B$6-IF((A107+117)&gt;=Model!$B$11,Model!$B$20,0)-IF(117&lt;Model!$B$15,Model!$B$22,0))/(1-Model!$B$9)/(1+Model!$B$18)^117))</f>
        <v/>
      </c>
      <c r="EB107" s="7">
        <f>IF(A107="","",IF((A107+118)&gt;Model!$B$4,0,MAX(0,Model!$B$6-IF((A107+118)&gt;=Model!$B$11,Model!$B$20,0)-IF(118&lt;Model!$B$15,Model!$B$22,0))/(1-Model!$B$9)/(1+Model!$B$18)^118))</f>
        <v/>
      </c>
      <c r="EC107" s="7">
        <f>IF(A107="","",IF((A107+119)&gt;Model!$B$4,0,MAX(0,Model!$B$6-IF((A107+119)&gt;=Model!$B$11,Model!$B$20,0)-IF(119&lt;Model!$B$15,Model!$B$22,0))/(1-Model!$B$9)/(1+Model!$B$18)^119))</f>
        <v/>
      </c>
      <c r="ED107" s="7">
        <f>IF(A107="","",IF((A107+120)&gt;Model!$B$4,0,MAX(0,Model!$B$6-IF((A107+120)&gt;=Model!$B$11,Model!$B$20,0)-IF(120&lt;Model!$B$15,Model!$B$22,0))/(1-Model!$B$9)/(1+Model!$B$18)^120))</f>
        <v/>
      </c>
    </row>
    <row r="108">
      <c r="A108">
        <f>IF(Model!$B$10+ROW()-2&lt;=Model!$B$4,Model!$B$10+ROW()-2,"")</f>
        <v/>
      </c>
      <c r="B108">
        <f>IF(A108="","",A108-Model!$B$10)</f>
        <v/>
      </c>
      <c r="C108" s="7">
        <f>IF(A108="","",Model!$B$5*(1+Model!$B$18)^B108)</f>
        <v/>
      </c>
      <c r="D108" s="7">
        <f>IF(A108="","",SUM(N108:ED108))</f>
        <v/>
      </c>
      <c r="E108" s="7">
        <f>IF(A108="","",IF(A108&gt;=Model!$B$11,Model!$B$20,0))</f>
        <v/>
      </c>
      <c r="F108" s="7">
        <f>IF(A108="","",IF(Model!$B$15&gt;0,Model!$B$22,0))</f>
        <v/>
      </c>
      <c r="G108" s="7">
        <f>IF(A108="","",E108+F108)</f>
        <v/>
      </c>
      <c r="H108" s="7">
        <f>IF(A108="","",MAX(0,Model!$B$6-G108))</f>
        <v/>
      </c>
      <c r="I108" s="7">
        <f>IF(A108="","",H108/(1-Model!$B$9))</f>
        <v/>
      </c>
      <c r="J108" s="7">
        <f>IF(A108="","",C108-D108)</f>
        <v/>
      </c>
      <c r="K108">
        <f>IF(A108="","",C108&gt;=D108)</f>
        <v/>
      </c>
      <c r="L108" s="7">
        <f>IF(A108="","",IF(A108&gt;=Model!$B$11,Model!$B$19*(1+Model!$B$13)^B108,0))</f>
        <v/>
      </c>
      <c r="M108" s="7">
        <f>IF(A108="","",IF(Model!$B$15&gt;0,Model!$B$21*(1+Model!$B$13)^B108,0))</f>
        <v/>
      </c>
      <c r="N108" s="7">
        <f>IF(A108="","",IF((A108+0)&gt;Model!$B$4,0,MAX(0,Model!$B$6-IF((A108+0)&gt;=Model!$B$11,Model!$B$20,0)-IF(0&lt;Model!$B$15,Model!$B$22,0))/(1-Model!$B$9)/(1+Model!$B$18)^0))</f>
        <v/>
      </c>
      <c r="O108" s="7">
        <f>IF(A108="","",IF((A108+1)&gt;Model!$B$4,0,MAX(0,Model!$B$6-IF((A108+1)&gt;=Model!$B$11,Model!$B$20,0)-IF(1&lt;Model!$B$15,Model!$B$22,0))/(1-Model!$B$9)/(1+Model!$B$18)^1))</f>
        <v/>
      </c>
      <c r="P108" s="7">
        <f>IF(A108="","",IF((A108+2)&gt;Model!$B$4,0,MAX(0,Model!$B$6-IF((A108+2)&gt;=Model!$B$11,Model!$B$20,0)-IF(2&lt;Model!$B$15,Model!$B$22,0))/(1-Model!$B$9)/(1+Model!$B$18)^2))</f>
        <v/>
      </c>
      <c r="Q108" s="7">
        <f>IF(A108="","",IF((A108+3)&gt;Model!$B$4,0,MAX(0,Model!$B$6-IF((A108+3)&gt;=Model!$B$11,Model!$B$20,0)-IF(3&lt;Model!$B$15,Model!$B$22,0))/(1-Model!$B$9)/(1+Model!$B$18)^3))</f>
        <v/>
      </c>
      <c r="R108" s="7">
        <f>IF(A108="","",IF((A108+4)&gt;Model!$B$4,0,MAX(0,Model!$B$6-IF((A108+4)&gt;=Model!$B$11,Model!$B$20,0)-IF(4&lt;Model!$B$15,Model!$B$22,0))/(1-Model!$B$9)/(1+Model!$B$18)^4))</f>
        <v/>
      </c>
      <c r="S108" s="7">
        <f>IF(A108="","",IF((A108+5)&gt;Model!$B$4,0,MAX(0,Model!$B$6-IF((A108+5)&gt;=Model!$B$11,Model!$B$20,0)-IF(5&lt;Model!$B$15,Model!$B$22,0))/(1-Model!$B$9)/(1+Model!$B$18)^5))</f>
        <v/>
      </c>
      <c r="T108" s="7">
        <f>IF(A108="","",IF((A108+6)&gt;Model!$B$4,0,MAX(0,Model!$B$6-IF((A108+6)&gt;=Model!$B$11,Model!$B$20,0)-IF(6&lt;Model!$B$15,Model!$B$22,0))/(1-Model!$B$9)/(1+Model!$B$18)^6))</f>
        <v/>
      </c>
      <c r="U108" s="7">
        <f>IF(A108="","",IF((A108+7)&gt;Model!$B$4,0,MAX(0,Model!$B$6-IF((A108+7)&gt;=Model!$B$11,Model!$B$20,0)-IF(7&lt;Model!$B$15,Model!$B$22,0))/(1-Model!$B$9)/(1+Model!$B$18)^7))</f>
        <v/>
      </c>
      <c r="V108" s="7">
        <f>IF(A108="","",IF((A108+8)&gt;Model!$B$4,0,MAX(0,Model!$B$6-IF((A108+8)&gt;=Model!$B$11,Model!$B$20,0)-IF(8&lt;Model!$B$15,Model!$B$22,0))/(1-Model!$B$9)/(1+Model!$B$18)^8))</f>
        <v/>
      </c>
      <c r="W108" s="7">
        <f>IF(A108="","",IF((A108+9)&gt;Model!$B$4,0,MAX(0,Model!$B$6-IF((A108+9)&gt;=Model!$B$11,Model!$B$20,0)-IF(9&lt;Model!$B$15,Model!$B$22,0))/(1-Model!$B$9)/(1+Model!$B$18)^9))</f>
        <v/>
      </c>
      <c r="X108" s="7">
        <f>IF(A108="","",IF((A108+10)&gt;Model!$B$4,0,MAX(0,Model!$B$6-IF((A108+10)&gt;=Model!$B$11,Model!$B$20,0)-IF(10&lt;Model!$B$15,Model!$B$22,0))/(1-Model!$B$9)/(1+Model!$B$18)^10))</f>
        <v/>
      </c>
      <c r="Y108" s="7">
        <f>IF(A108="","",IF((A108+11)&gt;Model!$B$4,0,MAX(0,Model!$B$6-IF((A108+11)&gt;=Model!$B$11,Model!$B$20,0)-IF(11&lt;Model!$B$15,Model!$B$22,0))/(1-Model!$B$9)/(1+Model!$B$18)^11))</f>
        <v/>
      </c>
      <c r="Z108" s="7">
        <f>IF(A108="","",IF((A108+12)&gt;Model!$B$4,0,MAX(0,Model!$B$6-IF((A108+12)&gt;=Model!$B$11,Model!$B$20,0)-IF(12&lt;Model!$B$15,Model!$B$22,0))/(1-Model!$B$9)/(1+Model!$B$18)^12))</f>
        <v/>
      </c>
      <c r="AA108" s="7">
        <f>IF(A108="","",IF((A108+13)&gt;Model!$B$4,0,MAX(0,Model!$B$6-IF((A108+13)&gt;=Model!$B$11,Model!$B$20,0)-IF(13&lt;Model!$B$15,Model!$B$22,0))/(1-Model!$B$9)/(1+Model!$B$18)^13))</f>
        <v/>
      </c>
      <c r="AB108" s="7">
        <f>IF(A108="","",IF((A108+14)&gt;Model!$B$4,0,MAX(0,Model!$B$6-IF((A108+14)&gt;=Model!$B$11,Model!$B$20,0)-IF(14&lt;Model!$B$15,Model!$B$22,0))/(1-Model!$B$9)/(1+Model!$B$18)^14))</f>
        <v/>
      </c>
      <c r="AC108" s="7">
        <f>IF(A108="","",IF((A108+15)&gt;Model!$B$4,0,MAX(0,Model!$B$6-IF((A108+15)&gt;=Model!$B$11,Model!$B$20,0)-IF(15&lt;Model!$B$15,Model!$B$22,0))/(1-Model!$B$9)/(1+Model!$B$18)^15))</f>
        <v/>
      </c>
      <c r="AD108" s="7">
        <f>IF(A108="","",IF((A108+16)&gt;Model!$B$4,0,MAX(0,Model!$B$6-IF((A108+16)&gt;=Model!$B$11,Model!$B$20,0)-IF(16&lt;Model!$B$15,Model!$B$22,0))/(1-Model!$B$9)/(1+Model!$B$18)^16))</f>
        <v/>
      </c>
      <c r="AE108" s="7">
        <f>IF(A108="","",IF((A108+17)&gt;Model!$B$4,0,MAX(0,Model!$B$6-IF((A108+17)&gt;=Model!$B$11,Model!$B$20,0)-IF(17&lt;Model!$B$15,Model!$B$22,0))/(1-Model!$B$9)/(1+Model!$B$18)^17))</f>
        <v/>
      </c>
      <c r="AF108" s="7">
        <f>IF(A108="","",IF((A108+18)&gt;Model!$B$4,0,MAX(0,Model!$B$6-IF((A108+18)&gt;=Model!$B$11,Model!$B$20,0)-IF(18&lt;Model!$B$15,Model!$B$22,0))/(1-Model!$B$9)/(1+Model!$B$18)^18))</f>
        <v/>
      </c>
      <c r="AG108" s="7">
        <f>IF(A108="","",IF((A108+19)&gt;Model!$B$4,0,MAX(0,Model!$B$6-IF((A108+19)&gt;=Model!$B$11,Model!$B$20,0)-IF(19&lt;Model!$B$15,Model!$B$22,0))/(1-Model!$B$9)/(1+Model!$B$18)^19))</f>
        <v/>
      </c>
      <c r="AH108" s="7">
        <f>IF(A108="","",IF((A108+20)&gt;Model!$B$4,0,MAX(0,Model!$B$6-IF((A108+20)&gt;=Model!$B$11,Model!$B$20,0)-IF(20&lt;Model!$B$15,Model!$B$22,0))/(1-Model!$B$9)/(1+Model!$B$18)^20))</f>
        <v/>
      </c>
      <c r="AI108" s="7">
        <f>IF(A108="","",IF((A108+21)&gt;Model!$B$4,0,MAX(0,Model!$B$6-IF((A108+21)&gt;=Model!$B$11,Model!$B$20,0)-IF(21&lt;Model!$B$15,Model!$B$22,0))/(1-Model!$B$9)/(1+Model!$B$18)^21))</f>
        <v/>
      </c>
      <c r="AJ108" s="7">
        <f>IF(A108="","",IF((A108+22)&gt;Model!$B$4,0,MAX(0,Model!$B$6-IF((A108+22)&gt;=Model!$B$11,Model!$B$20,0)-IF(22&lt;Model!$B$15,Model!$B$22,0))/(1-Model!$B$9)/(1+Model!$B$18)^22))</f>
        <v/>
      </c>
      <c r="AK108" s="7">
        <f>IF(A108="","",IF((A108+23)&gt;Model!$B$4,0,MAX(0,Model!$B$6-IF((A108+23)&gt;=Model!$B$11,Model!$B$20,0)-IF(23&lt;Model!$B$15,Model!$B$22,0))/(1-Model!$B$9)/(1+Model!$B$18)^23))</f>
        <v/>
      </c>
      <c r="AL108" s="7">
        <f>IF(A108="","",IF((A108+24)&gt;Model!$B$4,0,MAX(0,Model!$B$6-IF((A108+24)&gt;=Model!$B$11,Model!$B$20,0)-IF(24&lt;Model!$B$15,Model!$B$22,0))/(1-Model!$B$9)/(1+Model!$B$18)^24))</f>
        <v/>
      </c>
      <c r="AM108" s="7">
        <f>IF(A108="","",IF((A108+25)&gt;Model!$B$4,0,MAX(0,Model!$B$6-IF((A108+25)&gt;=Model!$B$11,Model!$B$20,0)-IF(25&lt;Model!$B$15,Model!$B$22,0))/(1-Model!$B$9)/(1+Model!$B$18)^25))</f>
        <v/>
      </c>
      <c r="AN108" s="7">
        <f>IF(A108="","",IF((A108+26)&gt;Model!$B$4,0,MAX(0,Model!$B$6-IF((A108+26)&gt;=Model!$B$11,Model!$B$20,0)-IF(26&lt;Model!$B$15,Model!$B$22,0))/(1-Model!$B$9)/(1+Model!$B$18)^26))</f>
        <v/>
      </c>
      <c r="AO108" s="7">
        <f>IF(A108="","",IF((A108+27)&gt;Model!$B$4,0,MAX(0,Model!$B$6-IF((A108+27)&gt;=Model!$B$11,Model!$B$20,0)-IF(27&lt;Model!$B$15,Model!$B$22,0))/(1-Model!$B$9)/(1+Model!$B$18)^27))</f>
        <v/>
      </c>
      <c r="AP108" s="7">
        <f>IF(A108="","",IF((A108+28)&gt;Model!$B$4,0,MAX(0,Model!$B$6-IF((A108+28)&gt;=Model!$B$11,Model!$B$20,0)-IF(28&lt;Model!$B$15,Model!$B$22,0))/(1-Model!$B$9)/(1+Model!$B$18)^28))</f>
        <v/>
      </c>
      <c r="AQ108" s="7">
        <f>IF(A108="","",IF((A108+29)&gt;Model!$B$4,0,MAX(0,Model!$B$6-IF((A108+29)&gt;=Model!$B$11,Model!$B$20,0)-IF(29&lt;Model!$B$15,Model!$B$22,0))/(1-Model!$B$9)/(1+Model!$B$18)^29))</f>
        <v/>
      </c>
      <c r="AR108" s="7">
        <f>IF(A108="","",IF((A108+30)&gt;Model!$B$4,0,MAX(0,Model!$B$6-IF((A108+30)&gt;=Model!$B$11,Model!$B$20,0)-IF(30&lt;Model!$B$15,Model!$B$22,0))/(1-Model!$B$9)/(1+Model!$B$18)^30))</f>
        <v/>
      </c>
      <c r="AS108" s="7">
        <f>IF(A108="","",IF((A108+31)&gt;Model!$B$4,0,MAX(0,Model!$B$6-IF((A108+31)&gt;=Model!$B$11,Model!$B$20,0)-IF(31&lt;Model!$B$15,Model!$B$22,0))/(1-Model!$B$9)/(1+Model!$B$18)^31))</f>
        <v/>
      </c>
      <c r="AT108" s="7">
        <f>IF(A108="","",IF((A108+32)&gt;Model!$B$4,0,MAX(0,Model!$B$6-IF((A108+32)&gt;=Model!$B$11,Model!$B$20,0)-IF(32&lt;Model!$B$15,Model!$B$22,0))/(1-Model!$B$9)/(1+Model!$B$18)^32))</f>
        <v/>
      </c>
      <c r="AU108" s="7">
        <f>IF(A108="","",IF((A108+33)&gt;Model!$B$4,0,MAX(0,Model!$B$6-IF((A108+33)&gt;=Model!$B$11,Model!$B$20,0)-IF(33&lt;Model!$B$15,Model!$B$22,0))/(1-Model!$B$9)/(1+Model!$B$18)^33))</f>
        <v/>
      </c>
      <c r="AV108" s="7">
        <f>IF(A108="","",IF((A108+34)&gt;Model!$B$4,0,MAX(0,Model!$B$6-IF((A108+34)&gt;=Model!$B$11,Model!$B$20,0)-IF(34&lt;Model!$B$15,Model!$B$22,0))/(1-Model!$B$9)/(1+Model!$B$18)^34))</f>
        <v/>
      </c>
      <c r="AW108" s="7">
        <f>IF(A108="","",IF((A108+35)&gt;Model!$B$4,0,MAX(0,Model!$B$6-IF((A108+35)&gt;=Model!$B$11,Model!$B$20,0)-IF(35&lt;Model!$B$15,Model!$B$22,0))/(1-Model!$B$9)/(1+Model!$B$18)^35))</f>
        <v/>
      </c>
      <c r="AX108" s="7">
        <f>IF(A108="","",IF((A108+36)&gt;Model!$B$4,0,MAX(0,Model!$B$6-IF((A108+36)&gt;=Model!$B$11,Model!$B$20,0)-IF(36&lt;Model!$B$15,Model!$B$22,0))/(1-Model!$B$9)/(1+Model!$B$18)^36))</f>
        <v/>
      </c>
      <c r="AY108" s="7">
        <f>IF(A108="","",IF((A108+37)&gt;Model!$B$4,0,MAX(0,Model!$B$6-IF((A108+37)&gt;=Model!$B$11,Model!$B$20,0)-IF(37&lt;Model!$B$15,Model!$B$22,0))/(1-Model!$B$9)/(1+Model!$B$18)^37))</f>
        <v/>
      </c>
      <c r="AZ108" s="7">
        <f>IF(A108="","",IF((A108+38)&gt;Model!$B$4,0,MAX(0,Model!$B$6-IF((A108+38)&gt;=Model!$B$11,Model!$B$20,0)-IF(38&lt;Model!$B$15,Model!$B$22,0))/(1-Model!$B$9)/(1+Model!$B$18)^38))</f>
        <v/>
      </c>
      <c r="BA108" s="7">
        <f>IF(A108="","",IF((A108+39)&gt;Model!$B$4,0,MAX(0,Model!$B$6-IF((A108+39)&gt;=Model!$B$11,Model!$B$20,0)-IF(39&lt;Model!$B$15,Model!$B$22,0))/(1-Model!$B$9)/(1+Model!$B$18)^39))</f>
        <v/>
      </c>
      <c r="BB108" s="7">
        <f>IF(A108="","",IF((A108+40)&gt;Model!$B$4,0,MAX(0,Model!$B$6-IF((A108+40)&gt;=Model!$B$11,Model!$B$20,0)-IF(40&lt;Model!$B$15,Model!$B$22,0))/(1-Model!$B$9)/(1+Model!$B$18)^40))</f>
        <v/>
      </c>
      <c r="BC108" s="7">
        <f>IF(A108="","",IF((A108+41)&gt;Model!$B$4,0,MAX(0,Model!$B$6-IF((A108+41)&gt;=Model!$B$11,Model!$B$20,0)-IF(41&lt;Model!$B$15,Model!$B$22,0))/(1-Model!$B$9)/(1+Model!$B$18)^41))</f>
        <v/>
      </c>
      <c r="BD108" s="7">
        <f>IF(A108="","",IF((A108+42)&gt;Model!$B$4,0,MAX(0,Model!$B$6-IF((A108+42)&gt;=Model!$B$11,Model!$B$20,0)-IF(42&lt;Model!$B$15,Model!$B$22,0))/(1-Model!$B$9)/(1+Model!$B$18)^42))</f>
        <v/>
      </c>
      <c r="BE108" s="7">
        <f>IF(A108="","",IF((A108+43)&gt;Model!$B$4,0,MAX(0,Model!$B$6-IF((A108+43)&gt;=Model!$B$11,Model!$B$20,0)-IF(43&lt;Model!$B$15,Model!$B$22,0))/(1-Model!$B$9)/(1+Model!$B$18)^43))</f>
        <v/>
      </c>
      <c r="BF108" s="7">
        <f>IF(A108="","",IF((A108+44)&gt;Model!$B$4,0,MAX(0,Model!$B$6-IF((A108+44)&gt;=Model!$B$11,Model!$B$20,0)-IF(44&lt;Model!$B$15,Model!$B$22,0))/(1-Model!$B$9)/(1+Model!$B$18)^44))</f>
        <v/>
      </c>
      <c r="BG108" s="7">
        <f>IF(A108="","",IF((A108+45)&gt;Model!$B$4,0,MAX(0,Model!$B$6-IF((A108+45)&gt;=Model!$B$11,Model!$B$20,0)-IF(45&lt;Model!$B$15,Model!$B$22,0))/(1-Model!$B$9)/(1+Model!$B$18)^45))</f>
        <v/>
      </c>
      <c r="BH108" s="7">
        <f>IF(A108="","",IF((A108+46)&gt;Model!$B$4,0,MAX(0,Model!$B$6-IF((A108+46)&gt;=Model!$B$11,Model!$B$20,0)-IF(46&lt;Model!$B$15,Model!$B$22,0))/(1-Model!$B$9)/(1+Model!$B$18)^46))</f>
        <v/>
      </c>
      <c r="BI108" s="7">
        <f>IF(A108="","",IF((A108+47)&gt;Model!$B$4,0,MAX(0,Model!$B$6-IF((A108+47)&gt;=Model!$B$11,Model!$B$20,0)-IF(47&lt;Model!$B$15,Model!$B$22,0))/(1-Model!$B$9)/(1+Model!$B$18)^47))</f>
        <v/>
      </c>
      <c r="BJ108" s="7">
        <f>IF(A108="","",IF((A108+48)&gt;Model!$B$4,0,MAX(0,Model!$B$6-IF((A108+48)&gt;=Model!$B$11,Model!$B$20,0)-IF(48&lt;Model!$B$15,Model!$B$22,0))/(1-Model!$B$9)/(1+Model!$B$18)^48))</f>
        <v/>
      </c>
      <c r="BK108" s="7">
        <f>IF(A108="","",IF((A108+49)&gt;Model!$B$4,0,MAX(0,Model!$B$6-IF((A108+49)&gt;=Model!$B$11,Model!$B$20,0)-IF(49&lt;Model!$B$15,Model!$B$22,0))/(1-Model!$B$9)/(1+Model!$B$18)^49))</f>
        <v/>
      </c>
      <c r="BL108" s="7">
        <f>IF(A108="","",IF((A108+50)&gt;Model!$B$4,0,MAX(0,Model!$B$6-IF((A108+50)&gt;=Model!$B$11,Model!$B$20,0)-IF(50&lt;Model!$B$15,Model!$B$22,0))/(1-Model!$B$9)/(1+Model!$B$18)^50))</f>
        <v/>
      </c>
      <c r="BM108" s="7">
        <f>IF(A108="","",IF((A108+51)&gt;Model!$B$4,0,MAX(0,Model!$B$6-IF((A108+51)&gt;=Model!$B$11,Model!$B$20,0)-IF(51&lt;Model!$B$15,Model!$B$22,0))/(1-Model!$B$9)/(1+Model!$B$18)^51))</f>
        <v/>
      </c>
      <c r="BN108" s="7">
        <f>IF(A108="","",IF((A108+52)&gt;Model!$B$4,0,MAX(0,Model!$B$6-IF((A108+52)&gt;=Model!$B$11,Model!$B$20,0)-IF(52&lt;Model!$B$15,Model!$B$22,0))/(1-Model!$B$9)/(1+Model!$B$18)^52))</f>
        <v/>
      </c>
      <c r="BO108" s="7">
        <f>IF(A108="","",IF((A108+53)&gt;Model!$B$4,0,MAX(0,Model!$B$6-IF((A108+53)&gt;=Model!$B$11,Model!$B$20,0)-IF(53&lt;Model!$B$15,Model!$B$22,0))/(1-Model!$B$9)/(1+Model!$B$18)^53))</f>
        <v/>
      </c>
      <c r="BP108" s="7">
        <f>IF(A108="","",IF((A108+54)&gt;Model!$B$4,0,MAX(0,Model!$B$6-IF((A108+54)&gt;=Model!$B$11,Model!$B$20,0)-IF(54&lt;Model!$B$15,Model!$B$22,0))/(1-Model!$B$9)/(1+Model!$B$18)^54))</f>
        <v/>
      </c>
      <c r="BQ108" s="7">
        <f>IF(A108="","",IF((A108+55)&gt;Model!$B$4,0,MAX(0,Model!$B$6-IF((A108+55)&gt;=Model!$B$11,Model!$B$20,0)-IF(55&lt;Model!$B$15,Model!$B$22,0))/(1-Model!$B$9)/(1+Model!$B$18)^55))</f>
        <v/>
      </c>
      <c r="BR108" s="7">
        <f>IF(A108="","",IF((A108+56)&gt;Model!$B$4,0,MAX(0,Model!$B$6-IF((A108+56)&gt;=Model!$B$11,Model!$B$20,0)-IF(56&lt;Model!$B$15,Model!$B$22,0))/(1-Model!$B$9)/(1+Model!$B$18)^56))</f>
        <v/>
      </c>
      <c r="BS108" s="7">
        <f>IF(A108="","",IF((A108+57)&gt;Model!$B$4,0,MAX(0,Model!$B$6-IF((A108+57)&gt;=Model!$B$11,Model!$B$20,0)-IF(57&lt;Model!$B$15,Model!$B$22,0))/(1-Model!$B$9)/(1+Model!$B$18)^57))</f>
        <v/>
      </c>
      <c r="BT108" s="7">
        <f>IF(A108="","",IF((A108+58)&gt;Model!$B$4,0,MAX(0,Model!$B$6-IF((A108+58)&gt;=Model!$B$11,Model!$B$20,0)-IF(58&lt;Model!$B$15,Model!$B$22,0))/(1-Model!$B$9)/(1+Model!$B$18)^58))</f>
        <v/>
      </c>
      <c r="BU108" s="7">
        <f>IF(A108="","",IF((A108+59)&gt;Model!$B$4,0,MAX(0,Model!$B$6-IF((A108+59)&gt;=Model!$B$11,Model!$B$20,0)-IF(59&lt;Model!$B$15,Model!$B$22,0))/(1-Model!$B$9)/(1+Model!$B$18)^59))</f>
        <v/>
      </c>
      <c r="BV108" s="7">
        <f>IF(A108="","",IF((A108+60)&gt;Model!$B$4,0,MAX(0,Model!$B$6-IF((A108+60)&gt;=Model!$B$11,Model!$B$20,0)-IF(60&lt;Model!$B$15,Model!$B$22,0))/(1-Model!$B$9)/(1+Model!$B$18)^60))</f>
        <v/>
      </c>
      <c r="BW108" s="7">
        <f>IF(A108="","",IF((A108+61)&gt;Model!$B$4,0,MAX(0,Model!$B$6-IF((A108+61)&gt;=Model!$B$11,Model!$B$20,0)-IF(61&lt;Model!$B$15,Model!$B$22,0))/(1-Model!$B$9)/(1+Model!$B$18)^61))</f>
        <v/>
      </c>
      <c r="BX108" s="7">
        <f>IF(A108="","",IF((A108+62)&gt;Model!$B$4,0,MAX(0,Model!$B$6-IF((A108+62)&gt;=Model!$B$11,Model!$B$20,0)-IF(62&lt;Model!$B$15,Model!$B$22,0))/(1-Model!$B$9)/(1+Model!$B$18)^62))</f>
        <v/>
      </c>
      <c r="BY108" s="7">
        <f>IF(A108="","",IF((A108+63)&gt;Model!$B$4,0,MAX(0,Model!$B$6-IF((A108+63)&gt;=Model!$B$11,Model!$B$20,0)-IF(63&lt;Model!$B$15,Model!$B$22,0))/(1-Model!$B$9)/(1+Model!$B$18)^63))</f>
        <v/>
      </c>
      <c r="BZ108" s="7">
        <f>IF(A108="","",IF((A108+64)&gt;Model!$B$4,0,MAX(0,Model!$B$6-IF((A108+64)&gt;=Model!$B$11,Model!$B$20,0)-IF(64&lt;Model!$B$15,Model!$B$22,0))/(1-Model!$B$9)/(1+Model!$B$18)^64))</f>
        <v/>
      </c>
      <c r="CA108" s="7">
        <f>IF(A108="","",IF((A108+65)&gt;Model!$B$4,0,MAX(0,Model!$B$6-IF((A108+65)&gt;=Model!$B$11,Model!$B$20,0)-IF(65&lt;Model!$B$15,Model!$B$22,0))/(1-Model!$B$9)/(1+Model!$B$18)^65))</f>
        <v/>
      </c>
      <c r="CB108" s="7">
        <f>IF(A108="","",IF((A108+66)&gt;Model!$B$4,0,MAX(0,Model!$B$6-IF((A108+66)&gt;=Model!$B$11,Model!$B$20,0)-IF(66&lt;Model!$B$15,Model!$B$22,0))/(1-Model!$B$9)/(1+Model!$B$18)^66))</f>
        <v/>
      </c>
      <c r="CC108" s="7">
        <f>IF(A108="","",IF((A108+67)&gt;Model!$B$4,0,MAX(0,Model!$B$6-IF((A108+67)&gt;=Model!$B$11,Model!$B$20,0)-IF(67&lt;Model!$B$15,Model!$B$22,0))/(1-Model!$B$9)/(1+Model!$B$18)^67))</f>
        <v/>
      </c>
      <c r="CD108" s="7">
        <f>IF(A108="","",IF((A108+68)&gt;Model!$B$4,0,MAX(0,Model!$B$6-IF((A108+68)&gt;=Model!$B$11,Model!$B$20,0)-IF(68&lt;Model!$B$15,Model!$B$22,0))/(1-Model!$B$9)/(1+Model!$B$18)^68))</f>
        <v/>
      </c>
      <c r="CE108" s="7">
        <f>IF(A108="","",IF((A108+69)&gt;Model!$B$4,0,MAX(0,Model!$B$6-IF((A108+69)&gt;=Model!$B$11,Model!$B$20,0)-IF(69&lt;Model!$B$15,Model!$B$22,0))/(1-Model!$B$9)/(1+Model!$B$18)^69))</f>
        <v/>
      </c>
      <c r="CF108" s="7">
        <f>IF(A108="","",IF((A108+70)&gt;Model!$B$4,0,MAX(0,Model!$B$6-IF((A108+70)&gt;=Model!$B$11,Model!$B$20,0)-IF(70&lt;Model!$B$15,Model!$B$22,0))/(1-Model!$B$9)/(1+Model!$B$18)^70))</f>
        <v/>
      </c>
      <c r="CG108" s="7">
        <f>IF(A108="","",IF((A108+71)&gt;Model!$B$4,0,MAX(0,Model!$B$6-IF((A108+71)&gt;=Model!$B$11,Model!$B$20,0)-IF(71&lt;Model!$B$15,Model!$B$22,0))/(1-Model!$B$9)/(1+Model!$B$18)^71))</f>
        <v/>
      </c>
      <c r="CH108" s="7">
        <f>IF(A108="","",IF((A108+72)&gt;Model!$B$4,0,MAX(0,Model!$B$6-IF((A108+72)&gt;=Model!$B$11,Model!$B$20,0)-IF(72&lt;Model!$B$15,Model!$B$22,0))/(1-Model!$B$9)/(1+Model!$B$18)^72))</f>
        <v/>
      </c>
      <c r="CI108" s="7">
        <f>IF(A108="","",IF((A108+73)&gt;Model!$B$4,0,MAX(0,Model!$B$6-IF((A108+73)&gt;=Model!$B$11,Model!$B$20,0)-IF(73&lt;Model!$B$15,Model!$B$22,0))/(1-Model!$B$9)/(1+Model!$B$18)^73))</f>
        <v/>
      </c>
      <c r="CJ108" s="7">
        <f>IF(A108="","",IF((A108+74)&gt;Model!$B$4,0,MAX(0,Model!$B$6-IF((A108+74)&gt;=Model!$B$11,Model!$B$20,0)-IF(74&lt;Model!$B$15,Model!$B$22,0))/(1-Model!$B$9)/(1+Model!$B$18)^74))</f>
        <v/>
      </c>
      <c r="CK108" s="7">
        <f>IF(A108="","",IF((A108+75)&gt;Model!$B$4,0,MAX(0,Model!$B$6-IF((A108+75)&gt;=Model!$B$11,Model!$B$20,0)-IF(75&lt;Model!$B$15,Model!$B$22,0))/(1-Model!$B$9)/(1+Model!$B$18)^75))</f>
        <v/>
      </c>
      <c r="CL108" s="7">
        <f>IF(A108="","",IF((A108+76)&gt;Model!$B$4,0,MAX(0,Model!$B$6-IF((A108+76)&gt;=Model!$B$11,Model!$B$20,0)-IF(76&lt;Model!$B$15,Model!$B$22,0))/(1-Model!$B$9)/(1+Model!$B$18)^76))</f>
        <v/>
      </c>
      <c r="CM108" s="7">
        <f>IF(A108="","",IF((A108+77)&gt;Model!$B$4,0,MAX(0,Model!$B$6-IF((A108+77)&gt;=Model!$B$11,Model!$B$20,0)-IF(77&lt;Model!$B$15,Model!$B$22,0))/(1-Model!$B$9)/(1+Model!$B$18)^77))</f>
        <v/>
      </c>
      <c r="CN108" s="7">
        <f>IF(A108="","",IF((A108+78)&gt;Model!$B$4,0,MAX(0,Model!$B$6-IF((A108+78)&gt;=Model!$B$11,Model!$B$20,0)-IF(78&lt;Model!$B$15,Model!$B$22,0))/(1-Model!$B$9)/(1+Model!$B$18)^78))</f>
        <v/>
      </c>
      <c r="CO108" s="7">
        <f>IF(A108="","",IF((A108+79)&gt;Model!$B$4,0,MAX(0,Model!$B$6-IF((A108+79)&gt;=Model!$B$11,Model!$B$20,0)-IF(79&lt;Model!$B$15,Model!$B$22,0))/(1-Model!$B$9)/(1+Model!$B$18)^79))</f>
        <v/>
      </c>
      <c r="CP108" s="7">
        <f>IF(A108="","",IF((A108+80)&gt;Model!$B$4,0,MAX(0,Model!$B$6-IF((A108+80)&gt;=Model!$B$11,Model!$B$20,0)-IF(80&lt;Model!$B$15,Model!$B$22,0))/(1-Model!$B$9)/(1+Model!$B$18)^80))</f>
        <v/>
      </c>
      <c r="CQ108" s="7">
        <f>IF(A108="","",IF((A108+81)&gt;Model!$B$4,0,MAX(0,Model!$B$6-IF((A108+81)&gt;=Model!$B$11,Model!$B$20,0)-IF(81&lt;Model!$B$15,Model!$B$22,0))/(1-Model!$B$9)/(1+Model!$B$18)^81))</f>
        <v/>
      </c>
      <c r="CR108" s="7">
        <f>IF(A108="","",IF((A108+82)&gt;Model!$B$4,0,MAX(0,Model!$B$6-IF((A108+82)&gt;=Model!$B$11,Model!$B$20,0)-IF(82&lt;Model!$B$15,Model!$B$22,0))/(1-Model!$B$9)/(1+Model!$B$18)^82))</f>
        <v/>
      </c>
      <c r="CS108" s="7">
        <f>IF(A108="","",IF((A108+83)&gt;Model!$B$4,0,MAX(0,Model!$B$6-IF((A108+83)&gt;=Model!$B$11,Model!$B$20,0)-IF(83&lt;Model!$B$15,Model!$B$22,0))/(1-Model!$B$9)/(1+Model!$B$18)^83))</f>
        <v/>
      </c>
      <c r="CT108" s="7">
        <f>IF(A108="","",IF((A108+84)&gt;Model!$B$4,0,MAX(0,Model!$B$6-IF((A108+84)&gt;=Model!$B$11,Model!$B$20,0)-IF(84&lt;Model!$B$15,Model!$B$22,0))/(1-Model!$B$9)/(1+Model!$B$18)^84))</f>
        <v/>
      </c>
      <c r="CU108" s="7">
        <f>IF(A108="","",IF((A108+85)&gt;Model!$B$4,0,MAX(0,Model!$B$6-IF((A108+85)&gt;=Model!$B$11,Model!$B$20,0)-IF(85&lt;Model!$B$15,Model!$B$22,0))/(1-Model!$B$9)/(1+Model!$B$18)^85))</f>
        <v/>
      </c>
      <c r="CV108" s="7">
        <f>IF(A108="","",IF((A108+86)&gt;Model!$B$4,0,MAX(0,Model!$B$6-IF((A108+86)&gt;=Model!$B$11,Model!$B$20,0)-IF(86&lt;Model!$B$15,Model!$B$22,0))/(1-Model!$B$9)/(1+Model!$B$18)^86))</f>
        <v/>
      </c>
      <c r="CW108" s="7">
        <f>IF(A108="","",IF((A108+87)&gt;Model!$B$4,0,MAX(0,Model!$B$6-IF((A108+87)&gt;=Model!$B$11,Model!$B$20,0)-IF(87&lt;Model!$B$15,Model!$B$22,0))/(1-Model!$B$9)/(1+Model!$B$18)^87))</f>
        <v/>
      </c>
      <c r="CX108" s="7">
        <f>IF(A108="","",IF((A108+88)&gt;Model!$B$4,0,MAX(0,Model!$B$6-IF((A108+88)&gt;=Model!$B$11,Model!$B$20,0)-IF(88&lt;Model!$B$15,Model!$B$22,0))/(1-Model!$B$9)/(1+Model!$B$18)^88))</f>
        <v/>
      </c>
      <c r="CY108" s="7">
        <f>IF(A108="","",IF((A108+89)&gt;Model!$B$4,0,MAX(0,Model!$B$6-IF((A108+89)&gt;=Model!$B$11,Model!$B$20,0)-IF(89&lt;Model!$B$15,Model!$B$22,0))/(1-Model!$B$9)/(1+Model!$B$18)^89))</f>
        <v/>
      </c>
      <c r="CZ108" s="7">
        <f>IF(A108="","",IF((A108+90)&gt;Model!$B$4,0,MAX(0,Model!$B$6-IF((A108+90)&gt;=Model!$B$11,Model!$B$20,0)-IF(90&lt;Model!$B$15,Model!$B$22,0))/(1-Model!$B$9)/(1+Model!$B$18)^90))</f>
        <v/>
      </c>
      <c r="DA108" s="7">
        <f>IF(A108="","",IF((A108+91)&gt;Model!$B$4,0,MAX(0,Model!$B$6-IF((A108+91)&gt;=Model!$B$11,Model!$B$20,0)-IF(91&lt;Model!$B$15,Model!$B$22,0))/(1-Model!$B$9)/(1+Model!$B$18)^91))</f>
        <v/>
      </c>
      <c r="DB108" s="7">
        <f>IF(A108="","",IF((A108+92)&gt;Model!$B$4,0,MAX(0,Model!$B$6-IF((A108+92)&gt;=Model!$B$11,Model!$B$20,0)-IF(92&lt;Model!$B$15,Model!$B$22,0))/(1-Model!$B$9)/(1+Model!$B$18)^92))</f>
        <v/>
      </c>
      <c r="DC108" s="7">
        <f>IF(A108="","",IF((A108+93)&gt;Model!$B$4,0,MAX(0,Model!$B$6-IF((A108+93)&gt;=Model!$B$11,Model!$B$20,0)-IF(93&lt;Model!$B$15,Model!$B$22,0))/(1-Model!$B$9)/(1+Model!$B$18)^93))</f>
        <v/>
      </c>
      <c r="DD108" s="7">
        <f>IF(A108="","",IF((A108+94)&gt;Model!$B$4,0,MAX(0,Model!$B$6-IF((A108+94)&gt;=Model!$B$11,Model!$B$20,0)-IF(94&lt;Model!$B$15,Model!$B$22,0))/(1-Model!$B$9)/(1+Model!$B$18)^94))</f>
        <v/>
      </c>
      <c r="DE108" s="7">
        <f>IF(A108="","",IF((A108+95)&gt;Model!$B$4,0,MAX(0,Model!$B$6-IF((A108+95)&gt;=Model!$B$11,Model!$B$20,0)-IF(95&lt;Model!$B$15,Model!$B$22,0))/(1-Model!$B$9)/(1+Model!$B$18)^95))</f>
        <v/>
      </c>
      <c r="DF108" s="7">
        <f>IF(A108="","",IF((A108+96)&gt;Model!$B$4,0,MAX(0,Model!$B$6-IF((A108+96)&gt;=Model!$B$11,Model!$B$20,0)-IF(96&lt;Model!$B$15,Model!$B$22,0))/(1-Model!$B$9)/(1+Model!$B$18)^96))</f>
        <v/>
      </c>
      <c r="DG108" s="7">
        <f>IF(A108="","",IF((A108+97)&gt;Model!$B$4,0,MAX(0,Model!$B$6-IF((A108+97)&gt;=Model!$B$11,Model!$B$20,0)-IF(97&lt;Model!$B$15,Model!$B$22,0))/(1-Model!$B$9)/(1+Model!$B$18)^97))</f>
        <v/>
      </c>
      <c r="DH108" s="7">
        <f>IF(A108="","",IF((A108+98)&gt;Model!$B$4,0,MAX(0,Model!$B$6-IF((A108+98)&gt;=Model!$B$11,Model!$B$20,0)-IF(98&lt;Model!$B$15,Model!$B$22,0))/(1-Model!$B$9)/(1+Model!$B$18)^98))</f>
        <v/>
      </c>
      <c r="DI108" s="7">
        <f>IF(A108="","",IF((A108+99)&gt;Model!$B$4,0,MAX(0,Model!$B$6-IF((A108+99)&gt;=Model!$B$11,Model!$B$20,0)-IF(99&lt;Model!$B$15,Model!$B$22,0))/(1-Model!$B$9)/(1+Model!$B$18)^99))</f>
        <v/>
      </c>
      <c r="DJ108" s="7">
        <f>IF(A108="","",IF((A108+100)&gt;Model!$B$4,0,MAX(0,Model!$B$6-IF((A108+100)&gt;=Model!$B$11,Model!$B$20,0)-IF(100&lt;Model!$B$15,Model!$B$22,0))/(1-Model!$B$9)/(1+Model!$B$18)^100))</f>
        <v/>
      </c>
      <c r="DK108" s="7">
        <f>IF(A108="","",IF((A108+101)&gt;Model!$B$4,0,MAX(0,Model!$B$6-IF((A108+101)&gt;=Model!$B$11,Model!$B$20,0)-IF(101&lt;Model!$B$15,Model!$B$22,0))/(1-Model!$B$9)/(1+Model!$B$18)^101))</f>
        <v/>
      </c>
      <c r="DL108" s="7">
        <f>IF(A108="","",IF((A108+102)&gt;Model!$B$4,0,MAX(0,Model!$B$6-IF((A108+102)&gt;=Model!$B$11,Model!$B$20,0)-IF(102&lt;Model!$B$15,Model!$B$22,0))/(1-Model!$B$9)/(1+Model!$B$18)^102))</f>
        <v/>
      </c>
      <c r="DM108" s="7">
        <f>IF(A108="","",IF((A108+103)&gt;Model!$B$4,0,MAX(0,Model!$B$6-IF((A108+103)&gt;=Model!$B$11,Model!$B$20,0)-IF(103&lt;Model!$B$15,Model!$B$22,0))/(1-Model!$B$9)/(1+Model!$B$18)^103))</f>
        <v/>
      </c>
      <c r="DN108" s="7">
        <f>IF(A108="","",IF((A108+104)&gt;Model!$B$4,0,MAX(0,Model!$B$6-IF((A108+104)&gt;=Model!$B$11,Model!$B$20,0)-IF(104&lt;Model!$B$15,Model!$B$22,0))/(1-Model!$B$9)/(1+Model!$B$18)^104))</f>
        <v/>
      </c>
      <c r="DO108" s="7">
        <f>IF(A108="","",IF((A108+105)&gt;Model!$B$4,0,MAX(0,Model!$B$6-IF((A108+105)&gt;=Model!$B$11,Model!$B$20,0)-IF(105&lt;Model!$B$15,Model!$B$22,0))/(1-Model!$B$9)/(1+Model!$B$18)^105))</f>
        <v/>
      </c>
      <c r="DP108" s="7">
        <f>IF(A108="","",IF((A108+106)&gt;Model!$B$4,0,MAX(0,Model!$B$6-IF((A108+106)&gt;=Model!$B$11,Model!$B$20,0)-IF(106&lt;Model!$B$15,Model!$B$22,0))/(1-Model!$B$9)/(1+Model!$B$18)^106))</f>
        <v/>
      </c>
      <c r="DQ108" s="7">
        <f>IF(A108="","",IF((A108+107)&gt;Model!$B$4,0,MAX(0,Model!$B$6-IF((A108+107)&gt;=Model!$B$11,Model!$B$20,0)-IF(107&lt;Model!$B$15,Model!$B$22,0))/(1-Model!$B$9)/(1+Model!$B$18)^107))</f>
        <v/>
      </c>
      <c r="DR108" s="7">
        <f>IF(A108="","",IF((A108+108)&gt;Model!$B$4,0,MAX(0,Model!$B$6-IF((A108+108)&gt;=Model!$B$11,Model!$B$20,0)-IF(108&lt;Model!$B$15,Model!$B$22,0))/(1-Model!$B$9)/(1+Model!$B$18)^108))</f>
        <v/>
      </c>
      <c r="DS108" s="7">
        <f>IF(A108="","",IF((A108+109)&gt;Model!$B$4,0,MAX(0,Model!$B$6-IF((A108+109)&gt;=Model!$B$11,Model!$B$20,0)-IF(109&lt;Model!$B$15,Model!$B$22,0))/(1-Model!$B$9)/(1+Model!$B$18)^109))</f>
        <v/>
      </c>
      <c r="DT108" s="7">
        <f>IF(A108="","",IF((A108+110)&gt;Model!$B$4,0,MAX(0,Model!$B$6-IF((A108+110)&gt;=Model!$B$11,Model!$B$20,0)-IF(110&lt;Model!$B$15,Model!$B$22,0))/(1-Model!$B$9)/(1+Model!$B$18)^110))</f>
        <v/>
      </c>
      <c r="DU108" s="7">
        <f>IF(A108="","",IF((A108+111)&gt;Model!$B$4,0,MAX(0,Model!$B$6-IF((A108+111)&gt;=Model!$B$11,Model!$B$20,0)-IF(111&lt;Model!$B$15,Model!$B$22,0))/(1-Model!$B$9)/(1+Model!$B$18)^111))</f>
        <v/>
      </c>
      <c r="DV108" s="7">
        <f>IF(A108="","",IF((A108+112)&gt;Model!$B$4,0,MAX(0,Model!$B$6-IF((A108+112)&gt;=Model!$B$11,Model!$B$20,0)-IF(112&lt;Model!$B$15,Model!$B$22,0))/(1-Model!$B$9)/(1+Model!$B$18)^112))</f>
        <v/>
      </c>
      <c r="DW108" s="7">
        <f>IF(A108="","",IF((A108+113)&gt;Model!$B$4,0,MAX(0,Model!$B$6-IF((A108+113)&gt;=Model!$B$11,Model!$B$20,0)-IF(113&lt;Model!$B$15,Model!$B$22,0))/(1-Model!$B$9)/(1+Model!$B$18)^113))</f>
        <v/>
      </c>
      <c r="DX108" s="7">
        <f>IF(A108="","",IF((A108+114)&gt;Model!$B$4,0,MAX(0,Model!$B$6-IF((A108+114)&gt;=Model!$B$11,Model!$B$20,0)-IF(114&lt;Model!$B$15,Model!$B$22,0))/(1-Model!$B$9)/(1+Model!$B$18)^114))</f>
        <v/>
      </c>
      <c r="DY108" s="7">
        <f>IF(A108="","",IF((A108+115)&gt;Model!$B$4,0,MAX(0,Model!$B$6-IF((A108+115)&gt;=Model!$B$11,Model!$B$20,0)-IF(115&lt;Model!$B$15,Model!$B$22,0))/(1-Model!$B$9)/(1+Model!$B$18)^115))</f>
        <v/>
      </c>
      <c r="DZ108" s="7">
        <f>IF(A108="","",IF((A108+116)&gt;Model!$B$4,0,MAX(0,Model!$B$6-IF((A108+116)&gt;=Model!$B$11,Model!$B$20,0)-IF(116&lt;Model!$B$15,Model!$B$22,0))/(1-Model!$B$9)/(1+Model!$B$18)^116))</f>
        <v/>
      </c>
      <c r="EA108" s="7">
        <f>IF(A108="","",IF((A108+117)&gt;Model!$B$4,0,MAX(0,Model!$B$6-IF((A108+117)&gt;=Model!$B$11,Model!$B$20,0)-IF(117&lt;Model!$B$15,Model!$B$22,0))/(1-Model!$B$9)/(1+Model!$B$18)^117))</f>
        <v/>
      </c>
      <c r="EB108" s="7">
        <f>IF(A108="","",IF((A108+118)&gt;Model!$B$4,0,MAX(0,Model!$B$6-IF((A108+118)&gt;=Model!$B$11,Model!$B$20,0)-IF(118&lt;Model!$B$15,Model!$B$22,0))/(1-Model!$B$9)/(1+Model!$B$18)^118))</f>
        <v/>
      </c>
      <c r="EC108" s="7">
        <f>IF(A108="","",IF((A108+119)&gt;Model!$B$4,0,MAX(0,Model!$B$6-IF((A108+119)&gt;=Model!$B$11,Model!$B$20,0)-IF(119&lt;Model!$B$15,Model!$B$22,0))/(1-Model!$B$9)/(1+Model!$B$18)^119))</f>
        <v/>
      </c>
      <c r="ED108" s="7">
        <f>IF(A108="","",IF((A108+120)&gt;Model!$B$4,0,MAX(0,Model!$B$6-IF((A108+120)&gt;=Model!$B$11,Model!$B$20,0)-IF(120&lt;Model!$B$15,Model!$B$22,0))/(1-Model!$B$9)/(1+Model!$B$18)^120))</f>
        <v/>
      </c>
    </row>
    <row r="109">
      <c r="A109">
        <f>IF(Model!$B$10+ROW()-2&lt;=Model!$B$4,Model!$B$10+ROW()-2,"")</f>
        <v/>
      </c>
      <c r="B109">
        <f>IF(A109="","",A109-Model!$B$10)</f>
        <v/>
      </c>
      <c r="C109" s="7">
        <f>IF(A109="","",Model!$B$5*(1+Model!$B$18)^B109)</f>
        <v/>
      </c>
      <c r="D109" s="7">
        <f>IF(A109="","",SUM(N109:ED109))</f>
        <v/>
      </c>
      <c r="E109" s="7">
        <f>IF(A109="","",IF(A109&gt;=Model!$B$11,Model!$B$20,0))</f>
        <v/>
      </c>
      <c r="F109" s="7">
        <f>IF(A109="","",IF(Model!$B$15&gt;0,Model!$B$22,0))</f>
        <v/>
      </c>
      <c r="G109" s="7">
        <f>IF(A109="","",E109+F109)</f>
        <v/>
      </c>
      <c r="H109" s="7">
        <f>IF(A109="","",MAX(0,Model!$B$6-G109))</f>
        <v/>
      </c>
      <c r="I109" s="7">
        <f>IF(A109="","",H109/(1-Model!$B$9))</f>
        <v/>
      </c>
      <c r="J109" s="7">
        <f>IF(A109="","",C109-D109)</f>
        <v/>
      </c>
      <c r="K109">
        <f>IF(A109="","",C109&gt;=D109)</f>
        <v/>
      </c>
      <c r="L109" s="7">
        <f>IF(A109="","",IF(A109&gt;=Model!$B$11,Model!$B$19*(1+Model!$B$13)^B109,0))</f>
        <v/>
      </c>
      <c r="M109" s="7">
        <f>IF(A109="","",IF(Model!$B$15&gt;0,Model!$B$21*(1+Model!$B$13)^B109,0))</f>
        <v/>
      </c>
      <c r="N109" s="7">
        <f>IF(A109="","",IF((A109+0)&gt;Model!$B$4,0,MAX(0,Model!$B$6-IF((A109+0)&gt;=Model!$B$11,Model!$B$20,0)-IF(0&lt;Model!$B$15,Model!$B$22,0))/(1-Model!$B$9)/(1+Model!$B$18)^0))</f>
        <v/>
      </c>
      <c r="O109" s="7">
        <f>IF(A109="","",IF((A109+1)&gt;Model!$B$4,0,MAX(0,Model!$B$6-IF((A109+1)&gt;=Model!$B$11,Model!$B$20,0)-IF(1&lt;Model!$B$15,Model!$B$22,0))/(1-Model!$B$9)/(1+Model!$B$18)^1))</f>
        <v/>
      </c>
      <c r="P109" s="7">
        <f>IF(A109="","",IF((A109+2)&gt;Model!$B$4,0,MAX(0,Model!$B$6-IF((A109+2)&gt;=Model!$B$11,Model!$B$20,0)-IF(2&lt;Model!$B$15,Model!$B$22,0))/(1-Model!$B$9)/(1+Model!$B$18)^2))</f>
        <v/>
      </c>
      <c r="Q109" s="7">
        <f>IF(A109="","",IF((A109+3)&gt;Model!$B$4,0,MAX(0,Model!$B$6-IF((A109+3)&gt;=Model!$B$11,Model!$B$20,0)-IF(3&lt;Model!$B$15,Model!$B$22,0))/(1-Model!$B$9)/(1+Model!$B$18)^3))</f>
        <v/>
      </c>
      <c r="R109" s="7">
        <f>IF(A109="","",IF((A109+4)&gt;Model!$B$4,0,MAX(0,Model!$B$6-IF((A109+4)&gt;=Model!$B$11,Model!$B$20,0)-IF(4&lt;Model!$B$15,Model!$B$22,0))/(1-Model!$B$9)/(1+Model!$B$18)^4))</f>
        <v/>
      </c>
      <c r="S109" s="7">
        <f>IF(A109="","",IF((A109+5)&gt;Model!$B$4,0,MAX(0,Model!$B$6-IF((A109+5)&gt;=Model!$B$11,Model!$B$20,0)-IF(5&lt;Model!$B$15,Model!$B$22,0))/(1-Model!$B$9)/(1+Model!$B$18)^5))</f>
        <v/>
      </c>
      <c r="T109" s="7">
        <f>IF(A109="","",IF((A109+6)&gt;Model!$B$4,0,MAX(0,Model!$B$6-IF((A109+6)&gt;=Model!$B$11,Model!$B$20,0)-IF(6&lt;Model!$B$15,Model!$B$22,0))/(1-Model!$B$9)/(1+Model!$B$18)^6))</f>
        <v/>
      </c>
      <c r="U109" s="7">
        <f>IF(A109="","",IF((A109+7)&gt;Model!$B$4,0,MAX(0,Model!$B$6-IF((A109+7)&gt;=Model!$B$11,Model!$B$20,0)-IF(7&lt;Model!$B$15,Model!$B$22,0))/(1-Model!$B$9)/(1+Model!$B$18)^7))</f>
        <v/>
      </c>
      <c r="V109" s="7">
        <f>IF(A109="","",IF((A109+8)&gt;Model!$B$4,0,MAX(0,Model!$B$6-IF((A109+8)&gt;=Model!$B$11,Model!$B$20,0)-IF(8&lt;Model!$B$15,Model!$B$22,0))/(1-Model!$B$9)/(1+Model!$B$18)^8))</f>
        <v/>
      </c>
      <c r="W109" s="7">
        <f>IF(A109="","",IF((A109+9)&gt;Model!$B$4,0,MAX(0,Model!$B$6-IF((A109+9)&gt;=Model!$B$11,Model!$B$20,0)-IF(9&lt;Model!$B$15,Model!$B$22,0))/(1-Model!$B$9)/(1+Model!$B$18)^9))</f>
        <v/>
      </c>
      <c r="X109" s="7">
        <f>IF(A109="","",IF((A109+10)&gt;Model!$B$4,0,MAX(0,Model!$B$6-IF((A109+10)&gt;=Model!$B$11,Model!$B$20,0)-IF(10&lt;Model!$B$15,Model!$B$22,0))/(1-Model!$B$9)/(1+Model!$B$18)^10))</f>
        <v/>
      </c>
      <c r="Y109" s="7">
        <f>IF(A109="","",IF((A109+11)&gt;Model!$B$4,0,MAX(0,Model!$B$6-IF((A109+11)&gt;=Model!$B$11,Model!$B$20,0)-IF(11&lt;Model!$B$15,Model!$B$22,0))/(1-Model!$B$9)/(1+Model!$B$18)^11))</f>
        <v/>
      </c>
      <c r="Z109" s="7">
        <f>IF(A109="","",IF((A109+12)&gt;Model!$B$4,0,MAX(0,Model!$B$6-IF((A109+12)&gt;=Model!$B$11,Model!$B$20,0)-IF(12&lt;Model!$B$15,Model!$B$22,0))/(1-Model!$B$9)/(1+Model!$B$18)^12))</f>
        <v/>
      </c>
      <c r="AA109" s="7">
        <f>IF(A109="","",IF((A109+13)&gt;Model!$B$4,0,MAX(0,Model!$B$6-IF((A109+13)&gt;=Model!$B$11,Model!$B$20,0)-IF(13&lt;Model!$B$15,Model!$B$22,0))/(1-Model!$B$9)/(1+Model!$B$18)^13))</f>
        <v/>
      </c>
      <c r="AB109" s="7">
        <f>IF(A109="","",IF((A109+14)&gt;Model!$B$4,0,MAX(0,Model!$B$6-IF((A109+14)&gt;=Model!$B$11,Model!$B$20,0)-IF(14&lt;Model!$B$15,Model!$B$22,0))/(1-Model!$B$9)/(1+Model!$B$18)^14))</f>
        <v/>
      </c>
      <c r="AC109" s="7">
        <f>IF(A109="","",IF((A109+15)&gt;Model!$B$4,0,MAX(0,Model!$B$6-IF((A109+15)&gt;=Model!$B$11,Model!$B$20,0)-IF(15&lt;Model!$B$15,Model!$B$22,0))/(1-Model!$B$9)/(1+Model!$B$18)^15))</f>
        <v/>
      </c>
      <c r="AD109" s="7">
        <f>IF(A109="","",IF((A109+16)&gt;Model!$B$4,0,MAX(0,Model!$B$6-IF((A109+16)&gt;=Model!$B$11,Model!$B$20,0)-IF(16&lt;Model!$B$15,Model!$B$22,0))/(1-Model!$B$9)/(1+Model!$B$18)^16))</f>
        <v/>
      </c>
      <c r="AE109" s="7">
        <f>IF(A109="","",IF((A109+17)&gt;Model!$B$4,0,MAX(0,Model!$B$6-IF((A109+17)&gt;=Model!$B$11,Model!$B$20,0)-IF(17&lt;Model!$B$15,Model!$B$22,0))/(1-Model!$B$9)/(1+Model!$B$18)^17))</f>
        <v/>
      </c>
      <c r="AF109" s="7">
        <f>IF(A109="","",IF((A109+18)&gt;Model!$B$4,0,MAX(0,Model!$B$6-IF((A109+18)&gt;=Model!$B$11,Model!$B$20,0)-IF(18&lt;Model!$B$15,Model!$B$22,0))/(1-Model!$B$9)/(1+Model!$B$18)^18))</f>
        <v/>
      </c>
      <c r="AG109" s="7">
        <f>IF(A109="","",IF((A109+19)&gt;Model!$B$4,0,MAX(0,Model!$B$6-IF((A109+19)&gt;=Model!$B$11,Model!$B$20,0)-IF(19&lt;Model!$B$15,Model!$B$22,0))/(1-Model!$B$9)/(1+Model!$B$18)^19))</f>
        <v/>
      </c>
      <c r="AH109" s="7">
        <f>IF(A109="","",IF((A109+20)&gt;Model!$B$4,0,MAX(0,Model!$B$6-IF((A109+20)&gt;=Model!$B$11,Model!$B$20,0)-IF(20&lt;Model!$B$15,Model!$B$22,0))/(1-Model!$B$9)/(1+Model!$B$18)^20))</f>
        <v/>
      </c>
      <c r="AI109" s="7">
        <f>IF(A109="","",IF((A109+21)&gt;Model!$B$4,0,MAX(0,Model!$B$6-IF((A109+21)&gt;=Model!$B$11,Model!$B$20,0)-IF(21&lt;Model!$B$15,Model!$B$22,0))/(1-Model!$B$9)/(1+Model!$B$18)^21))</f>
        <v/>
      </c>
      <c r="AJ109" s="7">
        <f>IF(A109="","",IF((A109+22)&gt;Model!$B$4,0,MAX(0,Model!$B$6-IF((A109+22)&gt;=Model!$B$11,Model!$B$20,0)-IF(22&lt;Model!$B$15,Model!$B$22,0))/(1-Model!$B$9)/(1+Model!$B$18)^22))</f>
        <v/>
      </c>
      <c r="AK109" s="7">
        <f>IF(A109="","",IF((A109+23)&gt;Model!$B$4,0,MAX(0,Model!$B$6-IF((A109+23)&gt;=Model!$B$11,Model!$B$20,0)-IF(23&lt;Model!$B$15,Model!$B$22,0))/(1-Model!$B$9)/(1+Model!$B$18)^23))</f>
        <v/>
      </c>
      <c r="AL109" s="7">
        <f>IF(A109="","",IF((A109+24)&gt;Model!$B$4,0,MAX(0,Model!$B$6-IF((A109+24)&gt;=Model!$B$11,Model!$B$20,0)-IF(24&lt;Model!$B$15,Model!$B$22,0))/(1-Model!$B$9)/(1+Model!$B$18)^24))</f>
        <v/>
      </c>
      <c r="AM109" s="7">
        <f>IF(A109="","",IF((A109+25)&gt;Model!$B$4,0,MAX(0,Model!$B$6-IF((A109+25)&gt;=Model!$B$11,Model!$B$20,0)-IF(25&lt;Model!$B$15,Model!$B$22,0))/(1-Model!$B$9)/(1+Model!$B$18)^25))</f>
        <v/>
      </c>
      <c r="AN109" s="7">
        <f>IF(A109="","",IF((A109+26)&gt;Model!$B$4,0,MAX(0,Model!$B$6-IF((A109+26)&gt;=Model!$B$11,Model!$B$20,0)-IF(26&lt;Model!$B$15,Model!$B$22,0))/(1-Model!$B$9)/(1+Model!$B$18)^26))</f>
        <v/>
      </c>
      <c r="AO109" s="7">
        <f>IF(A109="","",IF((A109+27)&gt;Model!$B$4,0,MAX(0,Model!$B$6-IF((A109+27)&gt;=Model!$B$11,Model!$B$20,0)-IF(27&lt;Model!$B$15,Model!$B$22,0))/(1-Model!$B$9)/(1+Model!$B$18)^27))</f>
        <v/>
      </c>
      <c r="AP109" s="7">
        <f>IF(A109="","",IF((A109+28)&gt;Model!$B$4,0,MAX(0,Model!$B$6-IF((A109+28)&gt;=Model!$B$11,Model!$B$20,0)-IF(28&lt;Model!$B$15,Model!$B$22,0))/(1-Model!$B$9)/(1+Model!$B$18)^28))</f>
        <v/>
      </c>
      <c r="AQ109" s="7">
        <f>IF(A109="","",IF((A109+29)&gt;Model!$B$4,0,MAX(0,Model!$B$6-IF((A109+29)&gt;=Model!$B$11,Model!$B$20,0)-IF(29&lt;Model!$B$15,Model!$B$22,0))/(1-Model!$B$9)/(1+Model!$B$18)^29))</f>
        <v/>
      </c>
      <c r="AR109" s="7">
        <f>IF(A109="","",IF((A109+30)&gt;Model!$B$4,0,MAX(0,Model!$B$6-IF((A109+30)&gt;=Model!$B$11,Model!$B$20,0)-IF(30&lt;Model!$B$15,Model!$B$22,0))/(1-Model!$B$9)/(1+Model!$B$18)^30))</f>
        <v/>
      </c>
      <c r="AS109" s="7">
        <f>IF(A109="","",IF((A109+31)&gt;Model!$B$4,0,MAX(0,Model!$B$6-IF((A109+31)&gt;=Model!$B$11,Model!$B$20,0)-IF(31&lt;Model!$B$15,Model!$B$22,0))/(1-Model!$B$9)/(1+Model!$B$18)^31))</f>
        <v/>
      </c>
      <c r="AT109" s="7">
        <f>IF(A109="","",IF((A109+32)&gt;Model!$B$4,0,MAX(0,Model!$B$6-IF((A109+32)&gt;=Model!$B$11,Model!$B$20,0)-IF(32&lt;Model!$B$15,Model!$B$22,0))/(1-Model!$B$9)/(1+Model!$B$18)^32))</f>
        <v/>
      </c>
      <c r="AU109" s="7">
        <f>IF(A109="","",IF((A109+33)&gt;Model!$B$4,0,MAX(0,Model!$B$6-IF((A109+33)&gt;=Model!$B$11,Model!$B$20,0)-IF(33&lt;Model!$B$15,Model!$B$22,0))/(1-Model!$B$9)/(1+Model!$B$18)^33))</f>
        <v/>
      </c>
      <c r="AV109" s="7">
        <f>IF(A109="","",IF((A109+34)&gt;Model!$B$4,0,MAX(0,Model!$B$6-IF((A109+34)&gt;=Model!$B$11,Model!$B$20,0)-IF(34&lt;Model!$B$15,Model!$B$22,0))/(1-Model!$B$9)/(1+Model!$B$18)^34))</f>
        <v/>
      </c>
      <c r="AW109" s="7">
        <f>IF(A109="","",IF((A109+35)&gt;Model!$B$4,0,MAX(0,Model!$B$6-IF((A109+35)&gt;=Model!$B$11,Model!$B$20,0)-IF(35&lt;Model!$B$15,Model!$B$22,0))/(1-Model!$B$9)/(1+Model!$B$18)^35))</f>
        <v/>
      </c>
      <c r="AX109" s="7">
        <f>IF(A109="","",IF((A109+36)&gt;Model!$B$4,0,MAX(0,Model!$B$6-IF((A109+36)&gt;=Model!$B$11,Model!$B$20,0)-IF(36&lt;Model!$B$15,Model!$B$22,0))/(1-Model!$B$9)/(1+Model!$B$18)^36))</f>
        <v/>
      </c>
      <c r="AY109" s="7">
        <f>IF(A109="","",IF((A109+37)&gt;Model!$B$4,0,MAX(0,Model!$B$6-IF((A109+37)&gt;=Model!$B$11,Model!$B$20,0)-IF(37&lt;Model!$B$15,Model!$B$22,0))/(1-Model!$B$9)/(1+Model!$B$18)^37))</f>
        <v/>
      </c>
      <c r="AZ109" s="7">
        <f>IF(A109="","",IF((A109+38)&gt;Model!$B$4,0,MAX(0,Model!$B$6-IF((A109+38)&gt;=Model!$B$11,Model!$B$20,0)-IF(38&lt;Model!$B$15,Model!$B$22,0))/(1-Model!$B$9)/(1+Model!$B$18)^38))</f>
        <v/>
      </c>
      <c r="BA109" s="7">
        <f>IF(A109="","",IF((A109+39)&gt;Model!$B$4,0,MAX(0,Model!$B$6-IF((A109+39)&gt;=Model!$B$11,Model!$B$20,0)-IF(39&lt;Model!$B$15,Model!$B$22,0))/(1-Model!$B$9)/(1+Model!$B$18)^39))</f>
        <v/>
      </c>
      <c r="BB109" s="7">
        <f>IF(A109="","",IF((A109+40)&gt;Model!$B$4,0,MAX(0,Model!$B$6-IF((A109+40)&gt;=Model!$B$11,Model!$B$20,0)-IF(40&lt;Model!$B$15,Model!$B$22,0))/(1-Model!$B$9)/(1+Model!$B$18)^40))</f>
        <v/>
      </c>
      <c r="BC109" s="7">
        <f>IF(A109="","",IF((A109+41)&gt;Model!$B$4,0,MAX(0,Model!$B$6-IF((A109+41)&gt;=Model!$B$11,Model!$B$20,0)-IF(41&lt;Model!$B$15,Model!$B$22,0))/(1-Model!$B$9)/(1+Model!$B$18)^41))</f>
        <v/>
      </c>
      <c r="BD109" s="7">
        <f>IF(A109="","",IF((A109+42)&gt;Model!$B$4,0,MAX(0,Model!$B$6-IF((A109+42)&gt;=Model!$B$11,Model!$B$20,0)-IF(42&lt;Model!$B$15,Model!$B$22,0))/(1-Model!$B$9)/(1+Model!$B$18)^42))</f>
        <v/>
      </c>
      <c r="BE109" s="7">
        <f>IF(A109="","",IF((A109+43)&gt;Model!$B$4,0,MAX(0,Model!$B$6-IF((A109+43)&gt;=Model!$B$11,Model!$B$20,0)-IF(43&lt;Model!$B$15,Model!$B$22,0))/(1-Model!$B$9)/(1+Model!$B$18)^43))</f>
        <v/>
      </c>
      <c r="BF109" s="7">
        <f>IF(A109="","",IF((A109+44)&gt;Model!$B$4,0,MAX(0,Model!$B$6-IF((A109+44)&gt;=Model!$B$11,Model!$B$20,0)-IF(44&lt;Model!$B$15,Model!$B$22,0))/(1-Model!$B$9)/(1+Model!$B$18)^44))</f>
        <v/>
      </c>
      <c r="BG109" s="7">
        <f>IF(A109="","",IF((A109+45)&gt;Model!$B$4,0,MAX(0,Model!$B$6-IF((A109+45)&gt;=Model!$B$11,Model!$B$20,0)-IF(45&lt;Model!$B$15,Model!$B$22,0))/(1-Model!$B$9)/(1+Model!$B$18)^45))</f>
        <v/>
      </c>
      <c r="BH109" s="7">
        <f>IF(A109="","",IF((A109+46)&gt;Model!$B$4,0,MAX(0,Model!$B$6-IF((A109+46)&gt;=Model!$B$11,Model!$B$20,0)-IF(46&lt;Model!$B$15,Model!$B$22,0))/(1-Model!$B$9)/(1+Model!$B$18)^46))</f>
        <v/>
      </c>
      <c r="BI109" s="7">
        <f>IF(A109="","",IF((A109+47)&gt;Model!$B$4,0,MAX(0,Model!$B$6-IF((A109+47)&gt;=Model!$B$11,Model!$B$20,0)-IF(47&lt;Model!$B$15,Model!$B$22,0))/(1-Model!$B$9)/(1+Model!$B$18)^47))</f>
        <v/>
      </c>
      <c r="BJ109" s="7">
        <f>IF(A109="","",IF((A109+48)&gt;Model!$B$4,0,MAX(0,Model!$B$6-IF((A109+48)&gt;=Model!$B$11,Model!$B$20,0)-IF(48&lt;Model!$B$15,Model!$B$22,0))/(1-Model!$B$9)/(1+Model!$B$18)^48))</f>
        <v/>
      </c>
      <c r="BK109" s="7">
        <f>IF(A109="","",IF((A109+49)&gt;Model!$B$4,0,MAX(0,Model!$B$6-IF((A109+49)&gt;=Model!$B$11,Model!$B$20,0)-IF(49&lt;Model!$B$15,Model!$B$22,0))/(1-Model!$B$9)/(1+Model!$B$18)^49))</f>
        <v/>
      </c>
      <c r="BL109" s="7">
        <f>IF(A109="","",IF((A109+50)&gt;Model!$B$4,0,MAX(0,Model!$B$6-IF((A109+50)&gt;=Model!$B$11,Model!$B$20,0)-IF(50&lt;Model!$B$15,Model!$B$22,0))/(1-Model!$B$9)/(1+Model!$B$18)^50))</f>
        <v/>
      </c>
      <c r="BM109" s="7">
        <f>IF(A109="","",IF((A109+51)&gt;Model!$B$4,0,MAX(0,Model!$B$6-IF((A109+51)&gt;=Model!$B$11,Model!$B$20,0)-IF(51&lt;Model!$B$15,Model!$B$22,0))/(1-Model!$B$9)/(1+Model!$B$18)^51))</f>
        <v/>
      </c>
      <c r="BN109" s="7">
        <f>IF(A109="","",IF((A109+52)&gt;Model!$B$4,0,MAX(0,Model!$B$6-IF((A109+52)&gt;=Model!$B$11,Model!$B$20,0)-IF(52&lt;Model!$B$15,Model!$B$22,0))/(1-Model!$B$9)/(1+Model!$B$18)^52))</f>
        <v/>
      </c>
      <c r="BO109" s="7">
        <f>IF(A109="","",IF((A109+53)&gt;Model!$B$4,0,MAX(0,Model!$B$6-IF((A109+53)&gt;=Model!$B$11,Model!$B$20,0)-IF(53&lt;Model!$B$15,Model!$B$22,0))/(1-Model!$B$9)/(1+Model!$B$18)^53))</f>
        <v/>
      </c>
      <c r="BP109" s="7">
        <f>IF(A109="","",IF((A109+54)&gt;Model!$B$4,0,MAX(0,Model!$B$6-IF((A109+54)&gt;=Model!$B$11,Model!$B$20,0)-IF(54&lt;Model!$B$15,Model!$B$22,0))/(1-Model!$B$9)/(1+Model!$B$18)^54))</f>
        <v/>
      </c>
      <c r="BQ109" s="7">
        <f>IF(A109="","",IF((A109+55)&gt;Model!$B$4,0,MAX(0,Model!$B$6-IF((A109+55)&gt;=Model!$B$11,Model!$B$20,0)-IF(55&lt;Model!$B$15,Model!$B$22,0))/(1-Model!$B$9)/(1+Model!$B$18)^55))</f>
        <v/>
      </c>
      <c r="BR109" s="7">
        <f>IF(A109="","",IF((A109+56)&gt;Model!$B$4,0,MAX(0,Model!$B$6-IF((A109+56)&gt;=Model!$B$11,Model!$B$20,0)-IF(56&lt;Model!$B$15,Model!$B$22,0))/(1-Model!$B$9)/(1+Model!$B$18)^56))</f>
        <v/>
      </c>
      <c r="BS109" s="7">
        <f>IF(A109="","",IF((A109+57)&gt;Model!$B$4,0,MAX(0,Model!$B$6-IF((A109+57)&gt;=Model!$B$11,Model!$B$20,0)-IF(57&lt;Model!$B$15,Model!$B$22,0))/(1-Model!$B$9)/(1+Model!$B$18)^57))</f>
        <v/>
      </c>
      <c r="BT109" s="7">
        <f>IF(A109="","",IF((A109+58)&gt;Model!$B$4,0,MAX(0,Model!$B$6-IF((A109+58)&gt;=Model!$B$11,Model!$B$20,0)-IF(58&lt;Model!$B$15,Model!$B$22,0))/(1-Model!$B$9)/(1+Model!$B$18)^58))</f>
        <v/>
      </c>
      <c r="BU109" s="7">
        <f>IF(A109="","",IF((A109+59)&gt;Model!$B$4,0,MAX(0,Model!$B$6-IF((A109+59)&gt;=Model!$B$11,Model!$B$20,0)-IF(59&lt;Model!$B$15,Model!$B$22,0))/(1-Model!$B$9)/(1+Model!$B$18)^59))</f>
        <v/>
      </c>
      <c r="BV109" s="7">
        <f>IF(A109="","",IF((A109+60)&gt;Model!$B$4,0,MAX(0,Model!$B$6-IF((A109+60)&gt;=Model!$B$11,Model!$B$20,0)-IF(60&lt;Model!$B$15,Model!$B$22,0))/(1-Model!$B$9)/(1+Model!$B$18)^60))</f>
        <v/>
      </c>
      <c r="BW109" s="7">
        <f>IF(A109="","",IF((A109+61)&gt;Model!$B$4,0,MAX(0,Model!$B$6-IF((A109+61)&gt;=Model!$B$11,Model!$B$20,0)-IF(61&lt;Model!$B$15,Model!$B$22,0))/(1-Model!$B$9)/(1+Model!$B$18)^61))</f>
        <v/>
      </c>
      <c r="BX109" s="7">
        <f>IF(A109="","",IF((A109+62)&gt;Model!$B$4,0,MAX(0,Model!$B$6-IF((A109+62)&gt;=Model!$B$11,Model!$B$20,0)-IF(62&lt;Model!$B$15,Model!$B$22,0))/(1-Model!$B$9)/(1+Model!$B$18)^62))</f>
        <v/>
      </c>
      <c r="BY109" s="7">
        <f>IF(A109="","",IF((A109+63)&gt;Model!$B$4,0,MAX(0,Model!$B$6-IF((A109+63)&gt;=Model!$B$11,Model!$B$20,0)-IF(63&lt;Model!$B$15,Model!$B$22,0))/(1-Model!$B$9)/(1+Model!$B$18)^63))</f>
        <v/>
      </c>
      <c r="BZ109" s="7">
        <f>IF(A109="","",IF((A109+64)&gt;Model!$B$4,0,MAX(0,Model!$B$6-IF((A109+64)&gt;=Model!$B$11,Model!$B$20,0)-IF(64&lt;Model!$B$15,Model!$B$22,0))/(1-Model!$B$9)/(1+Model!$B$18)^64))</f>
        <v/>
      </c>
      <c r="CA109" s="7">
        <f>IF(A109="","",IF((A109+65)&gt;Model!$B$4,0,MAX(0,Model!$B$6-IF((A109+65)&gt;=Model!$B$11,Model!$B$20,0)-IF(65&lt;Model!$B$15,Model!$B$22,0))/(1-Model!$B$9)/(1+Model!$B$18)^65))</f>
        <v/>
      </c>
      <c r="CB109" s="7">
        <f>IF(A109="","",IF((A109+66)&gt;Model!$B$4,0,MAX(0,Model!$B$6-IF((A109+66)&gt;=Model!$B$11,Model!$B$20,0)-IF(66&lt;Model!$B$15,Model!$B$22,0))/(1-Model!$B$9)/(1+Model!$B$18)^66))</f>
        <v/>
      </c>
      <c r="CC109" s="7">
        <f>IF(A109="","",IF((A109+67)&gt;Model!$B$4,0,MAX(0,Model!$B$6-IF((A109+67)&gt;=Model!$B$11,Model!$B$20,0)-IF(67&lt;Model!$B$15,Model!$B$22,0))/(1-Model!$B$9)/(1+Model!$B$18)^67))</f>
        <v/>
      </c>
      <c r="CD109" s="7">
        <f>IF(A109="","",IF((A109+68)&gt;Model!$B$4,0,MAX(0,Model!$B$6-IF((A109+68)&gt;=Model!$B$11,Model!$B$20,0)-IF(68&lt;Model!$B$15,Model!$B$22,0))/(1-Model!$B$9)/(1+Model!$B$18)^68))</f>
        <v/>
      </c>
      <c r="CE109" s="7">
        <f>IF(A109="","",IF((A109+69)&gt;Model!$B$4,0,MAX(0,Model!$B$6-IF((A109+69)&gt;=Model!$B$11,Model!$B$20,0)-IF(69&lt;Model!$B$15,Model!$B$22,0))/(1-Model!$B$9)/(1+Model!$B$18)^69))</f>
        <v/>
      </c>
      <c r="CF109" s="7">
        <f>IF(A109="","",IF((A109+70)&gt;Model!$B$4,0,MAX(0,Model!$B$6-IF((A109+70)&gt;=Model!$B$11,Model!$B$20,0)-IF(70&lt;Model!$B$15,Model!$B$22,0))/(1-Model!$B$9)/(1+Model!$B$18)^70))</f>
        <v/>
      </c>
      <c r="CG109" s="7">
        <f>IF(A109="","",IF((A109+71)&gt;Model!$B$4,0,MAX(0,Model!$B$6-IF((A109+71)&gt;=Model!$B$11,Model!$B$20,0)-IF(71&lt;Model!$B$15,Model!$B$22,0))/(1-Model!$B$9)/(1+Model!$B$18)^71))</f>
        <v/>
      </c>
      <c r="CH109" s="7">
        <f>IF(A109="","",IF((A109+72)&gt;Model!$B$4,0,MAX(0,Model!$B$6-IF((A109+72)&gt;=Model!$B$11,Model!$B$20,0)-IF(72&lt;Model!$B$15,Model!$B$22,0))/(1-Model!$B$9)/(1+Model!$B$18)^72))</f>
        <v/>
      </c>
      <c r="CI109" s="7">
        <f>IF(A109="","",IF((A109+73)&gt;Model!$B$4,0,MAX(0,Model!$B$6-IF((A109+73)&gt;=Model!$B$11,Model!$B$20,0)-IF(73&lt;Model!$B$15,Model!$B$22,0))/(1-Model!$B$9)/(1+Model!$B$18)^73))</f>
        <v/>
      </c>
      <c r="CJ109" s="7">
        <f>IF(A109="","",IF((A109+74)&gt;Model!$B$4,0,MAX(0,Model!$B$6-IF((A109+74)&gt;=Model!$B$11,Model!$B$20,0)-IF(74&lt;Model!$B$15,Model!$B$22,0))/(1-Model!$B$9)/(1+Model!$B$18)^74))</f>
        <v/>
      </c>
      <c r="CK109" s="7">
        <f>IF(A109="","",IF((A109+75)&gt;Model!$B$4,0,MAX(0,Model!$B$6-IF((A109+75)&gt;=Model!$B$11,Model!$B$20,0)-IF(75&lt;Model!$B$15,Model!$B$22,0))/(1-Model!$B$9)/(1+Model!$B$18)^75))</f>
        <v/>
      </c>
      <c r="CL109" s="7">
        <f>IF(A109="","",IF((A109+76)&gt;Model!$B$4,0,MAX(0,Model!$B$6-IF((A109+76)&gt;=Model!$B$11,Model!$B$20,0)-IF(76&lt;Model!$B$15,Model!$B$22,0))/(1-Model!$B$9)/(1+Model!$B$18)^76))</f>
        <v/>
      </c>
      <c r="CM109" s="7">
        <f>IF(A109="","",IF((A109+77)&gt;Model!$B$4,0,MAX(0,Model!$B$6-IF((A109+77)&gt;=Model!$B$11,Model!$B$20,0)-IF(77&lt;Model!$B$15,Model!$B$22,0))/(1-Model!$B$9)/(1+Model!$B$18)^77))</f>
        <v/>
      </c>
      <c r="CN109" s="7">
        <f>IF(A109="","",IF((A109+78)&gt;Model!$B$4,0,MAX(0,Model!$B$6-IF((A109+78)&gt;=Model!$B$11,Model!$B$20,0)-IF(78&lt;Model!$B$15,Model!$B$22,0))/(1-Model!$B$9)/(1+Model!$B$18)^78))</f>
        <v/>
      </c>
      <c r="CO109" s="7">
        <f>IF(A109="","",IF((A109+79)&gt;Model!$B$4,0,MAX(0,Model!$B$6-IF((A109+79)&gt;=Model!$B$11,Model!$B$20,0)-IF(79&lt;Model!$B$15,Model!$B$22,0))/(1-Model!$B$9)/(1+Model!$B$18)^79))</f>
        <v/>
      </c>
      <c r="CP109" s="7">
        <f>IF(A109="","",IF((A109+80)&gt;Model!$B$4,0,MAX(0,Model!$B$6-IF((A109+80)&gt;=Model!$B$11,Model!$B$20,0)-IF(80&lt;Model!$B$15,Model!$B$22,0))/(1-Model!$B$9)/(1+Model!$B$18)^80))</f>
        <v/>
      </c>
      <c r="CQ109" s="7">
        <f>IF(A109="","",IF((A109+81)&gt;Model!$B$4,0,MAX(0,Model!$B$6-IF((A109+81)&gt;=Model!$B$11,Model!$B$20,0)-IF(81&lt;Model!$B$15,Model!$B$22,0))/(1-Model!$B$9)/(1+Model!$B$18)^81))</f>
        <v/>
      </c>
      <c r="CR109" s="7">
        <f>IF(A109="","",IF((A109+82)&gt;Model!$B$4,0,MAX(0,Model!$B$6-IF((A109+82)&gt;=Model!$B$11,Model!$B$20,0)-IF(82&lt;Model!$B$15,Model!$B$22,0))/(1-Model!$B$9)/(1+Model!$B$18)^82))</f>
        <v/>
      </c>
      <c r="CS109" s="7">
        <f>IF(A109="","",IF((A109+83)&gt;Model!$B$4,0,MAX(0,Model!$B$6-IF((A109+83)&gt;=Model!$B$11,Model!$B$20,0)-IF(83&lt;Model!$B$15,Model!$B$22,0))/(1-Model!$B$9)/(1+Model!$B$18)^83))</f>
        <v/>
      </c>
      <c r="CT109" s="7">
        <f>IF(A109="","",IF((A109+84)&gt;Model!$B$4,0,MAX(0,Model!$B$6-IF((A109+84)&gt;=Model!$B$11,Model!$B$20,0)-IF(84&lt;Model!$B$15,Model!$B$22,0))/(1-Model!$B$9)/(1+Model!$B$18)^84))</f>
        <v/>
      </c>
      <c r="CU109" s="7">
        <f>IF(A109="","",IF((A109+85)&gt;Model!$B$4,0,MAX(0,Model!$B$6-IF((A109+85)&gt;=Model!$B$11,Model!$B$20,0)-IF(85&lt;Model!$B$15,Model!$B$22,0))/(1-Model!$B$9)/(1+Model!$B$18)^85))</f>
        <v/>
      </c>
      <c r="CV109" s="7">
        <f>IF(A109="","",IF((A109+86)&gt;Model!$B$4,0,MAX(0,Model!$B$6-IF((A109+86)&gt;=Model!$B$11,Model!$B$20,0)-IF(86&lt;Model!$B$15,Model!$B$22,0))/(1-Model!$B$9)/(1+Model!$B$18)^86))</f>
        <v/>
      </c>
      <c r="CW109" s="7">
        <f>IF(A109="","",IF((A109+87)&gt;Model!$B$4,0,MAX(0,Model!$B$6-IF((A109+87)&gt;=Model!$B$11,Model!$B$20,0)-IF(87&lt;Model!$B$15,Model!$B$22,0))/(1-Model!$B$9)/(1+Model!$B$18)^87))</f>
        <v/>
      </c>
      <c r="CX109" s="7">
        <f>IF(A109="","",IF((A109+88)&gt;Model!$B$4,0,MAX(0,Model!$B$6-IF((A109+88)&gt;=Model!$B$11,Model!$B$20,0)-IF(88&lt;Model!$B$15,Model!$B$22,0))/(1-Model!$B$9)/(1+Model!$B$18)^88))</f>
        <v/>
      </c>
      <c r="CY109" s="7">
        <f>IF(A109="","",IF((A109+89)&gt;Model!$B$4,0,MAX(0,Model!$B$6-IF((A109+89)&gt;=Model!$B$11,Model!$B$20,0)-IF(89&lt;Model!$B$15,Model!$B$22,0))/(1-Model!$B$9)/(1+Model!$B$18)^89))</f>
        <v/>
      </c>
      <c r="CZ109" s="7">
        <f>IF(A109="","",IF((A109+90)&gt;Model!$B$4,0,MAX(0,Model!$B$6-IF((A109+90)&gt;=Model!$B$11,Model!$B$20,0)-IF(90&lt;Model!$B$15,Model!$B$22,0))/(1-Model!$B$9)/(1+Model!$B$18)^90))</f>
        <v/>
      </c>
      <c r="DA109" s="7">
        <f>IF(A109="","",IF((A109+91)&gt;Model!$B$4,0,MAX(0,Model!$B$6-IF((A109+91)&gt;=Model!$B$11,Model!$B$20,0)-IF(91&lt;Model!$B$15,Model!$B$22,0))/(1-Model!$B$9)/(1+Model!$B$18)^91))</f>
        <v/>
      </c>
      <c r="DB109" s="7">
        <f>IF(A109="","",IF((A109+92)&gt;Model!$B$4,0,MAX(0,Model!$B$6-IF((A109+92)&gt;=Model!$B$11,Model!$B$20,0)-IF(92&lt;Model!$B$15,Model!$B$22,0))/(1-Model!$B$9)/(1+Model!$B$18)^92))</f>
        <v/>
      </c>
      <c r="DC109" s="7">
        <f>IF(A109="","",IF((A109+93)&gt;Model!$B$4,0,MAX(0,Model!$B$6-IF((A109+93)&gt;=Model!$B$11,Model!$B$20,0)-IF(93&lt;Model!$B$15,Model!$B$22,0))/(1-Model!$B$9)/(1+Model!$B$18)^93))</f>
        <v/>
      </c>
      <c r="DD109" s="7">
        <f>IF(A109="","",IF((A109+94)&gt;Model!$B$4,0,MAX(0,Model!$B$6-IF((A109+94)&gt;=Model!$B$11,Model!$B$20,0)-IF(94&lt;Model!$B$15,Model!$B$22,0))/(1-Model!$B$9)/(1+Model!$B$18)^94))</f>
        <v/>
      </c>
      <c r="DE109" s="7">
        <f>IF(A109="","",IF((A109+95)&gt;Model!$B$4,0,MAX(0,Model!$B$6-IF((A109+95)&gt;=Model!$B$11,Model!$B$20,0)-IF(95&lt;Model!$B$15,Model!$B$22,0))/(1-Model!$B$9)/(1+Model!$B$18)^95))</f>
        <v/>
      </c>
      <c r="DF109" s="7">
        <f>IF(A109="","",IF((A109+96)&gt;Model!$B$4,0,MAX(0,Model!$B$6-IF((A109+96)&gt;=Model!$B$11,Model!$B$20,0)-IF(96&lt;Model!$B$15,Model!$B$22,0))/(1-Model!$B$9)/(1+Model!$B$18)^96))</f>
        <v/>
      </c>
      <c r="DG109" s="7">
        <f>IF(A109="","",IF((A109+97)&gt;Model!$B$4,0,MAX(0,Model!$B$6-IF((A109+97)&gt;=Model!$B$11,Model!$B$20,0)-IF(97&lt;Model!$B$15,Model!$B$22,0))/(1-Model!$B$9)/(1+Model!$B$18)^97))</f>
        <v/>
      </c>
      <c r="DH109" s="7">
        <f>IF(A109="","",IF((A109+98)&gt;Model!$B$4,0,MAX(0,Model!$B$6-IF((A109+98)&gt;=Model!$B$11,Model!$B$20,0)-IF(98&lt;Model!$B$15,Model!$B$22,0))/(1-Model!$B$9)/(1+Model!$B$18)^98))</f>
        <v/>
      </c>
      <c r="DI109" s="7">
        <f>IF(A109="","",IF((A109+99)&gt;Model!$B$4,0,MAX(0,Model!$B$6-IF((A109+99)&gt;=Model!$B$11,Model!$B$20,0)-IF(99&lt;Model!$B$15,Model!$B$22,0))/(1-Model!$B$9)/(1+Model!$B$18)^99))</f>
        <v/>
      </c>
      <c r="DJ109" s="7">
        <f>IF(A109="","",IF((A109+100)&gt;Model!$B$4,0,MAX(0,Model!$B$6-IF((A109+100)&gt;=Model!$B$11,Model!$B$20,0)-IF(100&lt;Model!$B$15,Model!$B$22,0))/(1-Model!$B$9)/(1+Model!$B$18)^100))</f>
        <v/>
      </c>
      <c r="DK109" s="7">
        <f>IF(A109="","",IF((A109+101)&gt;Model!$B$4,0,MAX(0,Model!$B$6-IF((A109+101)&gt;=Model!$B$11,Model!$B$20,0)-IF(101&lt;Model!$B$15,Model!$B$22,0))/(1-Model!$B$9)/(1+Model!$B$18)^101))</f>
        <v/>
      </c>
      <c r="DL109" s="7">
        <f>IF(A109="","",IF((A109+102)&gt;Model!$B$4,0,MAX(0,Model!$B$6-IF((A109+102)&gt;=Model!$B$11,Model!$B$20,0)-IF(102&lt;Model!$B$15,Model!$B$22,0))/(1-Model!$B$9)/(1+Model!$B$18)^102))</f>
        <v/>
      </c>
      <c r="DM109" s="7">
        <f>IF(A109="","",IF((A109+103)&gt;Model!$B$4,0,MAX(0,Model!$B$6-IF((A109+103)&gt;=Model!$B$11,Model!$B$20,0)-IF(103&lt;Model!$B$15,Model!$B$22,0))/(1-Model!$B$9)/(1+Model!$B$18)^103))</f>
        <v/>
      </c>
      <c r="DN109" s="7">
        <f>IF(A109="","",IF((A109+104)&gt;Model!$B$4,0,MAX(0,Model!$B$6-IF((A109+104)&gt;=Model!$B$11,Model!$B$20,0)-IF(104&lt;Model!$B$15,Model!$B$22,0))/(1-Model!$B$9)/(1+Model!$B$18)^104))</f>
        <v/>
      </c>
      <c r="DO109" s="7">
        <f>IF(A109="","",IF((A109+105)&gt;Model!$B$4,0,MAX(0,Model!$B$6-IF((A109+105)&gt;=Model!$B$11,Model!$B$20,0)-IF(105&lt;Model!$B$15,Model!$B$22,0))/(1-Model!$B$9)/(1+Model!$B$18)^105))</f>
        <v/>
      </c>
      <c r="DP109" s="7">
        <f>IF(A109="","",IF((A109+106)&gt;Model!$B$4,0,MAX(0,Model!$B$6-IF((A109+106)&gt;=Model!$B$11,Model!$B$20,0)-IF(106&lt;Model!$B$15,Model!$B$22,0))/(1-Model!$B$9)/(1+Model!$B$18)^106))</f>
        <v/>
      </c>
      <c r="DQ109" s="7">
        <f>IF(A109="","",IF((A109+107)&gt;Model!$B$4,0,MAX(0,Model!$B$6-IF((A109+107)&gt;=Model!$B$11,Model!$B$20,0)-IF(107&lt;Model!$B$15,Model!$B$22,0))/(1-Model!$B$9)/(1+Model!$B$18)^107))</f>
        <v/>
      </c>
      <c r="DR109" s="7">
        <f>IF(A109="","",IF((A109+108)&gt;Model!$B$4,0,MAX(0,Model!$B$6-IF((A109+108)&gt;=Model!$B$11,Model!$B$20,0)-IF(108&lt;Model!$B$15,Model!$B$22,0))/(1-Model!$B$9)/(1+Model!$B$18)^108))</f>
        <v/>
      </c>
      <c r="DS109" s="7">
        <f>IF(A109="","",IF((A109+109)&gt;Model!$B$4,0,MAX(0,Model!$B$6-IF((A109+109)&gt;=Model!$B$11,Model!$B$20,0)-IF(109&lt;Model!$B$15,Model!$B$22,0))/(1-Model!$B$9)/(1+Model!$B$18)^109))</f>
        <v/>
      </c>
      <c r="DT109" s="7">
        <f>IF(A109="","",IF((A109+110)&gt;Model!$B$4,0,MAX(0,Model!$B$6-IF((A109+110)&gt;=Model!$B$11,Model!$B$20,0)-IF(110&lt;Model!$B$15,Model!$B$22,0))/(1-Model!$B$9)/(1+Model!$B$18)^110))</f>
        <v/>
      </c>
      <c r="DU109" s="7">
        <f>IF(A109="","",IF((A109+111)&gt;Model!$B$4,0,MAX(0,Model!$B$6-IF((A109+111)&gt;=Model!$B$11,Model!$B$20,0)-IF(111&lt;Model!$B$15,Model!$B$22,0))/(1-Model!$B$9)/(1+Model!$B$18)^111))</f>
        <v/>
      </c>
      <c r="DV109" s="7">
        <f>IF(A109="","",IF((A109+112)&gt;Model!$B$4,0,MAX(0,Model!$B$6-IF((A109+112)&gt;=Model!$B$11,Model!$B$20,0)-IF(112&lt;Model!$B$15,Model!$B$22,0))/(1-Model!$B$9)/(1+Model!$B$18)^112))</f>
        <v/>
      </c>
      <c r="DW109" s="7">
        <f>IF(A109="","",IF((A109+113)&gt;Model!$B$4,0,MAX(0,Model!$B$6-IF((A109+113)&gt;=Model!$B$11,Model!$B$20,0)-IF(113&lt;Model!$B$15,Model!$B$22,0))/(1-Model!$B$9)/(1+Model!$B$18)^113))</f>
        <v/>
      </c>
      <c r="DX109" s="7">
        <f>IF(A109="","",IF((A109+114)&gt;Model!$B$4,0,MAX(0,Model!$B$6-IF((A109+114)&gt;=Model!$B$11,Model!$B$20,0)-IF(114&lt;Model!$B$15,Model!$B$22,0))/(1-Model!$B$9)/(1+Model!$B$18)^114))</f>
        <v/>
      </c>
      <c r="DY109" s="7">
        <f>IF(A109="","",IF((A109+115)&gt;Model!$B$4,0,MAX(0,Model!$B$6-IF((A109+115)&gt;=Model!$B$11,Model!$B$20,0)-IF(115&lt;Model!$B$15,Model!$B$22,0))/(1-Model!$B$9)/(1+Model!$B$18)^115))</f>
        <v/>
      </c>
      <c r="DZ109" s="7">
        <f>IF(A109="","",IF((A109+116)&gt;Model!$B$4,0,MAX(0,Model!$B$6-IF((A109+116)&gt;=Model!$B$11,Model!$B$20,0)-IF(116&lt;Model!$B$15,Model!$B$22,0))/(1-Model!$B$9)/(1+Model!$B$18)^116))</f>
        <v/>
      </c>
      <c r="EA109" s="7">
        <f>IF(A109="","",IF((A109+117)&gt;Model!$B$4,0,MAX(0,Model!$B$6-IF((A109+117)&gt;=Model!$B$11,Model!$B$20,0)-IF(117&lt;Model!$B$15,Model!$B$22,0))/(1-Model!$B$9)/(1+Model!$B$18)^117))</f>
        <v/>
      </c>
      <c r="EB109" s="7">
        <f>IF(A109="","",IF((A109+118)&gt;Model!$B$4,0,MAX(0,Model!$B$6-IF((A109+118)&gt;=Model!$B$11,Model!$B$20,0)-IF(118&lt;Model!$B$15,Model!$B$22,0))/(1-Model!$B$9)/(1+Model!$B$18)^118))</f>
        <v/>
      </c>
      <c r="EC109" s="7">
        <f>IF(A109="","",IF((A109+119)&gt;Model!$B$4,0,MAX(0,Model!$B$6-IF((A109+119)&gt;=Model!$B$11,Model!$B$20,0)-IF(119&lt;Model!$B$15,Model!$B$22,0))/(1-Model!$B$9)/(1+Model!$B$18)^119))</f>
        <v/>
      </c>
      <c r="ED109" s="7">
        <f>IF(A109="","",IF((A109+120)&gt;Model!$B$4,0,MAX(0,Model!$B$6-IF((A109+120)&gt;=Model!$B$11,Model!$B$20,0)-IF(120&lt;Model!$B$15,Model!$B$22,0))/(1-Model!$B$9)/(1+Model!$B$18)^120))</f>
        <v/>
      </c>
    </row>
    <row r="110">
      <c r="A110">
        <f>IF(Model!$B$10+ROW()-2&lt;=Model!$B$4,Model!$B$10+ROW()-2,"")</f>
        <v/>
      </c>
      <c r="B110">
        <f>IF(A110="","",A110-Model!$B$10)</f>
        <v/>
      </c>
      <c r="C110" s="7">
        <f>IF(A110="","",Model!$B$5*(1+Model!$B$18)^B110)</f>
        <v/>
      </c>
      <c r="D110" s="7">
        <f>IF(A110="","",SUM(N110:ED110))</f>
        <v/>
      </c>
      <c r="E110" s="7">
        <f>IF(A110="","",IF(A110&gt;=Model!$B$11,Model!$B$20,0))</f>
        <v/>
      </c>
      <c r="F110" s="7">
        <f>IF(A110="","",IF(Model!$B$15&gt;0,Model!$B$22,0))</f>
        <v/>
      </c>
      <c r="G110" s="7">
        <f>IF(A110="","",E110+F110)</f>
        <v/>
      </c>
      <c r="H110" s="7">
        <f>IF(A110="","",MAX(0,Model!$B$6-G110))</f>
        <v/>
      </c>
      <c r="I110" s="7">
        <f>IF(A110="","",H110/(1-Model!$B$9))</f>
        <v/>
      </c>
      <c r="J110" s="7">
        <f>IF(A110="","",C110-D110)</f>
        <v/>
      </c>
      <c r="K110">
        <f>IF(A110="","",C110&gt;=D110)</f>
        <v/>
      </c>
      <c r="L110" s="7">
        <f>IF(A110="","",IF(A110&gt;=Model!$B$11,Model!$B$19*(1+Model!$B$13)^B110,0))</f>
        <v/>
      </c>
      <c r="M110" s="7">
        <f>IF(A110="","",IF(Model!$B$15&gt;0,Model!$B$21*(1+Model!$B$13)^B110,0))</f>
        <v/>
      </c>
      <c r="N110" s="7">
        <f>IF(A110="","",IF((A110+0)&gt;Model!$B$4,0,MAX(0,Model!$B$6-IF((A110+0)&gt;=Model!$B$11,Model!$B$20,0)-IF(0&lt;Model!$B$15,Model!$B$22,0))/(1-Model!$B$9)/(1+Model!$B$18)^0))</f>
        <v/>
      </c>
      <c r="O110" s="7">
        <f>IF(A110="","",IF((A110+1)&gt;Model!$B$4,0,MAX(0,Model!$B$6-IF((A110+1)&gt;=Model!$B$11,Model!$B$20,0)-IF(1&lt;Model!$B$15,Model!$B$22,0))/(1-Model!$B$9)/(1+Model!$B$18)^1))</f>
        <v/>
      </c>
      <c r="P110" s="7">
        <f>IF(A110="","",IF((A110+2)&gt;Model!$B$4,0,MAX(0,Model!$B$6-IF((A110+2)&gt;=Model!$B$11,Model!$B$20,0)-IF(2&lt;Model!$B$15,Model!$B$22,0))/(1-Model!$B$9)/(1+Model!$B$18)^2))</f>
        <v/>
      </c>
      <c r="Q110" s="7">
        <f>IF(A110="","",IF((A110+3)&gt;Model!$B$4,0,MAX(0,Model!$B$6-IF((A110+3)&gt;=Model!$B$11,Model!$B$20,0)-IF(3&lt;Model!$B$15,Model!$B$22,0))/(1-Model!$B$9)/(1+Model!$B$18)^3))</f>
        <v/>
      </c>
      <c r="R110" s="7">
        <f>IF(A110="","",IF((A110+4)&gt;Model!$B$4,0,MAX(0,Model!$B$6-IF((A110+4)&gt;=Model!$B$11,Model!$B$20,0)-IF(4&lt;Model!$B$15,Model!$B$22,0))/(1-Model!$B$9)/(1+Model!$B$18)^4))</f>
        <v/>
      </c>
      <c r="S110" s="7">
        <f>IF(A110="","",IF((A110+5)&gt;Model!$B$4,0,MAX(0,Model!$B$6-IF((A110+5)&gt;=Model!$B$11,Model!$B$20,0)-IF(5&lt;Model!$B$15,Model!$B$22,0))/(1-Model!$B$9)/(1+Model!$B$18)^5))</f>
        <v/>
      </c>
      <c r="T110" s="7">
        <f>IF(A110="","",IF((A110+6)&gt;Model!$B$4,0,MAX(0,Model!$B$6-IF((A110+6)&gt;=Model!$B$11,Model!$B$20,0)-IF(6&lt;Model!$B$15,Model!$B$22,0))/(1-Model!$B$9)/(1+Model!$B$18)^6))</f>
        <v/>
      </c>
      <c r="U110" s="7">
        <f>IF(A110="","",IF((A110+7)&gt;Model!$B$4,0,MAX(0,Model!$B$6-IF((A110+7)&gt;=Model!$B$11,Model!$B$20,0)-IF(7&lt;Model!$B$15,Model!$B$22,0))/(1-Model!$B$9)/(1+Model!$B$18)^7))</f>
        <v/>
      </c>
      <c r="V110" s="7">
        <f>IF(A110="","",IF((A110+8)&gt;Model!$B$4,0,MAX(0,Model!$B$6-IF((A110+8)&gt;=Model!$B$11,Model!$B$20,0)-IF(8&lt;Model!$B$15,Model!$B$22,0))/(1-Model!$B$9)/(1+Model!$B$18)^8))</f>
        <v/>
      </c>
      <c r="W110" s="7">
        <f>IF(A110="","",IF((A110+9)&gt;Model!$B$4,0,MAX(0,Model!$B$6-IF((A110+9)&gt;=Model!$B$11,Model!$B$20,0)-IF(9&lt;Model!$B$15,Model!$B$22,0))/(1-Model!$B$9)/(1+Model!$B$18)^9))</f>
        <v/>
      </c>
      <c r="X110" s="7">
        <f>IF(A110="","",IF((A110+10)&gt;Model!$B$4,0,MAX(0,Model!$B$6-IF((A110+10)&gt;=Model!$B$11,Model!$B$20,0)-IF(10&lt;Model!$B$15,Model!$B$22,0))/(1-Model!$B$9)/(1+Model!$B$18)^10))</f>
        <v/>
      </c>
      <c r="Y110" s="7">
        <f>IF(A110="","",IF((A110+11)&gt;Model!$B$4,0,MAX(0,Model!$B$6-IF((A110+11)&gt;=Model!$B$11,Model!$B$20,0)-IF(11&lt;Model!$B$15,Model!$B$22,0))/(1-Model!$B$9)/(1+Model!$B$18)^11))</f>
        <v/>
      </c>
      <c r="Z110" s="7">
        <f>IF(A110="","",IF((A110+12)&gt;Model!$B$4,0,MAX(0,Model!$B$6-IF((A110+12)&gt;=Model!$B$11,Model!$B$20,0)-IF(12&lt;Model!$B$15,Model!$B$22,0))/(1-Model!$B$9)/(1+Model!$B$18)^12))</f>
        <v/>
      </c>
      <c r="AA110" s="7">
        <f>IF(A110="","",IF((A110+13)&gt;Model!$B$4,0,MAX(0,Model!$B$6-IF((A110+13)&gt;=Model!$B$11,Model!$B$20,0)-IF(13&lt;Model!$B$15,Model!$B$22,0))/(1-Model!$B$9)/(1+Model!$B$18)^13))</f>
        <v/>
      </c>
      <c r="AB110" s="7">
        <f>IF(A110="","",IF((A110+14)&gt;Model!$B$4,0,MAX(0,Model!$B$6-IF((A110+14)&gt;=Model!$B$11,Model!$B$20,0)-IF(14&lt;Model!$B$15,Model!$B$22,0))/(1-Model!$B$9)/(1+Model!$B$18)^14))</f>
        <v/>
      </c>
      <c r="AC110" s="7">
        <f>IF(A110="","",IF((A110+15)&gt;Model!$B$4,0,MAX(0,Model!$B$6-IF((A110+15)&gt;=Model!$B$11,Model!$B$20,0)-IF(15&lt;Model!$B$15,Model!$B$22,0))/(1-Model!$B$9)/(1+Model!$B$18)^15))</f>
        <v/>
      </c>
      <c r="AD110" s="7">
        <f>IF(A110="","",IF((A110+16)&gt;Model!$B$4,0,MAX(0,Model!$B$6-IF((A110+16)&gt;=Model!$B$11,Model!$B$20,0)-IF(16&lt;Model!$B$15,Model!$B$22,0))/(1-Model!$B$9)/(1+Model!$B$18)^16))</f>
        <v/>
      </c>
      <c r="AE110" s="7">
        <f>IF(A110="","",IF((A110+17)&gt;Model!$B$4,0,MAX(0,Model!$B$6-IF((A110+17)&gt;=Model!$B$11,Model!$B$20,0)-IF(17&lt;Model!$B$15,Model!$B$22,0))/(1-Model!$B$9)/(1+Model!$B$18)^17))</f>
        <v/>
      </c>
      <c r="AF110" s="7">
        <f>IF(A110="","",IF((A110+18)&gt;Model!$B$4,0,MAX(0,Model!$B$6-IF((A110+18)&gt;=Model!$B$11,Model!$B$20,0)-IF(18&lt;Model!$B$15,Model!$B$22,0))/(1-Model!$B$9)/(1+Model!$B$18)^18))</f>
        <v/>
      </c>
      <c r="AG110" s="7">
        <f>IF(A110="","",IF((A110+19)&gt;Model!$B$4,0,MAX(0,Model!$B$6-IF((A110+19)&gt;=Model!$B$11,Model!$B$20,0)-IF(19&lt;Model!$B$15,Model!$B$22,0))/(1-Model!$B$9)/(1+Model!$B$18)^19))</f>
        <v/>
      </c>
      <c r="AH110" s="7">
        <f>IF(A110="","",IF((A110+20)&gt;Model!$B$4,0,MAX(0,Model!$B$6-IF((A110+20)&gt;=Model!$B$11,Model!$B$20,0)-IF(20&lt;Model!$B$15,Model!$B$22,0))/(1-Model!$B$9)/(1+Model!$B$18)^20))</f>
        <v/>
      </c>
      <c r="AI110" s="7">
        <f>IF(A110="","",IF((A110+21)&gt;Model!$B$4,0,MAX(0,Model!$B$6-IF((A110+21)&gt;=Model!$B$11,Model!$B$20,0)-IF(21&lt;Model!$B$15,Model!$B$22,0))/(1-Model!$B$9)/(1+Model!$B$18)^21))</f>
        <v/>
      </c>
      <c r="AJ110" s="7">
        <f>IF(A110="","",IF((A110+22)&gt;Model!$B$4,0,MAX(0,Model!$B$6-IF((A110+22)&gt;=Model!$B$11,Model!$B$20,0)-IF(22&lt;Model!$B$15,Model!$B$22,0))/(1-Model!$B$9)/(1+Model!$B$18)^22))</f>
        <v/>
      </c>
      <c r="AK110" s="7">
        <f>IF(A110="","",IF((A110+23)&gt;Model!$B$4,0,MAX(0,Model!$B$6-IF((A110+23)&gt;=Model!$B$11,Model!$B$20,0)-IF(23&lt;Model!$B$15,Model!$B$22,0))/(1-Model!$B$9)/(1+Model!$B$18)^23))</f>
        <v/>
      </c>
      <c r="AL110" s="7">
        <f>IF(A110="","",IF((A110+24)&gt;Model!$B$4,0,MAX(0,Model!$B$6-IF((A110+24)&gt;=Model!$B$11,Model!$B$20,0)-IF(24&lt;Model!$B$15,Model!$B$22,0))/(1-Model!$B$9)/(1+Model!$B$18)^24))</f>
        <v/>
      </c>
      <c r="AM110" s="7">
        <f>IF(A110="","",IF((A110+25)&gt;Model!$B$4,0,MAX(0,Model!$B$6-IF((A110+25)&gt;=Model!$B$11,Model!$B$20,0)-IF(25&lt;Model!$B$15,Model!$B$22,0))/(1-Model!$B$9)/(1+Model!$B$18)^25))</f>
        <v/>
      </c>
      <c r="AN110" s="7">
        <f>IF(A110="","",IF((A110+26)&gt;Model!$B$4,0,MAX(0,Model!$B$6-IF((A110+26)&gt;=Model!$B$11,Model!$B$20,0)-IF(26&lt;Model!$B$15,Model!$B$22,0))/(1-Model!$B$9)/(1+Model!$B$18)^26))</f>
        <v/>
      </c>
      <c r="AO110" s="7">
        <f>IF(A110="","",IF((A110+27)&gt;Model!$B$4,0,MAX(0,Model!$B$6-IF((A110+27)&gt;=Model!$B$11,Model!$B$20,0)-IF(27&lt;Model!$B$15,Model!$B$22,0))/(1-Model!$B$9)/(1+Model!$B$18)^27))</f>
        <v/>
      </c>
      <c r="AP110" s="7">
        <f>IF(A110="","",IF((A110+28)&gt;Model!$B$4,0,MAX(0,Model!$B$6-IF((A110+28)&gt;=Model!$B$11,Model!$B$20,0)-IF(28&lt;Model!$B$15,Model!$B$22,0))/(1-Model!$B$9)/(1+Model!$B$18)^28))</f>
        <v/>
      </c>
      <c r="AQ110" s="7">
        <f>IF(A110="","",IF((A110+29)&gt;Model!$B$4,0,MAX(0,Model!$B$6-IF((A110+29)&gt;=Model!$B$11,Model!$B$20,0)-IF(29&lt;Model!$B$15,Model!$B$22,0))/(1-Model!$B$9)/(1+Model!$B$18)^29))</f>
        <v/>
      </c>
      <c r="AR110" s="7">
        <f>IF(A110="","",IF((A110+30)&gt;Model!$B$4,0,MAX(0,Model!$B$6-IF((A110+30)&gt;=Model!$B$11,Model!$B$20,0)-IF(30&lt;Model!$B$15,Model!$B$22,0))/(1-Model!$B$9)/(1+Model!$B$18)^30))</f>
        <v/>
      </c>
      <c r="AS110" s="7">
        <f>IF(A110="","",IF((A110+31)&gt;Model!$B$4,0,MAX(0,Model!$B$6-IF((A110+31)&gt;=Model!$B$11,Model!$B$20,0)-IF(31&lt;Model!$B$15,Model!$B$22,0))/(1-Model!$B$9)/(1+Model!$B$18)^31))</f>
        <v/>
      </c>
      <c r="AT110" s="7">
        <f>IF(A110="","",IF((A110+32)&gt;Model!$B$4,0,MAX(0,Model!$B$6-IF((A110+32)&gt;=Model!$B$11,Model!$B$20,0)-IF(32&lt;Model!$B$15,Model!$B$22,0))/(1-Model!$B$9)/(1+Model!$B$18)^32))</f>
        <v/>
      </c>
      <c r="AU110" s="7">
        <f>IF(A110="","",IF((A110+33)&gt;Model!$B$4,0,MAX(0,Model!$B$6-IF((A110+33)&gt;=Model!$B$11,Model!$B$20,0)-IF(33&lt;Model!$B$15,Model!$B$22,0))/(1-Model!$B$9)/(1+Model!$B$18)^33))</f>
        <v/>
      </c>
      <c r="AV110" s="7">
        <f>IF(A110="","",IF((A110+34)&gt;Model!$B$4,0,MAX(0,Model!$B$6-IF((A110+34)&gt;=Model!$B$11,Model!$B$20,0)-IF(34&lt;Model!$B$15,Model!$B$22,0))/(1-Model!$B$9)/(1+Model!$B$18)^34))</f>
        <v/>
      </c>
      <c r="AW110" s="7">
        <f>IF(A110="","",IF((A110+35)&gt;Model!$B$4,0,MAX(0,Model!$B$6-IF((A110+35)&gt;=Model!$B$11,Model!$B$20,0)-IF(35&lt;Model!$B$15,Model!$B$22,0))/(1-Model!$B$9)/(1+Model!$B$18)^35))</f>
        <v/>
      </c>
      <c r="AX110" s="7">
        <f>IF(A110="","",IF((A110+36)&gt;Model!$B$4,0,MAX(0,Model!$B$6-IF((A110+36)&gt;=Model!$B$11,Model!$B$20,0)-IF(36&lt;Model!$B$15,Model!$B$22,0))/(1-Model!$B$9)/(1+Model!$B$18)^36))</f>
        <v/>
      </c>
      <c r="AY110" s="7">
        <f>IF(A110="","",IF((A110+37)&gt;Model!$B$4,0,MAX(0,Model!$B$6-IF((A110+37)&gt;=Model!$B$11,Model!$B$20,0)-IF(37&lt;Model!$B$15,Model!$B$22,0))/(1-Model!$B$9)/(1+Model!$B$18)^37))</f>
        <v/>
      </c>
      <c r="AZ110" s="7">
        <f>IF(A110="","",IF((A110+38)&gt;Model!$B$4,0,MAX(0,Model!$B$6-IF((A110+38)&gt;=Model!$B$11,Model!$B$20,0)-IF(38&lt;Model!$B$15,Model!$B$22,0))/(1-Model!$B$9)/(1+Model!$B$18)^38))</f>
        <v/>
      </c>
      <c r="BA110" s="7">
        <f>IF(A110="","",IF((A110+39)&gt;Model!$B$4,0,MAX(0,Model!$B$6-IF((A110+39)&gt;=Model!$B$11,Model!$B$20,0)-IF(39&lt;Model!$B$15,Model!$B$22,0))/(1-Model!$B$9)/(1+Model!$B$18)^39))</f>
        <v/>
      </c>
      <c r="BB110" s="7">
        <f>IF(A110="","",IF((A110+40)&gt;Model!$B$4,0,MAX(0,Model!$B$6-IF((A110+40)&gt;=Model!$B$11,Model!$B$20,0)-IF(40&lt;Model!$B$15,Model!$B$22,0))/(1-Model!$B$9)/(1+Model!$B$18)^40))</f>
        <v/>
      </c>
      <c r="BC110" s="7">
        <f>IF(A110="","",IF((A110+41)&gt;Model!$B$4,0,MAX(0,Model!$B$6-IF((A110+41)&gt;=Model!$B$11,Model!$B$20,0)-IF(41&lt;Model!$B$15,Model!$B$22,0))/(1-Model!$B$9)/(1+Model!$B$18)^41))</f>
        <v/>
      </c>
      <c r="BD110" s="7">
        <f>IF(A110="","",IF((A110+42)&gt;Model!$B$4,0,MAX(0,Model!$B$6-IF((A110+42)&gt;=Model!$B$11,Model!$B$20,0)-IF(42&lt;Model!$B$15,Model!$B$22,0))/(1-Model!$B$9)/(1+Model!$B$18)^42))</f>
        <v/>
      </c>
      <c r="BE110" s="7">
        <f>IF(A110="","",IF((A110+43)&gt;Model!$B$4,0,MAX(0,Model!$B$6-IF((A110+43)&gt;=Model!$B$11,Model!$B$20,0)-IF(43&lt;Model!$B$15,Model!$B$22,0))/(1-Model!$B$9)/(1+Model!$B$18)^43))</f>
        <v/>
      </c>
      <c r="BF110" s="7">
        <f>IF(A110="","",IF((A110+44)&gt;Model!$B$4,0,MAX(0,Model!$B$6-IF((A110+44)&gt;=Model!$B$11,Model!$B$20,0)-IF(44&lt;Model!$B$15,Model!$B$22,0))/(1-Model!$B$9)/(1+Model!$B$18)^44))</f>
        <v/>
      </c>
      <c r="BG110" s="7">
        <f>IF(A110="","",IF((A110+45)&gt;Model!$B$4,0,MAX(0,Model!$B$6-IF((A110+45)&gt;=Model!$B$11,Model!$B$20,0)-IF(45&lt;Model!$B$15,Model!$B$22,0))/(1-Model!$B$9)/(1+Model!$B$18)^45))</f>
        <v/>
      </c>
      <c r="BH110" s="7">
        <f>IF(A110="","",IF((A110+46)&gt;Model!$B$4,0,MAX(0,Model!$B$6-IF((A110+46)&gt;=Model!$B$11,Model!$B$20,0)-IF(46&lt;Model!$B$15,Model!$B$22,0))/(1-Model!$B$9)/(1+Model!$B$18)^46))</f>
        <v/>
      </c>
      <c r="BI110" s="7">
        <f>IF(A110="","",IF((A110+47)&gt;Model!$B$4,0,MAX(0,Model!$B$6-IF((A110+47)&gt;=Model!$B$11,Model!$B$20,0)-IF(47&lt;Model!$B$15,Model!$B$22,0))/(1-Model!$B$9)/(1+Model!$B$18)^47))</f>
        <v/>
      </c>
      <c r="BJ110" s="7">
        <f>IF(A110="","",IF((A110+48)&gt;Model!$B$4,0,MAX(0,Model!$B$6-IF((A110+48)&gt;=Model!$B$11,Model!$B$20,0)-IF(48&lt;Model!$B$15,Model!$B$22,0))/(1-Model!$B$9)/(1+Model!$B$18)^48))</f>
        <v/>
      </c>
      <c r="BK110" s="7">
        <f>IF(A110="","",IF((A110+49)&gt;Model!$B$4,0,MAX(0,Model!$B$6-IF((A110+49)&gt;=Model!$B$11,Model!$B$20,0)-IF(49&lt;Model!$B$15,Model!$B$22,0))/(1-Model!$B$9)/(1+Model!$B$18)^49))</f>
        <v/>
      </c>
      <c r="BL110" s="7">
        <f>IF(A110="","",IF((A110+50)&gt;Model!$B$4,0,MAX(0,Model!$B$6-IF((A110+50)&gt;=Model!$B$11,Model!$B$20,0)-IF(50&lt;Model!$B$15,Model!$B$22,0))/(1-Model!$B$9)/(1+Model!$B$18)^50))</f>
        <v/>
      </c>
      <c r="BM110" s="7">
        <f>IF(A110="","",IF((A110+51)&gt;Model!$B$4,0,MAX(0,Model!$B$6-IF((A110+51)&gt;=Model!$B$11,Model!$B$20,0)-IF(51&lt;Model!$B$15,Model!$B$22,0))/(1-Model!$B$9)/(1+Model!$B$18)^51))</f>
        <v/>
      </c>
      <c r="BN110" s="7">
        <f>IF(A110="","",IF((A110+52)&gt;Model!$B$4,0,MAX(0,Model!$B$6-IF((A110+52)&gt;=Model!$B$11,Model!$B$20,0)-IF(52&lt;Model!$B$15,Model!$B$22,0))/(1-Model!$B$9)/(1+Model!$B$18)^52))</f>
        <v/>
      </c>
      <c r="BO110" s="7">
        <f>IF(A110="","",IF((A110+53)&gt;Model!$B$4,0,MAX(0,Model!$B$6-IF((A110+53)&gt;=Model!$B$11,Model!$B$20,0)-IF(53&lt;Model!$B$15,Model!$B$22,0))/(1-Model!$B$9)/(1+Model!$B$18)^53))</f>
        <v/>
      </c>
      <c r="BP110" s="7">
        <f>IF(A110="","",IF((A110+54)&gt;Model!$B$4,0,MAX(0,Model!$B$6-IF((A110+54)&gt;=Model!$B$11,Model!$B$20,0)-IF(54&lt;Model!$B$15,Model!$B$22,0))/(1-Model!$B$9)/(1+Model!$B$18)^54))</f>
        <v/>
      </c>
      <c r="BQ110" s="7">
        <f>IF(A110="","",IF((A110+55)&gt;Model!$B$4,0,MAX(0,Model!$B$6-IF((A110+55)&gt;=Model!$B$11,Model!$B$20,0)-IF(55&lt;Model!$B$15,Model!$B$22,0))/(1-Model!$B$9)/(1+Model!$B$18)^55))</f>
        <v/>
      </c>
      <c r="BR110" s="7">
        <f>IF(A110="","",IF((A110+56)&gt;Model!$B$4,0,MAX(0,Model!$B$6-IF((A110+56)&gt;=Model!$B$11,Model!$B$20,0)-IF(56&lt;Model!$B$15,Model!$B$22,0))/(1-Model!$B$9)/(1+Model!$B$18)^56))</f>
        <v/>
      </c>
      <c r="BS110" s="7">
        <f>IF(A110="","",IF((A110+57)&gt;Model!$B$4,0,MAX(0,Model!$B$6-IF((A110+57)&gt;=Model!$B$11,Model!$B$20,0)-IF(57&lt;Model!$B$15,Model!$B$22,0))/(1-Model!$B$9)/(1+Model!$B$18)^57))</f>
        <v/>
      </c>
      <c r="BT110" s="7">
        <f>IF(A110="","",IF((A110+58)&gt;Model!$B$4,0,MAX(0,Model!$B$6-IF((A110+58)&gt;=Model!$B$11,Model!$B$20,0)-IF(58&lt;Model!$B$15,Model!$B$22,0))/(1-Model!$B$9)/(1+Model!$B$18)^58))</f>
        <v/>
      </c>
      <c r="BU110" s="7">
        <f>IF(A110="","",IF((A110+59)&gt;Model!$B$4,0,MAX(0,Model!$B$6-IF((A110+59)&gt;=Model!$B$11,Model!$B$20,0)-IF(59&lt;Model!$B$15,Model!$B$22,0))/(1-Model!$B$9)/(1+Model!$B$18)^59))</f>
        <v/>
      </c>
      <c r="BV110" s="7">
        <f>IF(A110="","",IF((A110+60)&gt;Model!$B$4,0,MAX(0,Model!$B$6-IF((A110+60)&gt;=Model!$B$11,Model!$B$20,0)-IF(60&lt;Model!$B$15,Model!$B$22,0))/(1-Model!$B$9)/(1+Model!$B$18)^60))</f>
        <v/>
      </c>
      <c r="BW110" s="7">
        <f>IF(A110="","",IF((A110+61)&gt;Model!$B$4,0,MAX(0,Model!$B$6-IF((A110+61)&gt;=Model!$B$11,Model!$B$20,0)-IF(61&lt;Model!$B$15,Model!$B$22,0))/(1-Model!$B$9)/(1+Model!$B$18)^61))</f>
        <v/>
      </c>
      <c r="BX110" s="7">
        <f>IF(A110="","",IF((A110+62)&gt;Model!$B$4,0,MAX(0,Model!$B$6-IF((A110+62)&gt;=Model!$B$11,Model!$B$20,0)-IF(62&lt;Model!$B$15,Model!$B$22,0))/(1-Model!$B$9)/(1+Model!$B$18)^62))</f>
        <v/>
      </c>
      <c r="BY110" s="7">
        <f>IF(A110="","",IF((A110+63)&gt;Model!$B$4,0,MAX(0,Model!$B$6-IF((A110+63)&gt;=Model!$B$11,Model!$B$20,0)-IF(63&lt;Model!$B$15,Model!$B$22,0))/(1-Model!$B$9)/(1+Model!$B$18)^63))</f>
        <v/>
      </c>
      <c r="BZ110" s="7">
        <f>IF(A110="","",IF((A110+64)&gt;Model!$B$4,0,MAX(0,Model!$B$6-IF((A110+64)&gt;=Model!$B$11,Model!$B$20,0)-IF(64&lt;Model!$B$15,Model!$B$22,0))/(1-Model!$B$9)/(1+Model!$B$18)^64))</f>
        <v/>
      </c>
      <c r="CA110" s="7">
        <f>IF(A110="","",IF((A110+65)&gt;Model!$B$4,0,MAX(0,Model!$B$6-IF((A110+65)&gt;=Model!$B$11,Model!$B$20,0)-IF(65&lt;Model!$B$15,Model!$B$22,0))/(1-Model!$B$9)/(1+Model!$B$18)^65))</f>
        <v/>
      </c>
      <c r="CB110" s="7">
        <f>IF(A110="","",IF((A110+66)&gt;Model!$B$4,0,MAX(0,Model!$B$6-IF((A110+66)&gt;=Model!$B$11,Model!$B$20,0)-IF(66&lt;Model!$B$15,Model!$B$22,0))/(1-Model!$B$9)/(1+Model!$B$18)^66))</f>
        <v/>
      </c>
      <c r="CC110" s="7">
        <f>IF(A110="","",IF((A110+67)&gt;Model!$B$4,0,MAX(0,Model!$B$6-IF((A110+67)&gt;=Model!$B$11,Model!$B$20,0)-IF(67&lt;Model!$B$15,Model!$B$22,0))/(1-Model!$B$9)/(1+Model!$B$18)^67))</f>
        <v/>
      </c>
      <c r="CD110" s="7">
        <f>IF(A110="","",IF((A110+68)&gt;Model!$B$4,0,MAX(0,Model!$B$6-IF((A110+68)&gt;=Model!$B$11,Model!$B$20,0)-IF(68&lt;Model!$B$15,Model!$B$22,0))/(1-Model!$B$9)/(1+Model!$B$18)^68))</f>
        <v/>
      </c>
      <c r="CE110" s="7">
        <f>IF(A110="","",IF((A110+69)&gt;Model!$B$4,0,MAX(0,Model!$B$6-IF((A110+69)&gt;=Model!$B$11,Model!$B$20,0)-IF(69&lt;Model!$B$15,Model!$B$22,0))/(1-Model!$B$9)/(1+Model!$B$18)^69))</f>
        <v/>
      </c>
      <c r="CF110" s="7">
        <f>IF(A110="","",IF((A110+70)&gt;Model!$B$4,0,MAX(0,Model!$B$6-IF((A110+70)&gt;=Model!$B$11,Model!$B$20,0)-IF(70&lt;Model!$B$15,Model!$B$22,0))/(1-Model!$B$9)/(1+Model!$B$18)^70))</f>
        <v/>
      </c>
      <c r="CG110" s="7">
        <f>IF(A110="","",IF((A110+71)&gt;Model!$B$4,0,MAX(0,Model!$B$6-IF((A110+71)&gt;=Model!$B$11,Model!$B$20,0)-IF(71&lt;Model!$B$15,Model!$B$22,0))/(1-Model!$B$9)/(1+Model!$B$18)^71))</f>
        <v/>
      </c>
      <c r="CH110" s="7">
        <f>IF(A110="","",IF((A110+72)&gt;Model!$B$4,0,MAX(0,Model!$B$6-IF((A110+72)&gt;=Model!$B$11,Model!$B$20,0)-IF(72&lt;Model!$B$15,Model!$B$22,0))/(1-Model!$B$9)/(1+Model!$B$18)^72))</f>
        <v/>
      </c>
      <c r="CI110" s="7">
        <f>IF(A110="","",IF((A110+73)&gt;Model!$B$4,0,MAX(0,Model!$B$6-IF((A110+73)&gt;=Model!$B$11,Model!$B$20,0)-IF(73&lt;Model!$B$15,Model!$B$22,0))/(1-Model!$B$9)/(1+Model!$B$18)^73))</f>
        <v/>
      </c>
      <c r="CJ110" s="7">
        <f>IF(A110="","",IF((A110+74)&gt;Model!$B$4,0,MAX(0,Model!$B$6-IF((A110+74)&gt;=Model!$B$11,Model!$B$20,0)-IF(74&lt;Model!$B$15,Model!$B$22,0))/(1-Model!$B$9)/(1+Model!$B$18)^74))</f>
        <v/>
      </c>
      <c r="CK110" s="7">
        <f>IF(A110="","",IF((A110+75)&gt;Model!$B$4,0,MAX(0,Model!$B$6-IF((A110+75)&gt;=Model!$B$11,Model!$B$20,0)-IF(75&lt;Model!$B$15,Model!$B$22,0))/(1-Model!$B$9)/(1+Model!$B$18)^75))</f>
        <v/>
      </c>
      <c r="CL110" s="7">
        <f>IF(A110="","",IF((A110+76)&gt;Model!$B$4,0,MAX(0,Model!$B$6-IF((A110+76)&gt;=Model!$B$11,Model!$B$20,0)-IF(76&lt;Model!$B$15,Model!$B$22,0))/(1-Model!$B$9)/(1+Model!$B$18)^76))</f>
        <v/>
      </c>
      <c r="CM110" s="7">
        <f>IF(A110="","",IF((A110+77)&gt;Model!$B$4,0,MAX(0,Model!$B$6-IF((A110+77)&gt;=Model!$B$11,Model!$B$20,0)-IF(77&lt;Model!$B$15,Model!$B$22,0))/(1-Model!$B$9)/(1+Model!$B$18)^77))</f>
        <v/>
      </c>
      <c r="CN110" s="7">
        <f>IF(A110="","",IF((A110+78)&gt;Model!$B$4,0,MAX(0,Model!$B$6-IF((A110+78)&gt;=Model!$B$11,Model!$B$20,0)-IF(78&lt;Model!$B$15,Model!$B$22,0))/(1-Model!$B$9)/(1+Model!$B$18)^78))</f>
        <v/>
      </c>
      <c r="CO110" s="7">
        <f>IF(A110="","",IF((A110+79)&gt;Model!$B$4,0,MAX(0,Model!$B$6-IF((A110+79)&gt;=Model!$B$11,Model!$B$20,0)-IF(79&lt;Model!$B$15,Model!$B$22,0))/(1-Model!$B$9)/(1+Model!$B$18)^79))</f>
        <v/>
      </c>
      <c r="CP110" s="7">
        <f>IF(A110="","",IF((A110+80)&gt;Model!$B$4,0,MAX(0,Model!$B$6-IF((A110+80)&gt;=Model!$B$11,Model!$B$20,0)-IF(80&lt;Model!$B$15,Model!$B$22,0))/(1-Model!$B$9)/(1+Model!$B$18)^80))</f>
        <v/>
      </c>
      <c r="CQ110" s="7">
        <f>IF(A110="","",IF((A110+81)&gt;Model!$B$4,0,MAX(0,Model!$B$6-IF((A110+81)&gt;=Model!$B$11,Model!$B$20,0)-IF(81&lt;Model!$B$15,Model!$B$22,0))/(1-Model!$B$9)/(1+Model!$B$18)^81))</f>
        <v/>
      </c>
      <c r="CR110" s="7">
        <f>IF(A110="","",IF((A110+82)&gt;Model!$B$4,0,MAX(0,Model!$B$6-IF((A110+82)&gt;=Model!$B$11,Model!$B$20,0)-IF(82&lt;Model!$B$15,Model!$B$22,0))/(1-Model!$B$9)/(1+Model!$B$18)^82))</f>
        <v/>
      </c>
      <c r="CS110" s="7">
        <f>IF(A110="","",IF((A110+83)&gt;Model!$B$4,0,MAX(0,Model!$B$6-IF((A110+83)&gt;=Model!$B$11,Model!$B$20,0)-IF(83&lt;Model!$B$15,Model!$B$22,0))/(1-Model!$B$9)/(1+Model!$B$18)^83))</f>
        <v/>
      </c>
      <c r="CT110" s="7">
        <f>IF(A110="","",IF((A110+84)&gt;Model!$B$4,0,MAX(0,Model!$B$6-IF((A110+84)&gt;=Model!$B$11,Model!$B$20,0)-IF(84&lt;Model!$B$15,Model!$B$22,0))/(1-Model!$B$9)/(1+Model!$B$18)^84))</f>
        <v/>
      </c>
      <c r="CU110" s="7">
        <f>IF(A110="","",IF((A110+85)&gt;Model!$B$4,0,MAX(0,Model!$B$6-IF((A110+85)&gt;=Model!$B$11,Model!$B$20,0)-IF(85&lt;Model!$B$15,Model!$B$22,0))/(1-Model!$B$9)/(1+Model!$B$18)^85))</f>
        <v/>
      </c>
      <c r="CV110" s="7">
        <f>IF(A110="","",IF((A110+86)&gt;Model!$B$4,0,MAX(0,Model!$B$6-IF((A110+86)&gt;=Model!$B$11,Model!$B$20,0)-IF(86&lt;Model!$B$15,Model!$B$22,0))/(1-Model!$B$9)/(1+Model!$B$18)^86))</f>
        <v/>
      </c>
      <c r="CW110" s="7">
        <f>IF(A110="","",IF((A110+87)&gt;Model!$B$4,0,MAX(0,Model!$B$6-IF((A110+87)&gt;=Model!$B$11,Model!$B$20,0)-IF(87&lt;Model!$B$15,Model!$B$22,0))/(1-Model!$B$9)/(1+Model!$B$18)^87))</f>
        <v/>
      </c>
      <c r="CX110" s="7">
        <f>IF(A110="","",IF((A110+88)&gt;Model!$B$4,0,MAX(0,Model!$B$6-IF((A110+88)&gt;=Model!$B$11,Model!$B$20,0)-IF(88&lt;Model!$B$15,Model!$B$22,0))/(1-Model!$B$9)/(1+Model!$B$18)^88))</f>
        <v/>
      </c>
      <c r="CY110" s="7">
        <f>IF(A110="","",IF((A110+89)&gt;Model!$B$4,0,MAX(0,Model!$B$6-IF((A110+89)&gt;=Model!$B$11,Model!$B$20,0)-IF(89&lt;Model!$B$15,Model!$B$22,0))/(1-Model!$B$9)/(1+Model!$B$18)^89))</f>
        <v/>
      </c>
      <c r="CZ110" s="7">
        <f>IF(A110="","",IF((A110+90)&gt;Model!$B$4,0,MAX(0,Model!$B$6-IF((A110+90)&gt;=Model!$B$11,Model!$B$20,0)-IF(90&lt;Model!$B$15,Model!$B$22,0))/(1-Model!$B$9)/(1+Model!$B$18)^90))</f>
        <v/>
      </c>
      <c r="DA110" s="7">
        <f>IF(A110="","",IF((A110+91)&gt;Model!$B$4,0,MAX(0,Model!$B$6-IF((A110+91)&gt;=Model!$B$11,Model!$B$20,0)-IF(91&lt;Model!$B$15,Model!$B$22,0))/(1-Model!$B$9)/(1+Model!$B$18)^91))</f>
        <v/>
      </c>
      <c r="DB110" s="7">
        <f>IF(A110="","",IF((A110+92)&gt;Model!$B$4,0,MAX(0,Model!$B$6-IF((A110+92)&gt;=Model!$B$11,Model!$B$20,0)-IF(92&lt;Model!$B$15,Model!$B$22,0))/(1-Model!$B$9)/(1+Model!$B$18)^92))</f>
        <v/>
      </c>
      <c r="DC110" s="7">
        <f>IF(A110="","",IF((A110+93)&gt;Model!$B$4,0,MAX(0,Model!$B$6-IF((A110+93)&gt;=Model!$B$11,Model!$B$20,0)-IF(93&lt;Model!$B$15,Model!$B$22,0))/(1-Model!$B$9)/(1+Model!$B$18)^93))</f>
        <v/>
      </c>
      <c r="DD110" s="7">
        <f>IF(A110="","",IF((A110+94)&gt;Model!$B$4,0,MAX(0,Model!$B$6-IF((A110+94)&gt;=Model!$B$11,Model!$B$20,0)-IF(94&lt;Model!$B$15,Model!$B$22,0))/(1-Model!$B$9)/(1+Model!$B$18)^94))</f>
        <v/>
      </c>
      <c r="DE110" s="7">
        <f>IF(A110="","",IF((A110+95)&gt;Model!$B$4,0,MAX(0,Model!$B$6-IF((A110+95)&gt;=Model!$B$11,Model!$B$20,0)-IF(95&lt;Model!$B$15,Model!$B$22,0))/(1-Model!$B$9)/(1+Model!$B$18)^95))</f>
        <v/>
      </c>
      <c r="DF110" s="7">
        <f>IF(A110="","",IF((A110+96)&gt;Model!$B$4,0,MAX(0,Model!$B$6-IF((A110+96)&gt;=Model!$B$11,Model!$B$20,0)-IF(96&lt;Model!$B$15,Model!$B$22,0))/(1-Model!$B$9)/(1+Model!$B$18)^96))</f>
        <v/>
      </c>
      <c r="DG110" s="7">
        <f>IF(A110="","",IF((A110+97)&gt;Model!$B$4,0,MAX(0,Model!$B$6-IF((A110+97)&gt;=Model!$B$11,Model!$B$20,0)-IF(97&lt;Model!$B$15,Model!$B$22,0))/(1-Model!$B$9)/(1+Model!$B$18)^97))</f>
        <v/>
      </c>
      <c r="DH110" s="7">
        <f>IF(A110="","",IF((A110+98)&gt;Model!$B$4,0,MAX(0,Model!$B$6-IF((A110+98)&gt;=Model!$B$11,Model!$B$20,0)-IF(98&lt;Model!$B$15,Model!$B$22,0))/(1-Model!$B$9)/(1+Model!$B$18)^98))</f>
        <v/>
      </c>
      <c r="DI110" s="7">
        <f>IF(A110="","",IF((A110+99)&gt;Model!$B$4,0,MAX(0,Model!$B$6-IF((A110+99)&gt;=Model!$B$11,Model!$B$20,0)-IF(99&lt;Model!$B$15,Model!$B$22,0))/(1-Model!$B$9)/(1+Model!$B$18)^99))</f>
        <v/>
      </c>
      <c r="DJ110" s="7">
        <f>IF(A110="","",IF((A110+100)&gt;Model!$B$4,0,MAX(0,Model!$B$6-IF((A110+100)&gt;=Model!$B$11,Model!$B$20,0)-IF(100&lt;Model!$B$15,Model!$B$22,0))/(1-Model!$B$9)/(1+Model!$B$18)^100))</f>
        <v/>
      </c>
      <c r="DK110" s="7">
        <f>IF(A110="","",IF((A110+101)&gt;Model!$B$4,0,MAX(0,Model!$B$6-IF((A110+101)&gt;=Model!$B$11,Model!$B$20,0)-IF(101&lt;Model!$B$15,Model!$B$22,0))/(1-Model!$B$9)/(1+Model!$B$18)^101))</f>
        <v/>
      </c>
      <c r="DL110" s="7">
        <f>IF(A110="","",IF((A110+102)&gt;Model!$B$4,0,MAX(0,Model!$B$6-IF((A110+102)&gt;=Model!$B$11,Model!$B$20,0)-IF(102&lt;Model!$B$15,Model!$B$22,0))/(1-Model!$B$9)/(1+Model!$B$18)^102))</f>
        <v/>
      </c>
      <c r="DM110" s="7">
        <f>IF(A110="","",IF((A110+103)&gt;Model!$B$4,0,MAX(0,Model!$B$6-IF((A110+103)&gt;=Model!$B$11,Model!$B$20,0)-IF(103&lt;Model!$B$15,Model!$B$22,0))/(1-Model!$B$9)/(1+Model!$B$18)^103))</f>
        <v/>
      </c>
      <c r="DN110" s="7">
        <f>IF(A110="","",IF((A110+104)&gt;Model!$B$4,0,MAX(0,Model!$B$6-IF((A110+104)&gt;=Model!$B$11,Model!$B$20,0)-IF(104&lt;Model!$B$15,Model!$B$22,0))/(1-Model!$B$9)/(1+Model!$B$18)^104))</f>
        <v/>
      </c>
      <c r="DO110" s="7">
        <f>IF(A110="","",IF((A110+105)&gt;Model!$B$4,0,MAX(0,Model!$B$6-IF((A110+105)&gt;=Model!$B$11,Model!$B$20,0)-IF(105&lt;Model!$B$15,Model!$B$22,0))/(1-Model!$B$9)/(1+Model!$B$18)^105))</f>
        <v/>
      </c>
      <c r="DP110" s="7">
        <f>IF(A110="","",IF((A110+106)&gt;Model!$B$4,0,MAX(0,Model!$B$6-IF((A110+106)&gt;=Model!$B$11,Model!$B$20,0)-IF(106&lt;Model!$B$15,Model!$B$22,0))/(1-Model!$B$9)/(1+Model!$B$18)^106))</f>
        <v/>
      </c>
      <c r="DQ110" s="7">
        <f>IF(A110="","",IF((A110+107)&gt;Model!$B$4,0,MAX(0,Model!$B$6-IF((A110+107)&gt;=Model!$B$11,Model!$B$20,0)-IF(107&lt;Model!$B$15,Model!$B$22,0))/(1-Model!$B$9)/(1+Model!$B$18)^107))</f>
        <v/>
      </c>
      <c r="DR110" s="7">
        <f>IF(A110="","",IF((A110+108)&gt;Model!$B$4,0,MAX(0,Model!$B$6-IF((A110+108)&gt;=Model!$B$11,Model!$B$20,0)-IF(108&lt;Model!$B$15,Model!$B$22,0))/(1-Model!$B$9)/(1+Model!$B$18)^108))</f>
        <v/>
      </c>
      <c r="DS110" s="7">
        <f>IF(A110="","",IF((A110+109)&gt;Model!$B$4,0,MAX(0,Model!$B$6-IF((A110+109)&gt;=Model!$B$11,Model!$B$20,0)-IF(109&lt;Model!$B$15,Model!$B$22,0))/(1-Model!$B$9)/(1+Model!$B$18)^109))</f>
        <v/>
      </c>
      <c r="DT110" s="7">
        <f>IF(A110="","",IF((A110+110)&gt;Model!$B$4,0,MAX(0,Model!$B$6-IF((A110+110)&gt;=Model!$B$11,Model!$B$20,0)-IF(110&lt;Model!$B$15,Model!$B$22,0))/(1-Model!$B$9)/(1+Model!$B$18)^110))</f>
        <v/>
      </c>
      <c r="DU110" s="7">
        <f>IF(A110="","",IF((A110+111)&gt;Model!$B$4,0,MAX(0,Model!$B$6-IF((A110+111)&gt;=Model!$B$11,Model!$B$20,0)-IF(111&lt;Model!$B$15,Model!$B$22,0))/(1-Model!$B$9)/(1+Model!$B$18)^111))</f>
        <v/>
      </c>
      <c r="DV110" s="7">
        <f>IF(A110="","",IF((A110+112)&gt;Model!$B$4,0,MAX(0,Model!$B$6-IF((A110+112)&gt;=Model!$B$11,Model!$B$20,0)-IF(112&lt;Model!$B$15,Model!$B$22,0))/(1-Model!$B$9)/(1+Model!$B$18)^112))</f>
        <v/>
      </c>
      <c r="DW110" s="7">
        <f>IF(A110="","",IF((A110+113)&gt;Model!$B$4,0,MAX(0,Model!$B$6-IF((A110+113)&gt;=Model!$B$11,Model!$B$20,0)-IF(113&lt;Model!$B$15,Model!$B$22,0))/(1-Model!$B$9)/(1+Model!$B$18)^113))</f>
        <v/>
      </c>
      <c r="DX110" s="7">
        <f>IF(A110="","",IF((A110+114)&gt;Model!$B$4,0,MAX(0,Model!$B$6-IF((A110+114)&gt;=Model!$B$11,Model!$B$20,0)-IF(114&lt;Model!$B$15,Model!$B$22,0))/(1-Model!$B$9)/(1+Model!$B$18)^114))</f>
        <v/>
      </c>
      <c r="DY110" s="7">
        <f>IF(A110="","",IF((A110+115)&gt;Model!$B$4,0,MAX(0,Model!$B$6-IF((A110+115)&gt;=Model!$B$11,Model!$B$20,0)-IF(115&lt;Model!$B$15,Model!$B$22,0))/(1-Model!$B$9)/(1+Model!$B$18)^115))</f>
        <v/>
      </c>
      <c r="DZ110" s="7">
        <f>IF(A110="","",IF((A110+116)&gt;Model!$B$4,0,MAX(0,Model!$B$6-IF((A110+116)&gt;=Model!$B$11,Model!$B$20,0)-IF(116&lt;Model!$B$15,Model!$B$22,0))/(1-Model!$B$9)/(1+Model!$B$18)^116))</f>
        <v/>
      </c>
      <c r="EA110" s="7">
        <f>IF(A110="","",IF((A110+117)&gt;Model!$B$4,0,MAX(0,Model!$B$6-IF((A110+117)&gt;=Model!$B$11,Model!$B$20,0)-IF(117&lt;Model!$B$15,Model!$B$22,0))/(1-Model!$B$9)/(1+Model!$B$18)^117))</f>
        <v/>
      </c>
      <c r="EB110" s="7">
        <f>IF(A110="","",IF((A110+118)&gt;Model!$B$4,0,MAX(0,Model!$B$6-IF((A110+118)&gt;=Model!$B$11,Model!$B$20,0)-IF(118&lt;Model!$B$15,Model!$B$22,0))/(1-Model!$B$9)/(1+Model!$B$18)^118))</f>
        <v/>
      </c>
      <c r="EC110" s="7">
        <f>IF(A110="","",IF((A110+119)&gt;Model!$B$4,0,MAX(0,Model!$B$6-IF((A110+119)&gt;=Model!$B$11,Model!$B$20,0)-IF(119&lt;Model!$B$15,Model!$B$22,0))/(1-Model!$B$9)/(1+Model!$B$18)^119))</f>
        <v/>
      </c>
      <c r="ED110" s="7">
        <f>IF(A110="","",IF((A110+120)&gt;Model!$B$4,0,MAX(0,Model!$B$6-IF((A110+120)&gt;=Model!$B$11,Model!$B$20,0)-IF(120&lt;Model!$B$15,Model!$B$22,0))/(1-Model!$B$9)/(1+Model!$B$18)^120))</f>
        <v/>
      </c>
    </row>
    <row r="111">
      <c r="A111">
        <f>IF(Model!$B$10+ROW()-2&lt;=Model!$B$4,Model!$B$10+ROW()-2,"")</f>
        <v/>
      </c>
      <c r="B111">
        <f>IF(A111="","",A111-Model!$B$10)</f>
        <v/>
      </c>
      <c r="C111" s="7">
        <f>IF(A111="","",Model!$B$5*(1+Model!$B$18)^B111)</f>
        <v/>
      </c>
      <c r="D111" s="7">
        <f>IF(A111="","",SUM(N111:ED111))</f>
        <v/>
      </c>
      <c r="E111" s="7">
        <f>IF(A111="","",IF(A111&gt;=Model!$B$11,Model!$B$20,0))</f>
        <v/>
      </c>
      <c r="F111" s="7">
        <f>IF(A111="","",IF(Model!$B$15&gt;0,Model!$B$22,0))</f>
        <v/>
      </c>
      <c r="G111" s="7">
        <f>IF(A111="","",E111+F111)</f>
        <v/>
      </c>
      <c r="H111" s="7">
        <f>IF(A111="","",MAX(0,Model!$B$6-G111))</f>
        <v/>
      </c>
      <c r="I111" s="7">
        <f>IF(A111="","",H111/(1-Model!$B$9))</f>
        <v/>
      </c>
      <c r="J111" s="7">
        <f>IF(A111="","",C111-D111)</f>
        <v/>
      </c>
      <c r="K111">
        <f>IF(A111="","",C111&gt;=D111)</f>
        <v/>
      </c>
      <c r="L111" s="7">
        <f>IF(A111="","",IF(A111&gt;=Model!$B$11,Model!$B$19*(1+Model!$B$13)^B111,0))</f>
        <v/>
      </c>
      <c r="M111" s="7">
        <f>IF(A111="","",IF(Model!$B$15&gt;0,Model!$B$21*(1+Model!$B$13)^B111,0))</f>
        <v/>
      </c>
      <c r="N111" s="7">
        <f>IF(A111="","",IF((A111+0)&gt;Model!$B$4,0,MAX(0,Model!$B$6-IF((A111+0)&gt;=Model!$B$11,Model!$B$20,0)-IF(0&lt;Model!$B$15,Model!$B$22,0))/(1-Model!$B$9)/(1+Model!$B$18)^0))</f>
        <v/>
      </c>
      <c r="O111" s="7">
        <f>IF(A111="","",IF((A111+1)&gt;Model!$B$4,0,MAX(0,Model!$B$6-IF((A111+1)&gt;=Model!$B$11,Model!$B$20,0)-IF(1&lt;Model!$B$15,Model!$B$22,0))/(1-Model!$B$9)/(1+Model!$B$18)^1))</f>
        <v/>
      </c>
      <c r="P111" s="7">
        <f>IF(A111="","",IF((A111+2)&gt;Model!$B$4,0,MAX(0,Model!$B$6-IF((A111+2)&gt;=Model!$B$11,Model!$B$20,0)-IF(2&lt;Model!$B$15,Model!$B$22,0))/(1-Model!$B$9)/(1+Model!$B$18)^2))</f>
        <v/>
      </c>
      <c r="Q111" s="7">
        <f>IF(A111="","",IF((A111+3)&gt;Model!$B$4,0,MAX(0,Model!$B$6-IF((A111+3)&gt;=Model!$B$11,Model!$B$20,0)-IF(3&lt;Model!$B$15,Model!$B$22,0))/(1-Model!$B$9)/(1+Model!$B$18)^3))</f>
        <v/>
      </c>
      <c r="R111" s="7">
        <f>IF(A111="","",IF((A111+4)&gt;Model!$B$4,0,MAX(0,Model!$B$6-IF((A111+4)&gt;=Model!$B$11,Model!$B$20,0)-IF(4&lt;Model!$B$15,Model!$B$22,0))/(1-Model!$B$9)/(1+Model!$B$18)^4))</f>
        <v/>
      </c>
      <c r="S111" s="7">
        <f>IF(A111="","",IF((A111+5)&gt;Model!$B$4,0,MAX(0,Model!$B$6-IF((A111+5)&gt;=Model!$B$11,Model!$B$20,0)-IF(5&lt;Model!$B$15,Model!$B$22,0))/(1-Model!$B$9)/(1+Model!$B$18)^5))</f>
        <v/>
      </c>
      <c r="T111" s="7">
        <f>IF(A111="","",IF((A111+6)&gt;Model!$B$4,0,MAX(0,Model!$B$6-IF((A111+6)&gt;=Model!$B$11,Model!$B$20,0)-IF(6&lt;Model!$B$15,Model!$B$22,0))/(1-Model!$B$9)/(1+Model!$B$18)^6))</f>
        <v/>
      </c>
      <c r="U111" s="7">
        <f>IF(A111="","",IF((A111+7)&gt;Model!$B$4,0,MAX(0,Model!$B$6-IF((A111+7)&gt;=Model!$B$11,Model!$B$20,0)-IF(7&lt;Model!$B$15,Model!$B$22,0))/(1-Model!$B$9)/(1+Model!$B$18)^7))</f>
        <v/>
      </c>
      <c r="V111" s="7">
        <f>IF(A111="","",IF((A111+8)&gt;Model!$B$4,0,MAX(0,Model!$B$6-IF((A111+8)&gt;=Model!$B$11,Model!$B$20,0)-IF(8&lt;Model!$B$15,Model!$B$22,0))/(1-Model!$B$9)/(1+Model!$B$18)^8))</f>
        <v/>
      </c>
      <c r="W111" s="7">
        <f>IF(A111="","",IF((A111+9)&gt;Model!$B$4,0,MAX(0,Model!$B$6-IF((A111+9)&gt;=Model!$B$11,Model!$B$20,0)-IF(9&lt;Model!$B$15,Model!$B$22,0))/(1-Model!$B$9)/(1+Model!$B$18)^9))</f>
        <v/>
      </c>
      <c r="X111" s="7">
        <f>IF(A111="","",IF((A111+10)&gt;Model!$B$4,0,MAX(0,Model!$B$6-IF((A111+10)&gt;=Model!$B$11,Model!$B$20,0)-IF(10&lt;Model!$B$15,Model!$B$22,0))/(1-Model!$B$9)/(1+Model!$B$18)^10))</f>
        <v/>
      </c>
      <c r="Y111" s="7">
        <f>IF(A111="","",IF((A111+11)&gt;Model!$B$4,0,MAX(0,Model!$B$6-IF((A111+11)&gt;=Model!$B$11,Model!$B$20,0)-IF(11&lt;Model!$B$15,Model!$B$22,0))/(1-Model!$B$9)/(1+Model!$B$18)^11))</f>
        <v/>
      </c>
      <c r="Z111" s="7">
        <f>IF(A111="","",IF((A111+12)&gt;Model!$B$4,0,MAX(0,Model!$B$6-IF((A111+12)&gt;=Model!$B$11,Model!$B$20,0)-IF(12&lt;Model!$B$15,Model!$B$22,0))/(1-Model!$B$9)/(1+Model!$B$18)^12))</f>
        <v/>
      </c>
      <c r="AA111" s="7">
        <f>IF(A111="","",IF((A111+13)&gt;Model!$B$4,0,MAX(0,Model!$B$6-IF((A111+13)&gt;=Model!$B$11,Model!$B$20,0)-IF(13&lt;Model!$B$15,Model!$B$22,0))/(1-Model!$B$9)/(1+Model!$B$18)^13))</f>
        <v/>
      </c>
      <c r="AB111" s="7">
        <f>IF(A111="","",IF((A111+14)&gt;Model!$B$4,0,MAX(0,Model!$B$6-IF((A111+14)&gt;=Model!$B$11,Model!$B$20,0)-IF(14&lt;Model!$B$15,Model!$B$22,0))/(1-Model!$B$9)/(1+Model!$B$18)^14))</f>
        <v/>
      </c>
      <c r="AC111" s="7">
        <f>IF(A111="","",IF((A111+15)&gt;Model!$B$4,0,MAX(0,Model!$B$6-IF((A111+15)&gt;=Model!$B$11,Model!$B$20,0)-IF(15&lt;Model!$B$15,Model!$B$22,0))/(1-Model!$B$9)/(1+Model!$B$18)^15))</f>
        <v/>
      </c>
      <c r="AD111" s="7">
        <f>IF(A111="","",IF((A111+16)&gt;Model!$B$4,0,MAX(0,Model!$B$6-IF((A111+16)&gt;=Model!$B$11,Model!$B$20,0)-IF(16&lt;Model!$B$15,Model!$B$22,0))/(1-Model!$B$9)/(1+Model!$B$18)^16))</f>
        <v/>
      </c>
      <c r="AE111" s="7">
        <f>IF(A111="","",IF((A111+17)&gt;Model!$B$4,0,MAX(0,Model!$B$6-IF((A111+17)&gt;=Model!$B$11,Model!$B$20,0)-IF(17&lt;Model!$B$15,Model!$B$22,0))/(1-Model!$B$9)/(1+Model!$B$18)^17))</f>
        <v/>
      </c>
      <c r="AF111" s="7">
        <f>IF(A111="","",IF((A111+18)&gt;Model!$B$4,0,MAX(0,Model!$B$6-IF((A111+18)&gt;=Model!$B$11,Model!$B$20,0)-IF(18&lt;Model!$B$15,Model!$B$22,0))/(1-Model!$B$9)/(1+Model!$B$18)^18))</f>
        <v/>
      </c>
      <c r="AG111" s="7">
        <f>IF(A111="","",IF((A111+19)&gt;Model!$B$4,0,MAX(0,Model!$B$6-IF((A111+19)&gt;=Model!$B$11,Model!$B$20,0)-IF(19&lt;Model!$B$15,Model!$B$22,0))/(1-Model!$B$9)/(1+Model!$B$18)^19))</f>
        <v/>
      </c>
      <c r="AH111" s="7">
        <f>IF(A111="","",IF((A111+20)&gt;Model!$B$4,0,MAX(0,Model!$B$6-IF((A111+20)&gt;=Model!$B$11,Model!$B$20,0)-IF(20&lt;Model!$B$15,Model!$B$22,0))/(1-Model!$B$9)/(1+Model!$B$18)^20))</f>
        <v/>
      </c>
      <c r="AI111" s="7">
        <f>IF(A111="","",IF((A111+21)&gt;Model!$B$4,0,MAX(0,Model!$B$6-IF((A111+21)&gt;=Model!$B$11,Model!$B$20,0)-IF(21&lt;Model!$B$15,Model!$B$22,0))/(1-Model!$B$9)/(1+Model!$B$18)^21))</f>
        <v/>
      </c>
      <c r="AJ111" s="7">
        <f>IF(A111="","",IF((A111+22)&gt;Model!$B$4,0,MAX(0,Model!$B$6-IF((A111+22)&gt;=Model!$B$11,Model!$B$20,0)-IF(22&lt;Model!$B$15,Model!$B$22,0))/(1-Model!$B$9)/(1+Model!$B$18)^22))</f>
        <v/>
      </c>
      <c r="AK111" s="7">
        <f>IF(A111="","",IF((A111+23)&gt;Model!$B$4,0,MAX(0,Model!$B$6-IF((A111+23)&gt;=Model!$B$11,Model!$B$20,0)-IF(23&lt;Model!$B$15,Model!$B$22,0))/(1-Model!$B$9)/(1+Model!$B$18)^23))</f>
        <v/>
      </c>
      <c r="AL111" s="7">
        <f>IF(A111="","",IF((A111+24)&gt;Model!$B$4,0,MAX(0,Model!$B$6-IF((A111+24)&gt;=Model!$B$11,Model!$B$20,0)-IF(24&lt;Model!$B$15,Model!$B$22,0))/(1-Model!$B$9)/(1+Model!$B$18)^24))</f>
        <v/>
      </c>
      <c r="AM111" s="7">
        <f>IF(A111="","",IF((A111+25)&gt;Model!$B$4,0,MAX(0,Model!$B$6-IF((A111+25)&gt;=Model!$B$11,Model!$B$20,0)-IF(25&lt;Model!$B$15,Model!$B$22,0))/(1-Model!$B$9)/(1+Model!$B$18)^25))</f>
        <v/>
      </c>
      <c r="AN111" s="7">
        <f>IF(A111="","",IF((A111+26)&gt;Model!$B$4,0,MAX(0,Model!$B$6-IF((A111+26)&gt;=Model!$B$11,Model!$B$20,0)-IF(26&lt;Model!$B$15,Model!$B$22,0))/(1-Model!$B$9)/(1+Model!$B$18)^26))</f>
        <v/>
      </c>
      <c r="AO111" s="7">
        <f>IF(A111="","",IF((A111+27)&gt;Model!$B$4,0,MAX(0,Model!$B$6-IF((A111+27)&gt;=Model!$B$11,Model!$B$20,0)-IF(27&lt;Model!$B$15,Model!$B$22,0))/(1-Model!$B$9)/(1+Model!$B$18)^27))</f>
        <v/>
      </c>
      <c r="AP111" s="7">
        <f>IF(A111="","",IF((A111+28)&gt;Model!$B$4,0,MAX(0,Model!$B$6-IF((A111+28)&gt;=Model!$B$11,Model!$B$20,0)-IF(28&lt;Model!$B$15,Model!$B$22,0))/(1-Model!$B$9)/(1+Model!$B$18)^28))</f>
        <v/>
      </c>
      <c r="AQ111" s="7">
        <f>IF(A111="","",IF((A111+29)&gt;Model!$B$4,0,MAX(0,Model!$B$6-IF((A111+29)&gt;=Model!$B$11,Model!$B$20,0)-IF(29&lt;Model!$B$15,Model!$B$22,0))/(1-Model!$B$9)/(1+Model!$B$18)^29))</f>
        <v/>
      </c>
      <c r="AR111" s="7">
        <f>IF(A111="","",IF((A111+30)&gt;Model!$B$4,0,MAX(0,Model!$B$6-IF((A111+30)&gt;=Model!$B$11,Model!$B$20,0)-IF(30&lt;Model!$B$15,Model!$B$22,0))/(1-Model!$B$9)/(1+Model!$B$18)^30))</f>
        <v/>
      </c>
      <c r="AS111" s="7">
        <f>IF(A111="","",IF((A111+31)&gt;Model!$B$4,0,MAX(0,Model!$B$6-IF((A111+31)&gt;=Model!$B$11,Model!$B$20,0)-IF(31&lt;Model!$B$15,Model!$B$22,0))/(1-Model!$B$9)/(1+Model!$B$18)^31))</f>
        <v/>
      </c>
      <c r="AT111" s="7">
        <f>IF(A111="","",IF((A111+32)&gt;Model!$B$4,0,MAX(0,Model!$B$6-IF((A111+32)&gt;=Model!$B$11,Model!$B$20,0)-IF(32&lt;Model!$B$15,Model!$B$22,0))/(1-Model!$B$9)/(1+Model!$B$18)^32))</f>
        <v/>
      </c>
      <c r="AU111" s="7">
        <f>IF(A111="","",IF((A111+33)&gt;Model!$B$4,0,MAX(0,Model!$B$6-IF((A111+33)&gt;=Model!$B$11,Model!$B$20,0)-IF(33&lt;Model!$B$15,Model!$B$22,0))/(1-Model!$B$9)/(1+Model!$B$18)^33))</f>
        <v/>
      </c>
      <c r="AV111" s="7">
        <f>IF(A111="","",IF((A111+34)&gt;Model!$B$4,0,MAX(0,Model!$B$6-IF((A111+34)&gt;=Model!$B$11,Model!$B$20,0)-IF(34&lt;Model!$B$15,Model!$B$22,0))/(1-Model!$B$9)/(1+Model!$B$18)^34))</f>
        <v/>
      </c>
      <c r="AW111" s="7">
        <f>IF(A111="","",IF((A111+35)&gt;Model!$B$4,0,MAX(0,Model!$B$6-IF((A111+35)&gt;=Model!$B$11,Model!$B$20,0)-IF(35&lt;Model!$B$15,Model!$B$22,0))/(1-Model!$B$9)/(1+Model!$B$18)^35))</f>
        <v/>
      </c>
      <c r="AX111" s="7">
        <f>IF(A111="","",IF((A111+36)&gt;Model!$B$4,0,MAX(0,Model!$B$6-IF((A111+36)&gt;=Model!$B$11,Model!$B$20,0)-IF(36&lt;Model!$B$15,Model!$B$22,0))/(1-Model!$B$9)/(1+Model!$B$18)^36))</f>
        <v/>
      </c>
      <c r="AY111" s="7">
        <f>IF(A111="","",IF((A111+37)&gt;Model!$B$4,0,MAX(0,Model!$B$6-IF((A111+37)&gt;=Model!$B$11,Model!$B$20,0)-IF(37&lt;Model!$B$15,Model!$B$22,0))/(1-Model!$B$9)/(1+Model!$B$18)^37))</f>
        <v/>
      </c>
      <c r="AZ111" s="7">
        <f>IF(A111="","",IF((A111+38)&gt;Model!$B$4,0,MAX(0,Model!$B$6-IF((A111+38)&gt;=Model!$B$11,Model!$B$20,0)-IF(38&lt;Model!$B$15,Model!$B$22,0))/(1-Model!$B$9)/(1+Model!$B$18)^38))</f>
        <v/>
      </c>
      <c r="BA111" s="7">
        <f>IF(A111="","",IF((A111+39)&gt;Model!$B$4,0,MAX(0,Model!$B$6-IF((A111+39)&gt;=Model!$B$11,Model!$B$20,0)-IF(39&lt;Model!$B$15,Model!$B$22,0))/(1-Model!$B$9)/(1+Model!$B$18)^39))</f>
        <v/>
      </c>
      <c r="BB111" s="7">
        <f>IF(A111="","",IF((A111+40)&gt;Model!$B$4,0,MAX(0,Model!$B$6-IF((A111+40)&gt;=Model!$B$11,Model!$B$20,0)-IF(40&lt;Model!$B$15,Model!$B$22,0))/(1-Model!$B$9)/(1+Model!$B$18)^40))</f>
        <v/>
      </c>
      <c r="BC111" s="7">
        <f>IF(A111="","",IF((A111+41)&gt;Model!$B$4,0,MAX(0,Model!$B$6-IF((A111+41)&gt;=Model!$B$11,Model!$B$20,0)-IF(41&lt;Model!$B$15,Model!$B$22,0))/(1-Model!$B$9)/(1+Model!$B$18)^41))</f>
        <v/>
      </c>
      <c r="BD111" s="7">
        <f>IF(A111="","",IF((A111+42)&gt;Model!$B$4,0,MAX(0,Model!$B$6-IF((A111+42)&gt;=Model!$B$11,Model!$B$20,0)-IF(42&lt;Model!$B$15,Model!$B$22,0))/(1-Model!$B$9)/(1+Model!$B$18)^42))</f>
        <v/>
      </c>
      <c r="BE111" s="7">
        <f>IF(A111="","",IF((A111+43)&gt;Model!$B$4,0,MAX(0,Model!$B$6-IF((A111+43)&gt;=Model!$B$11,Model!$B$20,0)-IF(43&lt;Model!$B$15,Model!$B$22,0))/(1-Model!$B$9)/(1+Model!$B$18)^43))</f>
        <v/>
      </c>
      <c r="BF111" s="7">
        <f>IF(A111="","",IF((A111+44)&gt;Model!$B$4,0,MAX(0,Model!$B$6-IF((A111+44)&gt;=Model!$B$11,Model!$B$20,0)-IF(44&lt;Model!$B$15,Model!$B$22,0))/(1-Model!$B$9)/(1+Model!$B$18)^44))</f>
        <v/>
      </c>
      <c r="BG111" s="7">
        <f>IF(A111="","",IF((A111+45)&gt;Model!$B$4,0,MAX(0,Model!$B$6-IF((A111+45)&gt;=Model!$B$11,Model!$B$20,0)-IF(45&lt;Model!$B$15,Model!$B$22,0))/(1-Model!$B$9)/(1+Model!$B$18)^45))</f>
        <v/>
      </c>
      <c r="BH111" s="7">
        <f>IF(A111="","",IF((A111+46)&gt;Model!$B$4,0,MAX(0,Model!$B$6-IF((A111+46)&gt;=Model!$B$11,Model!$B$20,0)-IF(46&lt;Model!$B$15,Model!$B$22,0))/(1-Model!$B$9)/(1+Model!$B$18)^46))</f>
        <v/>
      </c>
      <c r="BI111" s="7">
        <f>IF(A111="","",IF((A111+47)&gt;Model!$B$4,0,MAX(0,Model!$B$6-IF((A111+47)&gt;=Model!$B$11,Model!$B$20,0)-IF(47&lt;Model!$B$15,Model!$B$22,0))/(1-Model!$B$9)/(1+Model!$B$18)^47))</f>
        <v/>
      </c>
      <c r="BJ111" s="7">
        <f>IF(A111="","",IF((A111+48)&gt;Model!$B$4,0,MAX(0,Model!$B$6-IF((A111+48)&gt;=Model!$B$11,Model!$B$20,0)-IF(48&lt;Model!$B$15,Model!$B$22,0))/(1-Model!$B$9)/(1+Model!$B$18)^48))</f>
        <v/>
      </c>
      <c r="BK111" s="7">
        <f>IF(A111="","",IF((A111+49)&gt;Model!$B$4,0,MAX(0,Model!$B$6-IF((A111+49)&gt;=Model!$B$11,Model!$B$20,0)-IF(49&lt;Model!$B$15,Model!$B$22,0))/(1-Model!$B$9)/(1+Model!$B$18)^49))</f>
        <v/>
      </c>
      <c r="BL111" s="7">
        <f>IF(A111="","",IF((A111+50)&gt;Model!$B$4,0,MAX(0,Model!$B$6-IF((A111+50)&gt;=Model!$B$11,Model!$B$20,0)-IF(50&lt;Model!$B$15,Model!$B$22,0))/(1-Model!$B$9)/(1+Model!$B$18)^50))</f>
        <v/>
      </c>
      <c r="BM111" s="7">
        <f>IF(A111="","",IF((A111+51)&gt;Model!$B$4,0,MAX(0,Model!$B$6-IF((A111+51)&gt;=Model!$B$11,Model!$B$20,0)-IF(51&lt;Model!$B$15,Model!$B$22,0))/(1-Model!$B$9)/(1+Model!$B$18)^51))</f>
        <v/>
      </c>
      <c r="BN111" s="7">
        <f>IF(A111="","",IF((A111+52)&gt;Model!$B$4,0,MAX(0,Model!$B$6-IF((A111+52)&gt;=Model!$B$11,Model!$B$20,0)-IF(52&lt;Model!$B$15,Model!$B$22,0))/(1-Model!$B$9)/(1+Model!$B$18)^52))</f>
        <v/>
      </c>
      <c r="BO111" s="7">
        <f>IF(A111="","",IF((A111+53)&gt;Model!$B$4,0,MAX(0,Model!$B$6-IF((A111+53)&gt;=Model!$B$11,Model!$B$20,0)-IF(53&lt;Model!$B$15,Model!$B$22,0))/(1-Model!$B$9)/(1+Model!$B$18)^53))</f>
        <v/>
      </c>
      <c r="BP111" s="7">
        <f>IF(A111="","",IF((A111+54)&gt;Model!$B$4,0,MAX(0,Model!$B$6-IF((A111+54)&gt;=Model!$B$11,Model!$B$20,0)-IF(54&lt;Model!$B$15,Model!$B$22,0))/(1-Model!$B$9)/(1+Model!$B$18)^54))</f>
        <v/>
      </c>
      <c r="BQ111" s="7">
        <f>IF(A111="","",IF((A111+55)&gt;Model!$B$4,0,MAX(0,Model!$B$6-IF((A111+55)&gt;=Model!$B$11,Model!$B$20,0)-IF(55&lt;Model!$B$15,Model!$B$22,0))/(1-Model!$B$9)/(1+Model!$B$18)^55))</f>
        <v/>
      </c>
      <c r="BR111" s="7">
        <f>IF(A111="","",IF((A111+56)&gt;Model!$B$4,0,MAX(0,Model!$B$6-IF((A111+56)&gt;=Model!$B$11,Model!$B$20,0)-IF(56&lt;Model!$B$15,Model!$B$22,0))/(1-Model!$B$9)/(1+Model!$B$18)^56))</f>
        <v/>
      </c>
      <c r="BS111" s="7">
        <f>IF(A111="","",IF((A111+57)&gt;Model!$B$4,0,MAX(0,Model!$B$6-IF((A111+57)&gt;=Model!$B$11,Model!$B$20,0)-IF(57&lt;Model!$B$15,Model!$B$22,0))/(1-Model!$B$9)/(1+Model!$B$18)^57))</f>
        <v/>
      </c>
      <c r="BT111" s="7">
        <f>IF(A111="","",IF((A111+58)&gt;Model!$B$4,0,MAX(0,Model!$B$6-IF((A111+58)&gt;=Model!$B$11,Model!$B$20,0)-IF(58&lt;Model!$B$15,Model!$B$22,0))/(1-Model!$B$9)/(1+Model!$B$18)^58))</f>
        <v/>
      </c>
      <c r="BU111" s="7">
        <f>IF(A111="","",IF((A111+59)&gt;Model!$B$4,0,MAX(0,Model!$B$6-IF((A111+59)&gt;=Model!$B$11,Model!$B$20,0)-IF(59&lt;Model!$B$15,Model!$B$22,0))/(1-Model!$B$9)/(1+Model!$B$18)^59))</f>
        <v/>
      </c>
      <c r="BV111" s="7">
        <f>IF(A111="","",IF((A111+60)&gt;Model!$B$4,0,MAX(0,Model!$B$6-IF((A111+60)&gt;=Model!$B$11,Model!$B$20,0)-IF(60&lt;Model!$B$15,Model!$B$22,0))/(1-Model!$B$9)/(1+Model!$B$18)^60))</f>
        <v/>
      </c>
      <c r="BW111" s="7">
        <f>IF(A111="","",IF((A111+61)&gt;Model!$B$4,0,MAX(0,Model!$B$6-IF((A111+61)&gt;=Model!$B$11,Model!$B$20,0)-IF(61&lt;Model!$B$15,Model!$B$22,0))/(1-Model!$B$9)/(1+Model!$B$18)^61))</f>
        <v/>
      </c>
      <c r="BX111" s="7">
        <f>IF(A111="","",IF((A111+62)&gt;Model!$B$4,0,MAX(0,Model!$B$6-IF((A111+62)&gt;=Model!$B$11,Model!$B$20,0)-IF(62&lt;Model!$B$15,Model!$B$22,0))/(1-Model!$B$9)/(1+Model!$B$18)^62))</f>
        <v/>
      </c>
      <c r="BY111" s="7">
        <f>IF(A111="","",IF((A111+63)&gt;Model!$B$4,0,MAX(0,Model!$B$6-IF((A111+63)&gt;=Model!$B$11,Model!$B$20,0)-IF(63&lt;Model!$B$15,Model!$B$22,0))/(1-Model!$B$9)/(1+Model!$B$18)^63))</f>
        <v/>
      </c>
      <c r="BZ111" s="7">
        <f>IF(A111="","",IF((A111+64)&gt;Model!$B$4,0,MAX(0,Model!$B$6-IF((A111+64)&gt;=Model!$B$11,Model!$B$20,0)-IF(64&lt;Model!$B$15,Model!$B$22,0))/(1-Model!$B$9)/(1+Model!$B$18)^64))</f>
        <v/>
      </c>
      <c r="CA111" s="7">
        <f>IF(A111="","",IF((A111+65)&gt;Model!$B$4,0,MAX(0,Model!$B$6-IF((A111+65)&gt;=Model!$B$11,Model!$B$20,0)-IF(65&lt;Model!$B$15,Model!$B$22,0))/(1-Model!$B$9)/(1+Model!$B$18)^65))</f>
        <v/>
      </c>
      <c r="CB111" s="7">
        <f>IF(A111="","",IF((A111+66)&gt;Model!$B$4,0,MAX(0,Model!$B$6-IF((A111+66)&gt;=Model!$B$11,Model!$B$20,0)-IF(66&lt;Model!$B$15,Model!$B$22,0))/(1-Model!$B$9)/(1+Model!$B$18)^66))</f>
        <v/>
      </c>
      <c r="CC111" s="7">
        <f>IF(A111="","",IF((A111+67)&gt;Model!$B$4,0,MAX(0,Model!$B$6-IF((A111+67)&gt;=Model!$B$11,Model!$B$20,0)-IF(67&lt;Model!$B$15,Model!$B$22,0))/(1-Model!$B$9)/(1+Model!$B$18)^67))</f>
        <v/>
      </c>
      <c r="CD111" s="7">
        <f>IF(A111="","",IF((A111+68)&gt;Model!$B$4,0,MAX(0,Model!$B$6-IF((A111+68)&gt;=Model!$B$11,Model!$B$20,0)-IF(68&lt;Model!$B$15,Model!$B$22,0))/(1-Model!$B$9)/(1+Model!$B$18)^68))</f>
        <v/>
      </c>
      <c r="CE111" s="7">
        <f>IF(A111="","",IF((A111+69)&gt;Model!$B$4,0,MAX(0,Model!$B$6-IF((A111+69)&gt;=Model!$B$11,Model!$B$20,0)-IF(69&lt;Model!$B$15,Model!$B$22,0))/(1-Model!$B$9)/(1+Model!$B$18)^69))</f>
        <v/>
      </c>
      <c r="CF111" s="7">
        <f>IF(A111="","",IF((A111+70)&gt;Model!$B$4,0,MAX(0,Model!$B$6-IF((A111+70)&gt;=Model!$B$11,Model!$B$20,0)-IF(70&lt;Model!$B$15,Model!$B$22,0))/(1-Model!$B$9)/(1+Model!$B$18)^70))</f>
        <v/>
      </c>
      <c r="CG111" s="7">
        <f>IF(A111="","",IF((A111+71)&gt;Model!$B$4,0,MAX(0,Model!$B$6-IF((A111+71)&gt;=Model!$B$11,Model!$B$20,0)-IF(71&lt;Model!$B$15,Model!$B$22,0))/(1-Model!$B$9)/(1+Model!$B$18)^71))</f>
        <v/>
      </c>
      <c r="CH111" s="7">
        <f>IF(A111="","",IF((A111+72)&gt;Model!$B$4,0,MAX(0,Model!$B$6-IF((A111+72)&gt;=Model!$B$11,Model!$B$20,0)-IF(72&lt;Model!$B$15,Model!$B$22,0))/(1-Model!$B$9)/(1+Model!$B$18)^72))</f>
        <v/>
      </c>
      <c r="CI111" s="7">
        <f>IF(A111="","",IF((A111+73)&gt;Model!$B$4,0,MAX(0,Model!$B$6-IF((A111+73)&gt;=Model!$B$11,Model!$B$20,0)-IF(73&lt;Model!$B$15,Model!$B$22,0))/(1-Model!$B$9)/(1+Model!$B$18)^73))</f>
        <v/>
      </c>
      <c r="CJ111" s="7">
        <f>IF(A111="","",IF((A111+74)&gt;Model!$B$4,0,MAX(0,Model!$B$6-IF((A111+74)&gt;=Model!$B$11,Model!$B$20,0)-IF(74&lt;Model!$B$15,Model!$B$22,0))/(1-Model!$B$9)/(1+Model!$B$18)^74))</f>
        <v/>
      </c>
      <c r="CK111" s="7">
        <f>IF(A111="","",IF((A111+75)&gt;Model!$B$4,0,MAX(0,Model!$B$6-IF((A111+75)&gt;=Model!$B$11,Model!$B$20,0)-IF(75&lt;Model!$B$15,Model!$B$22,0))/(1-Model!$B$9)/(1+Model!$B$18)^75))</f>
        <v/>
      </c>
      <c r="CL111" s="7">
        <f>IF(A111="","",IF((A111+76)&gt;Model!$B$4,0,MAX(0,Model!$B$6-IF((A111+76)&gt;=Model!$B$11,Model!$B$20,0)-IF(76&lt;Model!$B$15,Model!$B$22,0))/(1-Model!$B$9)/(1+Model!$B$18)^76))</f>
        <v/>
      </c>
      <c r="CM111" s="7">
        <f>IF(A111="","",IF((A111+77)&gt;Model!$B$4,0,MAX(0,Model!$B$6-IF((A111+77)&gt;=Model!$B$11,Model!$B$20,0)-IF(77&lt;Model!$B$15,Model!$B$22,0))/(1-Model!$B$9)/(1+Model!$B$18)^77))</f>
        <v/>
      </c>
      <c r="CN111" s="7">
        <f>IF(A111="","",IF((A111+78)&gt;Model!$B$4,0,MAX(0,Model!$B$6-IF((A111+78)&gt;=Model!$B$11,Model!$B$20,0)-IF(78&lt;Model!$B$15,Model!$B$22,0))/(1-Model!$B$9)/(1+Model!$B$18)^78))</f>
        <v/>
      </c>
      <c r="CO111" s="7">
        <f>IF(A111="","",IF((A111+79)&gt;Model!$B$4,0,MAX(0,Model!$B$6-IF((A111+79)&gt;=Model!$B$11,Model!$B$20,0)-IF(79&lt;Model!$B$15,Model!$B$22,0))/(1-Model!$B$9)/(1+Model!$B$18)^79))</f>
        <v/>
      </c>
      <c r="CP111" s="7">
        <f>IF(A111="","",IF((A111+80)&gt;Model!$B$4,0,MAX(0,Model!$B$6-IF((A111+80)&gt;=Model!$B$11,Model!$B$20,0)-IF(80&lt;Model!$B$15,Model!$B$22,0))/(1-Model!$B$9)/(1+Model!$B$18)^80))</f>
        <v/>
      </c>
      <c r="CQ111" s="7">
        <f>IF(A111="","",IF((A111+81)&gt;Model!$B$4,0,MAX(0,Model!$B$6-IF((A111+81)&gt;=Model!$B$11,Model!$B$20,0)-IF(81&lt;Model!$B$15,Model!$B$22,0))/(1-Model!$B$9)/(1+Model!$B$18)^81))</f>
        <v/>
      </c>
      <c r="CR111" s="7">
        <f>IF(A111="","",IF((A111+82)&gt;Model!$B$4,0,MAX(0,Model!$B$6-IF((A111+82)&gt;=Model!$B$11,Model!$B$20,0)-IF(82&lt;Model!$B$15,Model!$B$22,0))/(1-Model!$B$9)/(1+Model!$B$18)^82))</f>
        <v/>
      </c>
      <c r="CS111" s="7">
        <f>IF(A111="","",IF((A111+83)&gt;Model!$B$4,0,MAX(0,Model!$B$6-IF((A111+83)&gt;=Model!$B$11,Model!$B$20,0)-IF(83&lt;Model!$B$15,Model!$B$22,0))/(1-Model!$B$9)/(1+Model!$B$18)^83))</f>
        <v/>
      </c>
      <c r="CT111" s="7">
        <f>IF(A111="","",IF((A111+84)&gt;Model!$B$4,0,MAX(0,Model!$B$6-IF((A111+84)&gt;=Model!$B$11,Model!$B$20,0)-IF(84&lt;Model!$B$15,Model!$B$22,0))/(1-Model!$B$9)/(1+Model!$B$18)^84))</f>
        <v/>
      </c>
      <c r="CU111" s="7">
        <f>IF(A111="","",IF((A111+85)&gt;Model!$B$4,0,MAX(0,Model!$B$6-IF((A111+85)&gt;=Model!$B$11,Model!$B$20,0)-IF(85&lt;Model!$B$15,Model!$B$22,0))/(1-Model!$B$9)/(1+Model!$B$18)^85))</f>
        <v/>
      </c>
      <c r="CV111" s="7">
        <f>IF(A111="","",IF((A111+86)&gt;Model!$B$4,0,MAX(0,Model!$B$6-IF((A111+86)&gt;=Model!$B$11,Model!$B$20,0)-IF(86&lt;Model!$B$15,Model!$B$22,0))/(1-Model!$B$9)/(1+Model!$B$18)^86))</f>
        <v/>
      </c>
      <c r="CW111" s="7">
        <f>IF(A111="","",IF((A111+87)&gt;Model!$B$4,0,MAX(0,Model!$B$6-IF((A111+87)&gt;=Model!$B$11,Model!$B$20,0)-IF(87&lt;Model!$B$15,Model!$B$22,0))/(1-Model!$B$9)/(1+Model!$B$18)^87))</f>
        <v/>
      </c>
      <c r="CX111" s="7">
        <f>IF(A111="","",IF((A111+88)&gt;Model!$B$4,0,MAX(0,Model!$B$6-IF((A111+88)&gt;=Model!$B$11,Model!$B$20,0)-IF(88&lt;Model!$B$15,Model!$B$22,0))/(1-Model!$B$9)/(1+Model!$B$18)^88))</f>
        <v/>
      </c>
      <c r="CY111" s="7">
        <f>IF(A111="","",IF((A111+89)&gt;Model!$B$4,0,MAX(0,Model!$B$6-IF((A111+89)&gt;=Model!$B$11,Model!$B$20,0)-IF(89&lt;Model!$B$15,Model!$B$22,0))/(1-Model!$B$9)/(1+Model!$B$18)^89))</f>
        <v/>
      </c>
      <c r="CZ111" s="7">
        <f>IF(A111="","",IF((A111+90)&gt;Model!$B$4,0,MAX(0,Model!$B$6-IF((A111+90)&gt;=Model!$B$11,Model!$B$20,0)-IF(90&lt;Model!$B$15,Model!$B$22,0))/(1-Model!$B$9)/(1+Model!$B$18)^90))</f>
        <v/>
      </c>
      <c r="DA111" s="7">
        <f>IF(A111="","",IF((A111+91)&gt;Model!$B$4,0,MAX(0,Model!$B$6-IF((A111+91)&gt;=Model!$B$11,Model!$B$20,0)-IF(91&lt;Model!$B$15,Model!$B$22,0))/(1-Model!$B$9)/(1+Model!$B$18)^91))</f>
        <v/>
      </c>
      <c r="DB111" s="7">
        <f>IF(A111="","",IF((A111+92)&gt;Model!$B$4,0,MAX(0,Model!$B$6-IF((A111+92)&gt;=Model!$B$11,Model!$B$20,0)-IF(92&lt;Model!$B$15,Model!$B$22,0))/(1-Model!$B$9)/(1+Model!$B$18)^92))</f>
        <v/>
      </c>
      <c r="DC111" s="7">
        <f>IF(A111="","",IF((A111+93)&gt;Model!$B$4,0,MAX(0,Model!$B$6-IF((A111+93)&gt;=Model!$B$11,Model!$B$20,0)-IF(93&lt;Model!$B$15,Model!$B$22,0))/(1-Model!$B$9)/(1+Model!$B$18)^93))</f>
        <v/>
      </c>
      <c r="DD111" s="7">
        <f>IF(A111="","",IF((A111+94)&gt;Model!$B$4,0,MAX(0,Model!$B$6-IF((A111+94)&gt;=Model!$B$11,Model!$B$20,0)-IF(94&lt;Model!$B$15,Model!$B$22,0))/(1-Model!$B$9)/(1+Model!$B$18)^94))</f>
        <v/>
      </c>
      <c r="DE111" s="7">
        <f>IF(A111="","",IF((A111+95)&gt;Model!$B$4,0,MAX(0,Model!$B$6-IF((A111+95)&gt;=Model!$B$11,Model!$B$20,0)-IF(95&lt;Model!$B$15,Model!$B$22,0))/(1-Model!$B$9)/(1+Model!$B$18)^95))</f>
        <v/>
      </c>
      <c r="DF111" s="7">
        <f>IF(A111="","",IF((A111+96)&gt;Model!$B$4,0,MAX(0,Model!$B$6-IF((A111+96)&gt;=Model!$B$11,Model!$B$20,0)-IF(96&lt;Model!$B$15,Model!$B$22,0))/(1-Model!$B$9)/(1+Model!$B$18)^96))</f>
        <v/>
      </c>
      <c r="DG111" s="7">
        <f>IF(A111="","",IF((A111+97)&gt;Model!$B$4,0,MAX(0,Model!$B$6-IF((A111+97)&gt;=Model!$B$11,Model!$B$20,0)-IF(97&lt;Model!$B$15,Model!$B$22,0))/(1-Model!$B$9)/(1+Model!$B$18)^97))</f>
        <v/>
      </c>
      <c r="DH111" s="7">
        <f>IF(A111="","",IF((A111+98)&gt;Model!$B$4,0,MAX(0,Model!$B$6-IF((A111+98)&gt;=Model!$B$11,Model!$B$20,0)-IF(98&lt;Model!$B$15,Model!$B$22,0))/(1-Model!$B$9)/(1+Model!$B$18)^98))</f>
        <v/>
      </c>
      <c r="DI111" s="7">
        <f>IF(A111="","",IF((A111+99)&gt;Model!$B$4,0,MAX(0,Model!$B$6-IF((A111+99)&gt;=Model!$B$11,Model!$B$20,0)-IF(99&lt;Model!$B$15,Model!$B$22,0))/(1-Model!$B$9)/(1+Model!$B$18)^99))</f>
        <v/>
      </c>
      <c r="DJ111" s="7">
        <f>IF(A111="","",IF((A111+100)&gt;Model!$B$4,0,MAX(0,Model!$B$6-IF((A111+100)&gt;=Model!$B$11,Model!$B$20,0)-IF(100&lt;Model!$B$15,Model!$B$22,0))/(1-Model!$B$9)/(1+Model!$B$18)^100))</f>
        <v/>
      </c>
      <c r="DK111" s="7">
        <f>IF(A111="","",IF((A111+101)&gt;Model!$B$4,0,MAX(0,Model!$B$6-IF((A111+101)&gt;=Model!$B$11,Model!$B$20,0)-IF(101&lt;Model!$B$15,Model!$B$22,0))/(1-Model!$B$9)/(1+Model!$B$18)^101))</f>
        <v/>
      </c>
      <c r="DL111" s="7">
        <f>IF(A111="","",IF((A111+102)&gt;Model!$B$4,0,MAX(0,Model!$B$6-IF((A111+102)&gt;=Model!$B$11,Model!$B$20,0)-IF(102&lt;Model!$B$15,Model!$B$22,0))/(1-Model!$B$9)/(1+Model!$B$18)^102))</f>
        <v/>
      </c>
      <c r="DM111" s="7">
        <f>IF(A111="","",IF((A111+103)&gt;Model!$B$4,0,MAX(0,Model!$B$6-IF((A111+103)&gt;=Model!$B$11,Model!$B$20,0)-IF(103&lt;Model!$B$15,Model!$B$22,0))/(1-Model!$B$9)/(1+Model!$B$18)^103))</f>
        <v/>
      </c>
      <c r="DN111" s="7">
        <f>IF(A111="","",IF((A111+104)&gt;Model!$B$4,0,MAX(0,Model!$B$6-IF((A111+104)&gt;=Model!$B$11,Model!$B$20,0)-IF(104&lt;Model!$B$15,Model!$B$22,0))/(1-Model!$B$9)/(1+Model!$B$18)^104))</f>
        <v/>
      </c>
      <c r="DO111" s="7">
        <f>IF(A111="","",IF((A111+105)&gt;Model!$B$4,0,MAX(0,Model!$B$6-IF((A111+105)&gt;=Model!$B$11,Model!$B$20,0)-IF(105&lt;Model!$B$15,Model!$B$22,0))/(1-Model!$B$9)/(1+Model!$B$18)^105))</f>
        <v/>
      </c>
      <c r="DP111" s="7">
        <f>IF(A111="","",IF((A111+106)&gt;Model!$B$4,0,MAX(0,Model!$B$6-IF((A111+106)&gt;=Model!$B$11,Model!$B$20,0)-IF(106&lt;Model!$B$15,Model!$B$22,0))/(1-Model!$B$9)/(1+Model!$B$18)^106))</f>
        <v/>
      </c>
      <c r="DQ111" s="7">
        <f>IF(A111="","",IF((A111+107)&gt;Model!$B$4,0,MAX(0,Model!$B$6-IF((A111+107)&gt;=Model!$B$11,Model!$B$20,0)-IF(107&lt;Model!$B$15,Model!$B$22,0))/(1-Model!$B$9)/(1+Model!$B$18)^107))</f>
        <v/>
      </c>
      <c r="DR111" s="7">
        <f>IF(A111="","",IF((A111+108)&gt;Model!$B$4,0,MAX(0,Model!$B$6-IF((A111+108)&gt;=Model!$B$11,Model!$B$20,0)-IF(108&lt;Model!$B$15,Model!$B$22,0))/(1-Model!$B$9)/(1+Model!$B$18)^108))</f>
        <v/>
      </c>
      <c r="DS111" s="7">
        <f>IF(A111="","",IF((A111+109)&gt;Model!$B$4,0,MAX(0,Model!$B$6-IF((A111+109)&gt;=Model!$B$11,Model!$B$20,0)-IF(109&lt;Model!$B$15,Model!$B$22,0))/(1-Model!$B$9)/(1+Model!$B$18)^109))</f>
        <v/>
      </c>
      <c r="DT111" s="7">
        <f>IF(A111="","",IF((A111+110)&gt;Model!$B$4,0,MAX(0,Model!$B$6-IF((A111+110)&gt;=Model!$B$11,Model!$B$20,0)-IF(110&lt;Model!$B$15,Model!$B$22,0))/(1-Model!$B$9)/(1+Model!$B$18)^110))</f>
        <v/>
      </c>
      <c r="DU111" s="7">
        <f>IF(A111="","",IF((A111+111)&gt;Model!$B$4,0,MAX(0,Model!$B$6-IF((A111+111)&gt;=Model!$B$11,Model!$B$20,0)-IF(111&lt;Model!$B$15,Model!$B$22,0))/(1-Model!$B$9)/(1+Model!$B$18)^111))</f>
        <v/>
      </c>
      <c r="DV111" s="7">
        <f>IF(A111="","",IF((A111+112)&gt;Model!$B$4,0,MAX(0,Model!$B$6-IF((A111+112)&gt;=Model!$B$11,Model!$B$20,0)-IF(112&lt;Model!$B$15,Model!$B$22,0))/(1-Model!$B$9)/(1+Model!$B$18)^112))</f>
        <v/>
      </c>
      <c r="DW111" s="7">
        <f>IF(A111="","",IF((A111+113)&gt;Model!$B$4,0,MAX(0,Model!$B$6-IF((A111+113)&gt;=Model!$B$11,Model!$B$20,0)-IF(113&lt;Model!$B$15,Model!$B$22,0))/(1-Model!$B$9)/(1+Model!$B$18)^113))</f>
        <v/>
      </c>
      <c r="DX111" s="7">
        <f>IF(A111="","",IF((A111+114)&gt;Model!$B$4,0,MAX(0,Model!$B$6-IF((A111+114)&gt;=Model!$B$11,Model!$B$20,0)-IF(114&lt;Model!$B$15,Model!$B$22,0))/(1-Model!$B$9)/(1+Model!$B$18)^114))</f>
        <v/>
      </c>
      <c r="DY111" s="7">
        <f>IF(A111="","",IF((A111+115)&gt;Model!$B$4,0,MAX(0,Model!$B$6-IF((A111+115)&gt;=Model!$B$11,Model!$B$20,0)-IF(115&lt;Model!$B$15,Model!$B$22,0))/(1-Model!$B$9)/(1+Model!$B$18)^115))</f>
        <v/>
      </c>
      <c r="DZ111" s="7">
        <f>IF(A111="","",IF((A111+116)&gt;Model!$B$4,0,MAX(0,Model!$B$6-IF((A111+116)&gt;=Model!$B$11,Model!$B$20,0)-IF(116&lt;Model!$B$15,Model!$B$22,0))/(1-Model!$B$9)/(1+Model!$B$18)^116))</f>
        <v/>
      </c>
      <c r="EA111" s="7">
        <f>IF(A111="","",IF((A111+117)&gt;Model!$B$4,0,MAX(0,Model!$B$6-IF((A111+117)&gt;=Model!$B$11,Model!$B$20,0)-IF(117&lt;Model!$B$15,Model!$B$22,0))/(1-Model!$B$9)/(1+Model!$B$18)^117))</f>
        <v/>
      </c>
      <c r="EB111" s="7">
        <f>IF(A111="","",IF((A111+118)&gt;Model!$B$4,0,MAX(0,Model!$B$6-IF((A111+118)&gt;=Model!$B$11,Model!$B$20,0)-IF(118&lt;Model!$B$15,Model!$B$22,0))/(1-Model!$B$9)/(1+Model!$B$18)^118))</f>
        <v/>
      </c>
      <c r="EC111" s="7">
        <f>IF(A111="","",IF((A111+119)&gt;Model!$B$4,0,MAX(0,Model!$B$6-IF((A111+119)&gt;=Model!$B$11,Model!$B$20,0)-IF(119&lt;Model!$B$15,Model!$B$22,0))/(1-Model!$B$9)/(1+Model!$B$18)^119))</f>
        <v/>
      </c>
      <c r="ED111" s="7">
        <f>IF(A111="","",IF((A111+120)&gt;Model!$B$4,0,MAX(0,Model!$B$6-IF((A111+120)&gt;=Model!$B$11,Model!$B$20,0)-IF(120&lt;Model!$B$15,Model!$B$22,0))/(1-Model!$B$9)/(1+Model!$B$18)^120))</f>
        <v/>
      </c>
    </row>
    <row r="112">
      <c r="A112">
        <f>IF(Model!$B$10+ROW()-2&lt;=Model!$B$4,Model!$B$10+ROW()-2,"")</f>
        <v/>
      </c>
      <c r="B112">
        <f>IF(A112="","",A112-Model!$B$10)</f>
        <v/>
      </c>
      <c r="C112" s="7">
        <f>IF(A112="","",Model!$B$5*(1+Model!$B$18)^B112)</f>
        <v/>
      </c>
      <c r="D112" s="7">
        <f>IF(A112="","",SUM(N112:ED112))</f>
        <v/>
      </c>
      <c r="E112" s="7">
        <f>IF(A112="","",IF(A112&gt;=Model!$B$11,Model!$B$20,0))</f>
        <v/>
      </c>
      <c r="F112" s="7">
        <f>IF(A112="","",IF(Model!$B$15&gt;0,Model!$B$22,0))</f>
        <v/>
      </c>
      <c r="G112" s="7">
        <f>IF(A112="","",E112+F112)</f>
        <v/>
      </c>
      <c r="H112" s="7">
        <f>IF(A112="","",MAX(0,Model!$B$6-G112))</f>
        <v/>
      </c>
      <c r="I112" s="7">
        <f>IF(A112="","",H112/(1-Model!$B$9))</f>
        <v/>
      </c>
      <c r="J112" s="7">
        <f>IF(A112="","",C112-D112)</f>
        <v/>
      </c>
      <c r="K112">
        <f>IF(A112="","",C112&gt;=D112)</f>
        <v/>
      </c>
      <c r="L112" s="7">
        <f>IF(A112="","",IF(A112&gt;=Model!$B$11,Model!$B$19*(1+Model!$B$13)^B112,0))</f>
        <v/>
      </c>
      <c r="M112" s="7">
        <f>IF(A112="","",IF(Model!$B$15&gt;0,Model!$B$21*(1+Model!$B$13)^B112,0))</f>
        <v/>
      </c>
      <c r="N112" s="7">
        <f>IF(A112="","",IF((A112+0)&gt;Model!$B$4,0,MAX(0,Model!$B$6-IF((A112+0)&gt;=Model!$B$11,Model!$B$20,0)-IF(0&lt;Model!$B$15,Model!$B$22,0))/(1-Model!$B$9)/(1+Model!$B$18)^0))</f>
        <v/>
      </c>
      <c r="O112" s="7">
        <f>IF(A112="","",IF((A112+1)&gt;Model!$B$4,0,MAX(0,Model!$B$6-IF((A112+1)&gt;=Model!$B$11,Model!$B$20,0)-IF(1&lt;Model!$B$15,Model!$B$22,0))/(1-Model!$B$9)/(1+Model!$B$18)^1))</f>
        <v/>
      </c>
      <c r="P112" s="7">
        <f>IF(A112="","",IF((A112+2)&gt;Model!$B$4,0,MAX(0,Model!$B$6-IF((A112+2)&gt;=Model!$B$11,Model!$B$20,0)-IF(2&lt;Model!$B$15,Model!$B$22,0))/(1-Model!$B$9)/(1+Model!$B$18)^2))</f>
        <v/>
      </c>
      <c r="Q112" s="7">
        <f>IF(A112="","",IF((A112+3)&gt;Model!$B$4,0,MAX(0,Model!$B$6-IF((A112+3)&gt;=Model!$B$11,Model!$B$20,0)-IF(3&lt;Model!$B$15,Model!$B$22,0))/(1-Model!$B$9)/(1+Model!$B$18)^3))</f>
        <v/>
      </c>
      <c r="R112" s="7">
        <f>IF(A112="","",IF((A112+4)&gt;Model!$B$4,0,MAX(0,Model!$B$6-IF((A112+4)&gt;=Model!$B$11,Model!$B$20,0)-IF(4&lt;Model!$B$15,Model!$B$22,0))/(1-Model!$B$9)/(1+Model!$B$18)^4))</f>
        <v/>
      </c>
      <c r="S112" s="7">
        <f>IF(A112="","",IF((A112+5)&gt;Model!$B$4,0,MAX(0,Model!$B$6-IF((A112+5)&gt;=Model!$B$11,Model!$B$20,0)-IF(5&lt;Model!$B$15,Model!$B$22,0))/(1-Model!$B$9)/(1+Model!$B$18)^5))</f>
        <v/>
      </c>
      <c r="T112" s="7">
        <f>IF(A112="","",IF((A112+6)&gt;Model!$B$4,0,MAX(0,Model!$B$6-IF((A112+6)&gt;=Model!$B$11,Model!$B$20,0)-IF(6&lt;Model!$B$15,Model!$B$22,0))/(1-Model!$B$9)/(1+Model!$B$18)^6))</f>
        <v/>
      </c>
      <c r="U112" s="7">
        <f>IF(A112="","",IF((A112+7)&gt;Model!$B$4,0,MAX(0,Model!$B$6-IF((A112+7)&gt;=Model!$B$11,Model!$B$20,0)-IF(7&lt;Model!$B$15,Model!$B$22,0))/(1-Model!$B$9)/(1+Model!$B$18)^7))</f>
        <v/>
      </c>
      <c r="V112" s="7">
        <f>IF(A112="","",IF((A112+8)&gt;Model!$B$4,0,MAX(0,Model!$B$6-IF((A112+8)&gt;=Model!$B$11,Model!$B$20,0)-IF(8&lt;Model!$B$15,Model!$B$22,0))/(1-Model!$B$9)/(1+Model!$B$18)^8))</f>
        <v/>
      </c>
      <c r="W112" s="7">
        <f>IF(A112="","",IF((A112+9)&gt;Model!$B$4,0,MAX(0,Model!$B$6-IF((A112+9)&gt;=Model!$B$11,Model!$B$20,0)-IF(9&lt;Model!$B$15,Model!$B$22,0))/(1-Model!$B$9)/(1+Model!$B$18)^9))</f>
        <v/>
      </c>
      <c r="X112" s="7">
        <f>IF(A112="","",IF((A112+10)&gt;Model!$B$4,0,MAX(0,Model!$B$6-IF((A112+10)&gt;=Model!$B$11,Model!$B$20,0)-IF(10&lt;Model!$B$15,Model!$B$22,0))/(1-Model!$B$9)/(1+Model!$B$18)^10))</f>
        <v/>
      </c>
      <c r="Y112" s="7">
        <f>IF(A112="","",IF((A112+11)&gt;Model!$B$4,0,MAX(0,Model!$B$6-IF((A112+11)&gt;=Model!$B$11,Model!$B$20,0)-IF(11&lt;Model!$B$15,Model!$B$22,0))/(1-Model!$B$9)/(1+Model!$B$18)^11))</f>
        <v/>
      </c>
      <c r="Z112" s="7">
        <f>IF(A112="","",IF((A112+12)&gt;Model!$B$4,0,MAX(0,Model!$B$6-IF((A112+12)&gt;=Model!$B$11,Model!$B$20,0)-IF(12&lt;Model!$B$15,Model!$B$22,0))/(1-Model!$B$9)/(1+Model!$B$18)^12))</f>
        <v/>
      </c>
      <c r="AA112" s="7">
        <f>IF(A112="","",IF((A112+13)&gt;Model!$B$4,0,MAX(0,Model!$B$6-IF((A112+13)&gt;=Model!$B$11,Model!$B$20,0)-IF(13&lt;Model!$B$15,Model!$B$22,0))/(1-Model!$B$9)/(1+Model!$B$18)^13))</f>
        <v/>
      </c>
      <c r="AB112" s="7">
        <f>IF(A112="","",IF((A112+14)&gt;Model!$B$4,0,MAX(0,Model!$B$6-IF((A112+14)&gt;=Model!$B$11,Model!$B$20,0)-IF(14&lt;Model!$B$15,Model!$B$22,0))/(1-Model!$B$9)/(1+Model!$B$18)^14))</f>
        <v/>
      </c>
      <c r="AC112" s="7">
        <f>IF(A112="","",IF((A112+15)&gt;Model!$B$4,0,MAX(0,Model!$B$6-IF((A112+15)&gt;=Model!$B$11,Model!$B$20,0)-IF(15&lt;Model!$B$15,Model!$B$22,0))/(1-Model!$B$9)/(1+Model!$B$18)^15))</f>
        <v/>
      </c>
      <c r="AD112" s="7">
        <f>IF(A112="","",IF((A112+16)&gt;Model!$B$4,0,MAX(0,Model!$B$6-IF((A112+16)&gt;=Model!$B$11,Model!$B$20,0)-IF(16&lt;Model!$B$15,Model!$B$22,0))/(1-Model!$B$9)/(1+Model!$B$18)^16))</f>
        <v/>
      </c>
      <c r="AE112" s="7">
        <f>IF(A112="","",IF((A112+17)&gt;Model!$B$4,0,MAX(0,Model!$B$6-IF((A112+17)&gt;=Model!$B$11,Model!$B$20,0)-IF(17&lt;Model!$B$15,Model!$B$22,0))/(1-Model!$B$9)/(1+Model!$B$18)^17))</f>
        <v/>
      </c>
      <c r="AF112" s="7">
        <f>IF(A112="","",IF((A112+18)&gt;Model!$B$4,0,MAX(0,Model!$B$6-IF((A112+18)&gt;=Model!$B$11,Model!$B$20,0)-IF(18&lt;Model!$B$15,Model!$B$22,0))/(1-Model!$B$9)/(1+Model!$B$18)^18))</f>
        <v/>
      </c>
      <c r="AG112" s="7">
        <f>IF(A112="","",IF((A112+19)&gt;Model!$B$4,0,MAX(0,Model!$B$6-IF((A112+19)&gt;=Model!$B$11,Model!$B$20,0)-IF(19&lt;Model!$B$15,Model!$B$22,0))/(1-Model!$B$9)/(1+Model!$B$18)^19))</f>
        <v/>
      </c>
      <c r="AH112" s="7">
        <f>IF(A112="","",IF((A112+20)&gt;Model!$B$4,0,MAX(0,Model!$B$6-IF((A112+20)&gt;=Model!$B$11,Model!$B$20,0)-IF(20&lt;Model!$B$15,Model!$B$22,0))/(1-Model!$B$9)/(1+Model!$B$18)^20))</f>
        <v/>
      </c>
      <c r="AI112" s="7">
        <f>IF(A112="","",IF((A112+21)&gt;Model!$B$4,0,MAX(0,Model!$B$6-IF((A112+21)&gt;=Model!$B$11,Model!$B$20,0)-IF(21&lt;Model!$B$15,Model!$B$22,0))/(1-Model!$B$9)/(1+Model!$B$18)^21))</f>
        <v/>
      </c>
      <c r="AJ112" s="7">
        <f>IF(A112="","",IF((A112+22)&gt;Model!$B$4,0,MAX(0,Model!$B$6-IF((A112+22)&gt;=Model!$B$11,Model!$B$20,0)-IF(22&lt;Model!$B$15,Model!$B$22,0))/(1-Model!$B$9)/(1+Model!$B$18)^22))</f>
        <v/>
      </c>
      <c r="AK112" s="7">
        <f>IF(A112="","",IF((A112+23)&gt;Model!$B$4,0,MAX(0,Model!$B$6-IF((A112+23)&gt;=Model!$B$11,Model!$B$20,0)-IF(23&lt;Model!$B$15,Model!$B$22,0))/(1-Model!$B$9)/(1+Model!$B$18)^23))</f>
        <v/>
      </c>
      <c r="AL112" s="7">
        <f>IF(A112="","",IF((A112+24)&gt;Model!$B$4,0,MAX(0,Model!$B$6-IF((A112+24)&gt;=Model!$B$11,Model!$B$20,0)-IF(24&lt;Model!$B$15,Model!$B$22,0))/(1-Model!$B$9)/(1+Model!$B$18)^24))</f>
        <v/>
      </c>
      <c r="AM112" s="7">
        <f>IF(A112="","",IF((A112+25)&gt;Model!$B$4,0,MAX(0,Model!$B$6-IF((A112+25)&gt;=Model!$B$11,Model!$B$20,0)-IF(25&lt;Model!$B$15,Model!$B$22,0))/(1-Model!$B$9)/(1+Model!$B$18)^25))</f>
        <v/>
      </c>
      <c r="AN112" s="7">
        <f>IF(A112="","",IF((A112+26)&gt;Model!$B$4,0,MAX(0,Model!$B$6-IF((A112+26)&gt;=Model!$B$11,Model!$B$20,0)-IF(26&lt;Model!$B$15,Model!$B$22,0))/(1-Model!$B$9)/(1+Model!$B$18)^26))</f>
        <v/>
      </c>
      <c r="AO112" s="7">
        <f>IF(A112="","",IF((A112+27)&gt;Model!$B$4,0,MAX(0,Model!$B$6-IF((A112+27)&gt;=Model!$B$11,Model!$B$20,0)-IF(27&lt;Model!$B$15,Model!$B$22,0))/(1-Model!$B$9)/(1+Model!$B$18)^27))</f>
        <v/>
      </c>
      <c r="AP112" s="7">
        <f>IF(A112="","",IF((A112+28)&gt;Model!$B$4,0,MAX(0,Model!$B$6-IF((A112+28)&gt;=Model!$B$11,Model!$B$20,0)-IF(28&lt;Model!$B$15,Model!$B$22,0))/(1-Model!$B$9)/(1+Model!$B$18)^28))</f>
        <v/>
      </c>
      <c r="AQ112" s="7">
        <f>IF(A112="","",IF((A112+29)&gt;Model!$B$4,0,MAX(0,Model!$B$6-IF((A112+29)&gt;=Model!$B$11,Model!$B$20,0)-IF(29&lt;Model!$B$15,Model!$B$22,0))/(1-Model!$B$9)/(1+Model!$B$18)^29))</f>
        <v/>
      </c>
      <c r="AR112" s="7">
        <f>IF(A112="","",IF((A112+30)&gt;Model!$B$4,0,MAX(0,Model!$B$6-IF((A112+30)&gt;=Model!$B$11,Model!$B$20,0)-IF(30&lt;Model!$B$15,Model!$B$22,0))/(1-Model!$B$9)/(1+Model!$B$18)^30))</f>
        <v/>
      </c>
      <c r="AS112" s="7">
        <f>IF(A112="","",IF((A112+31)&gt;Model!$B$4,0,MAX(0,Model!$B$6-IF((A112+31)&gt;=Model!$B$11,Model!$B$20,0)-IF(31&lt;Model!$B$15,Model!$B$22,0))/(1-Model!$B$9)/(1+Model!$B$18)^31))</f>
        <v/>
      </c>
      <c r="AT112" s="7">
        <f>IF(A112="","",IF((A112+32)&gt;Model!$B$4,0,MAX(0,Model!$B$6-IF((A112+32)&gt;=Model!$B$11,Model!$B$20,0)-IF(32&lt;Model!$B$15,Model!$B$22,0))/(1-Model!$B$9)/(1+Model!$B$18)^32))</f>
        <v/>
      </c>
      <c r="AU112" s="7">
        <f>IF(A112="","",IF((A112+33)&gt;Model!$B$4,0,MAX(0,Model!$B$6-IF((A112+33)&gt;=Model!$B$11,Model!$B$20,0)-IF(33&lt;Model!$B$15,Model!$B$22,0))/(1-Model!$B$9)/(1+Model!$B$18)^33))</f>
        <v/>
      </c>
      <c r="AV112" s="7">
        <f>IF(A112="","",IF((A112+34)&gt;Model!$B$4,0,MAX(0,Model!$B$6-IF((A112+34)&gt;=Model!$B$11,Model!$B$20,0)-IF(34&lt;Model!$B$15,Model!$B$22,0))/(1-Model!$B$9)/(1+Model!$B$18)^34))</f>
        <v/>
      </c>
      <c r="AW112" s="7">
        <f>IF(A112="","",IF((A112+35)&gt;Model!$B$4,0,MAX(0,Model!$B$6-IF((A112+35)&gt;=Model!$B$11,Model!$B$20,0)-IF(35&lt;Model!$B$15,Model!$B$22,0))/(1-Model!$B$9)/(1+Model!$B$18)^35))</f>
        <v/>
      </c>
      <c r="AX112" s="7">
        <f>IF(A112="","",IF((A112+36)&gt;Model!$B$4,0,MAX(0,Model!$B$6-IF((A112+36)&gt;=Model!$B$11,Model!$B$20,0)-IF(36&lt;Model!$B$15,Model!$B$22,0))/(1-Model!$B$9)/(1+Model!$B$18)^36))</f>
        <v/>
      </c>
      <c r="AY112" s="7">
        <f>IF(A112="","",IF((A112+37)&gt;Model!$B$4,0,MAX(0,Model!$B$6-IF((A112+37)&gt;=Model!$B$11,Model!$B$20,0)-IF(37&lt;Model!$B$15,Model!$B$22,0))/(1-Model!$B$9)/(1+Model!$B$18)^37))</f>
        <v/>
      </c>
      <c r="AZ112" s="7">
        <f>IF(A112="","",IF((A112+38)&gt;Model!$B$4,0,MAX(0,Model!$B$6-IF((A112+38)&gt;=Model!$B$11,Model!$B$20,0)-IF(38&lt;Model!$B$15,Model!$B$22,0))/(1-Model!$B$9)/(1+Model!$B$18)^38))</f>
        <v/>
      </c>
      <c r="BA112" s="7">
        <f>IF(A112="","",IF((A112+39)&gt;Model!$B$4,0,MAX(0,Model!$B$6-IF((A112+39)&gt;=Model!$B$11,Model!$B$20,0)-IF(39&lt;Model!$B$15,Model!$B$22,0))/(1-Model!$B$9)/(1+Model!$B$18)^39))</f>
        <v/>
      </c>
      <c r="BB112" s="7">
        <f>IF(A112="","",IF((A112+40)&gt;Model!$B$4,0,MAX(0,Model!$B$6-IF((A112+40)&gt;=Model!$B$11,Model!$B$20,0)-IF(40&lt;Model!$B$15,Model!$B$22,0))/(1-Model!$B$9)/(1+Model!$B$18)^40))</f>
        <v/>
      </c>
      <c r="BC112" s="7">
        <f>IF(A112="","",IF((A112+41)&gt;Model!$B$4,0,MAX(0,Model!$B$6-IF((A112+41)&gt;=Model!$B$11,Model!$B$20,0)-IF(41&lt;Model!$B$15,Model!$B$22,0))/(1-Model!$B$9)/(1+Model!$B$18)^41))</f>
        <v/>
      </c>
      <c r="BD112" s="7">
        <f>IF(A112="","",IF((A112+42)&gt;Model!$B$4,0,MAX(0,Model!$B$6-IF((A112+42)&gt;=Model!$B$11,Model!$B$20,0)-IF(42&lt;Model!$B$15,Model!$B$22,0))/(1-Model!$B$9)/(1+Model!$B$18)^42))</f>
        <v/>
      </c>
      <c r="BE112" s="7">
        <f>IF(A112="","",IF((A112+43)&gt;Model!$B$4,0,MAX(0,Model!$B$6-IF((A112+43)&gt;=Model!$B$11,Model!$B$20,0)-IF(43&lt;Model!$B$15,Model!$B$22,0))/(1-Model!$B$9)/(1+Model!$B$18)^43))</f>
        <v/>
      </c>
      <c r="BF112" s="7">
        <f>IF(A112="","",IF((A112+44)&gt;Model!$B$4,0,MAX(0,Model!$B$6-IF((A112+44)&gt;=Model!$B$11,Model!$B$20,0)-IF(44&lt;Model!$B$15,Model!$B$22,0))/(1-Model!$B$9)/(1+Model!$B$18)^44))</f>
        <v/>
      </c>
      <c r="BG112" s="7">
        <f>IF(A112="","",IF((A112+45)&gt;Model!$B$4,0,MAX(0,Model!$B$6-IF((A112+45)&gt;=Model!$B$11,Model!$B$20,0)-IF(45&lt;Model!$B$15,Model!$B$22,0))/(1-Model!$B$9)/(1+Model!$B$18)^45))</f>
        <v/>
      </c>
      <c r="BH112" s="7">
        <f>IF(A112="","",IF((A112+46)&gt;Model!$B$4,0,MAX(0,Model!$B$6-IF((A112+46)&gt;=Model!$B$11,Model!$B$20,0)-IF(46&lt;Model!$B$15,Model!$B$22,0))/(1-Model!$B$9)/(1+Model!$B$18)^46))</f>
        <v/>
      </c>
      <c r="BI112" s="7">
        <f>IF(A112="","",IF((A112+47)&gt;Model!$B$4,0,MAX(0,Model!$B$6-IF((A112+47)&gt;=Model!$B$11,Model!$B$20,0)-IF(47&lt;Model!$B$15,Model!$B$22,0))/(1-Model!$B$9)/(1+Model!$B$18)^47))</f>
        <v/>
      </c>
      <c r="BJ112" s="7">
        <f>IF(A112="","",IF((A112+48)&gt;Model!$B$4,0,MAX(0,Model!$B$6-IF((A112+48)&gt;=Model!$B$11,Model!$B$20,0)-IF(48&lt;Model!$B$15,Model!$B$22,0))/(1-Model!$B$9)/(1+Model!$B$18)^48))</f>
        <v/>
      </c>
      <c r="BK112" s="7">
        <f>IF(A112="","",IF((A112+49)&gt;Model!$B$4,0,MAX(0,Model!$B$6-IF((A112+49)&gt;=Model!$B$11,Model!$B$20,0)-IF(49&lt;Model!$B$15,Model!$B$22,0))/(1-Model!$B$9)/(1+Model!$B$18)^49))</f>
        <v/>
      </c>
      <c r="BL112" s="7">
        <f>IF(A112="","",IF((A112+50)&gt;Model!$B$4,0,MAX(0,Model!$B$6-IF((A112+50)&gt;=Model!$B$11,Model!$B$20,0)-IF(50&lt;Model!$B$15,Model!$B$22,0))/(1-Model!$B$9)/(1+Model!$B$18)^50))</f>
        <v/>
      </c>
      <c r="BM112" s="7">
        <f>IF(A112="","",IF((A112+51)&gt;Model!$B$4,0,MAX(0,Model!$B$6-IF((A112+51)&gt;=Model!$B$11,Model!$B$20,0)-IF(51&lt;Model!$B$15,Model!$B$22,0))/(1-Model!$B$9)/(1+Model!$B$18)^51))</f>
        <v/>
      </c>
      <c r="BN112" s="7">
        <f>IF(A112="","",IF((A112+52)&gt;Model!$B$4,0,MAX(0,Model!$B$6-IF((A112+52)&gt;=Model!$B$11,Model!$B$20,0)-IF(52&lt;Model!$B$15,Model!$B$22,0))/(1-Model!$B$9)/(1+Model!$B$18)^52))</f>
        <v/>
      </c>
      <c r="BO112" s="7">
        <f>IF(A112="","",IF((A112+53)&gt;Model!$B$4,0,MAX(0,Model!$B$6-IF((A112+53)&gt;=Model!$B$11,Model!$B$20,0)-IF(53&lt;Model!$B$15,Model!$B$22,0))/(1-Model!$B$9)/(1+Model!$B$18)^53))</f>
        <v/>
      </c>
      <c r="BP112" s="7">
        <f>IF(A112="","",IF((A112+54)&gt;Model!$B$4,0,MAX(0,Model!$B$6-IF((A112+54)&gt;=Model!$B$11,Model!$B$20,0)-IF(54&lt;Model!$B$15,Model!$B$22,0))/(1-Model!$B$9)/(1+Model!$B$18)^54))</f>
        <v/>
      </c>
      <c r="BQ112" s="7">
        <f>IF(A112="","",IF((A112+55)&gt;Model!$B$4,0,MAX(0,Model!$B$6-IF((A112+55)&gt;=Model!$B$11,Model!$B$20,0)-IF(55&lt;Model!$B$15,Model!$B$22,0))/(1-Model!$B$9)/(1+Model!$B$18)^55))</f>
        <v/>
      </c>
      <c r="BR112" s="7">
        <f>IF(A112="","",IF((A112+56)&gt;Model!$B$4,0,MAX(0,Model!$B$6-IF((A112+56)&gt;=Model!$B$11,Model!$B$20,0)-IF(56&lt;Model!$B$15,Model!$B$22,0))/(1-Model!$B$9)/(1+Model!$B$18)^56))</f>
        <v/>
      </c>
      <c r="BS112" s="7">
        <f>IF(A112="","",IF((A112+57)&gt;Model!$B$4,0,MAX(0,Model!$B$6-IF((A112+57)&gt;=Model!$B$11,Model!$B$20,0)-IF(57&lt;Model!$B$15,Model!$B$22,0))/(1-Model!$B$9)/(1+Model!$B$18)^57))</f>
        <v/>
      </c>
      <c r="BT112" s="7">
        <f>IF(A112="","",IF((A112+58)&gt;Model!$B$4,0,MAX(0,Model!$B$6-IF((A112+58)&gt;=Model!$B$11,Model!$B$20,0)-IF(58&lt;Model!$B$15,Model!$B$22,0))/(1-Model!$B$9)/(1+Model!$B$18)^58))</f>
        <v/>
      </c>
      <c r="BU112" s="7">
        <f>IF(A112="","",IF((A112+59)&gt;Model!$B$4,0,MAX(0,Model!$B$6-IF((A112+59)&gt;=Model!$B$11,Model!$B$20,0)-IF(59&lt;Model!$B$15,Model!$B$22,0))/(1-Model!$B$9)/(1+Model!$B$18)^59))</f>
        <v/>
      </c>
      <c r="BV112" s="7">
        <f>IF(A112="","",IF((A112+60)&gt;Model!$B$4,0,MAX(0,Model!$B$6-IF((A112+60)&gt;=Model!$B$11,Model!$B$20,0)-IF(60&lt;Model!$B$15,Model!$B$22,0))/(1-Model!$B$9)/(1+Model!$B$18)^60))</f>
        <v/>
      </c>
      <c r="BW112" s="7">
        <f>IF(A112="","",IF((A112+61)&gt;Model!$B$4,0,MAX(0,Model!$B$6-IF((A112+61)&gt;=Model!$B$11,Model!$B$20,0)-IF(61&lt;Model!$B$15,Model!$B$22,0))/(1-Model!$B$9)/(1+Model!$B$18)^61))</f>
        <v/>
      </c>
      <c r="BX112" s="7">
        <f>IF(A112="","",IF((A112+62)&gt;Model!$B$4,0,MAX(0,Model!$B$6-IF((A112+62)&gt;=Model!$B$11,Model!$B$20,0)-IF(62&lt;Model!$B$15,Model!$B$22,0))/(1-Model!$B$9)/(1+Model!$B$18)^62))</f>
        <v/>
      </c>
      <c r="BY112" s="7">
        <f>IF(A112="","",IF((A112+63)&gt;Model!$B$4,0,MAX(0,Model!$B$6-IF((A112+63)&gt;=Model!$B$11,Model!$B$20,0)-IF(63&lt;Model!$B$15,Model!$B$22,0))/(1-Model!$B$9)/(1+Model!$B$18)^63))</f>
        <v/>
      </c>
      <c r="BZ112" s="7">
        <f>IF(A112="","",IF((A112+64)&gt;Model!$B$4,0,MAX(0,Model!$B$6-IF((A112+64)&gt;=Model!$B$11,Model!$B$20,0)-IF(64&lt;Model!$B$15,Model!$B$22,0))/(1-Model!$B$9)/(1+Model!$B$18)^64))</f>
        <v/>
      </c>
      <c r="CA112" s="7">
        <f>IF(A112="","",IF((A112+65)&gt;Model!$B$4,0,MAX(0,Model!$B$6-IF((A112+65)&gt;=Model!$B$11,Model!$B$20,0)-IF(65&lt;Model!$B$15,Model!$B$22,0))/(1-Model!$B$9)/(1+Model!$B$18)^65))</f>
        <v/>
      </c>
      <c r="CB112" s="7">
        <f>IF(A112="","",IF((A112+66)&gt;Model!$B$4,0,MAX(0,Model!$B$6-IF((A112+66)&gt;=Model!$B$11,Model!$B$20,0)-IF(66&lt;Model!$B$15,Model!$B$22,0))/(1-Model!$B$9)/(1+Model!$B$18)^66))</f>
        <v/>
      </c>
      <c r="CC112" s="7">
        <f>IF(A112="","",IF((A112+67)&gt;Model!$B$4,0,MAX(0,Model!$B$6-IF((A112+67)&gt;=Model!$B$11,Model!$B$20,0)-IF(67&lt;Model!$B$15,Model!$B$22,0))/(1-Model!$B$9)/(1+Model!$B$18)^67))</f>
        <v/>
      </c>
      <c r="CD112" s="7">
        <f>IF(A112="","",IF((A112+68)&gt;Model!$B$4,0,MAX(0,Model!$B$6-IF((A112+68)&gt;=Model!$B$11,Model!$B$20,0)-IF(68&lt;Model!$B$15,Model!$B$22,0))/(1-Model!$B$9)/(1+Model!$B$18)^68))</f>
        <v/>
      </c>
      <c r="CE112" s="7">
        <f>IF(A112="","",IF((A112+69)&gt;Model!$B$4,0,MAX(0,Model!$B$6-IF((A112+69)&gt;=Model!$B$11,Model!$B$20,0)-IF(69&lt;Model!$B$15,Model!$B$22,0))/(1-Model!$B$9)/(1+Model!$B$18)^69))</f>
        <v/>
      </c>
      <c r="CF112" s="7">
        <f>IF(A112="","",IF((A112+70)&gt;Model!$B$4,0,MAX(0,Model!$B$6-IF((A112+70)&gt;=Model!$B$11,Model!$B$20,0)-IF(70&lt;Model!$B$15,Model!$B$22,0))/(1-Model!$B$9)/(1+Model!$B$18)^70))</f>
        <v/>
      </c>
      <c r="CG112" s="7">
        <f>IF(A112="","",IF((A112+71)&gt;Model!$B$4,0,MAX(0,Model!$B$6-IF((A112+71)&gt;=Model!$B$11,Model!$B$20,0)-IF(71&lt;Model!$B$15,Model!$B$22,0))/(1-Model!$B$9)/(1+Model!$B$18)^71))</f>
        <v/>
      </c>
      <c r="CH112" s="7">
        <f>IF(A112="","",IF((A112+72)&gt;Model!$B$4,0,MAX(0,Model!$B$6-IF((A112+72)&gt;=Model!$B$11,Model!$B$20,0)-IF(72&lt;Model!$B$15,Model!$B$22,0))/(1-Model!$B$9)/(1+Model!$B$18)^72))</f>
        <v/>
      </c>
      <c r="CI112" s="7">
        <f>IF(A112="","",IF((A112+73)&gt;Model!$B$4,0,MAX(0,Model!$B$6-IF((A112+73)&gt;=Model!$B$11,Model!$B$20,0)-IF(73&lt;Model!$B$15,Model!$B$22,0))/(1-Model!$B$9)/(1+Model!$B$18)^73))</f>
        <v/>
      </c>
      <c r="CJ112" s="7">
        <f>IF(A112="","",IF((A112+74)&gt;Model!$B$4,0,MAX(0,Model!$B$6-IF((A112+74)&gt;=Model!$B$11,Model!$B$20,0)-IF(74&lt;Model!$B$15,Model!$B$22,0))/(1-Model!$B$9)/(1+Model!$B$18)^74))</f>
        <v/>
      </c>
      <c r="CK112" s="7">
        <f>IF(A112="","",IF((A112+75)&gt;Model!$B$4,0,MAX(0,Model!$B$6-IF((A112+75)&gt;=Model!$B$11,Model!$B$20,0)-IF(75&lt;Model!$B$15,Model!$B$22,0))/(1-Model!$B$9)/(1+Model!$B$18)^75))</f>
        <v/>
      </c>
      <c r="CL112" s="7">
        <f>IF(A112="","",IF((A112+76)&gt;Model!$B$4,0,MAX(0,Model!$B$6-IF((A112+76)&gt;=Model!$B$11,Model!$B$20,0)-IF(76&lt;Model!$B$15,Model!$B$22,0))/(1-Model!$B$9)/(1+Model!$B$18)^76))</f>
        <v/>
      </c>
      <c r="CM112" s="7">
        <f>IF(A112="","",IF((A112+77)&gt;Model!$B$4,0,MAX(0,Model!$B$6-IF((A112+77)&gt;=Model!$B$11,Model!$B$20,0)-IF(77&lt;Model!$B$15,Model!$B$22,0))/(1-Model!$B$9)/(1+Model!$B$18)^77))</f>
        <v/>
      </c>
      <c r="CN112" s="7">
        <f>IF(A112="","",IF((A112+78)&gt;Model!$B$4,0,MAX(0,Model!$B$6-IF((A112+78)&gt;=Model!$B$11,Model!$B$20,0)-IF(78&lt;Model!$B$15,Model!$B$22,0))/(1-Model!$B$9)/(1+Model!$B$18)^78))</f>
        <v/>
      </c>
      <c r="CO112" s="7">
        <f>IF(A112="","",IF((A112+79)&gt;Model!$B$4,0,MAX(0,Model!$B$6-IF((A112+79)&gt;=Model!$B$11,Model!$B$20,0)-IF(79&lt;Model!$B$15,Model!$B$22,0))/(1-Model!$B$9)/(1+Model!$B$18)^79))</f>
        <v/>
      </c>
      <c r="CP112" s="7">
        <f>IF(A112="","",IF((A112+80)&gt;Model!$B$4,0,MAX(0,Model!$B$6-IF((A112+80)&gt;=Model!$B$11,Model!$B$20,0)-IF(80&lt;Model!$B$15,Model!$B$22,0))/(1-Model!$B$9)/(1+Model!$B$18)^80))</f>
        <v/>
      </c>
      <c r="CQ112" s="7">
        <f>IF(A112="","",IF((A112+81)&gt;Model!$B$4,0,MAX(0,Model!$B$6-IF((A112+81)&gt;=Model!$B$11,Model!$B$20,0)-IF(81&lt;Model!$B$15,Model!$B$22,0))/(1-Model!$B$9)/(1+Model!$B$18)^81))</f>
        <v/>
      </c>
      <c r="CR112" s="7">
        <f>IF(A112="","",IF((A112+82)&gt;Model!$B$4,0,MAX(0,Model!$B$6-IF((A112+82)&gt;=Model!$B$11,Model!$B$20,0)-IF(82&lt;Model!$B$15,Model!$B$22,0))/(1-Model!$B$9)/(1+Model!$B$18)^82))</f>
        <v/>
      </c>
      <c r="CS112" s="7">
        <f>IF(A112="","",IF((A112+83)&gt;Model!$B$4,0,MAX(0,Model!$B$6-IF((A112+83)&gt;=Model!$B$11,Model!$B$20,0)-IF(83&lt;Model!$B$15,Model!$B$22,0))/(1-Model!$B$9)/(1+Model!$B$18)^83))</f>
        <v/>
      </c>
      <c r="CT112" s="7">
        <f>IF(A112="","",IF((A112+84)&gt;Model!$B$4,0,MAX(0,Model!$B$6-IF((A112+84)&gt;=Model!$B$11,Model!$B$20,0)-IF(84&lt;Model!$B$15,Model!$B$22,0))/(1-Model!$B$9)/(1+Model!$B$18)^84))</f>
        <v/>
      </c>
      <c r="CU112" s="7">
        <f>IF(A112="","",IF((A112+85)&gt;Model!$B$4,0,MAX(0,Model!$B$6-IF((A112+85)&gt;=Model!$B$11,Model!$B$20,0)-IF(85&lt;Model!$B$15,Model!$B$22,0))/(1-Model!$B$9)/(1+Model!$B$18)^85))</f>
        <v/>
      </c>
      <c r="CV112" s="7">
        <f>IF(A112="","",IF((A112+86)&gt;Model!$B$4,0,MAX(0,Model!$B$6-IF((A112+86)&gt;=Model!$B$11,Model!$B$20,0)-IF(86&lt;Model!$B$15,Model!$B$22,0))/(1-Model!$B$9)/(1+Model!$B$18)^86))</f>
        <v/>
      </c>
      <c r="CW112" s="7">
        <f>IF(A112="","",IF((A112+87)&gt;Model!$B$4,0,MAX(0,Model!$B$6-IF((A112+87)&gt;=Model!$B$11,Model!$B$20,0)-IF(87&lt;Model!$B$15,Model!$B$22,0))/(1-Model!$B$9)/(1+Model!$B$18)^87))</f>
        <v/>
      </c>
      <c r="CX112" s="7">
        <f>IF(A112="","",IF((A112+88)&gt;Model!$B$4,0,MAX(0,Model!$B$6-IF((A112+88)&gt;=Model!$B$11,Model!$B$20,0)-IF(88&lt;Model!$B$15,Model!$B$22,0))/(1-Model!$B$9)/(1+Model!$B$18)^88))</f>
        <v/>
      </c>
      <c r="CY112" s="7">
        <f>IF(A112="","",IF((A112+89)&gt;Model!$B$4,0,MAX(0,Model!$B$6-IF((A112+89)&gt;=Model!$B$11,Model!$B$20,0)-IF(89&lt;Model!$B$15,Model!$B$22,0))/(1-Model!$B$9)/(1+Model!$B$18)^89))</f>
        <v/>
      </c>
      <c r="CZ112" s="7">
        <f>IF(A112="","",IF((A112+90)&gt;Model!$B$4,0,MAX(0,Model!$B$6-IF((A112+90)&gt;=Model!$B$11,Model!$B$20,0)-IF(90&lt;Model!$B$15,Model!$B$22,0))/(1-Model!$B$9)/(1+Model!$B$18)^90))</f>
        <v/>
      </c>
      <c r="DA112" s="7">
        <f>IF(A112="","",IF((A112+91)&gt;Model!$B$4,0,MAX(0,Model!$B$6-IF((A112+91)&gt;=Model!$B$11,Model!$B$20,0)-IF(91&lt;Model!$B$15,Model!$B$22,0))/(1-Model!$B$9)/(1+Model!$B$18)^91))</f>
        <v/>
      </c>
      <c r="DB112" s="7">
        <f>IF(A112="","",IF((A112+92)&gt;Model!$B$4,0,MAX(0,Model!$B$6-IF((A112+92)&gt;=Model!$B$11,Model!$B$20,0)-IF(92&lt;Model!$B$15,Model!$B$22,0))/(1-Model!$B$9)/(1+Model!$B$18)^92))</f>
        <v/>
      </c>
      <c r="DC112" s="7">
        <f>IF(A112="","",IF((A112+93)&gt;Model!$B$4,0,MAX(0,Model!$B$6-IF((A112+93)&gt;=Model!$B$11,Model!$B$20,0)-IF(93&lt;Model!$B$15,Model!$B$22,0))/(1-Model!$B$9)/(1+Model!$B$18)^93))</f>
        <v/>
      </c>
      <c r="DD112" s="7">
        <f>IF(A112="","",IF((A112+94)&gt;Model!$B$4,0,MAX(0,Model!$B$6-IF((A112+94)&gt;=Model!$B$11,Model!$B$20,0)-IF(94&lt;Model!$B$15,Model!$B$22,0))/(1-Model!$B$9)/(1+Model!$B$18)^94))</f>
        <v/>
      </c>
      <c r="DE112" s="7">
        <f>IF(A112="","",IF((A112+95)&gt;Model!$B$4,0,MAX(0,Model!$B$6-IF((A112+95)&gt;=Model!$B$11,Model!$B$20,0)-IF(95&lt;Model!$B$15,Model!$B$22,0))/(1-Model!$B$9)/(1+Model!$B$18)^95))</f>
        <v/>
      </c>
      <c r="DF112" s="7">
        <f>IF(A112="","",IF((A112+96)&gt;Model!$B$4,0,MAX(0,Model!$B$6-IF((A112+96)&gt;=Model!$B$11,Model!$B$20,0)-IF(96&lt;Model!$B$15,Model!$B$22,0))/(1-Model!$B$9)/(1+Model!$B$18)^96))</f>
        <v/>
      </c>
      <c r="DG112" s="7">
        <f>IF(A112="","",IF((A112+97)&gt;Model!$B$4,0,MAX(0,Model!$B$6-IF((A112+97)&gt;=Model!$B$11,Model!$B$20,0)-IF(97&lt;Model!$B$15,Model!$B$22,0))/(1-Model!$B$9)/(1+Model!$B$18)^97))</f>
        <v/>
      </c>
      <c r="DH112" s="7">
        <f>IF(A112="","",IF((A112+98)&gt;Model!$B$4,0,MAX(0,Model!$B$6-IF((A112+98)&gt;=Model!$B$11,Model!$B$20,0)-IF(98&lt;Model!$B$15,Model!$B$22,0))/(1-Model!$B$9)/(1+Model!$B$18)^98))</f>
        <v/>
      </c>
      <c r="DI112" s="7">
        <f>IF(A112="","",IF((A112+99)&gt;Model!$B$4,0,MAX(0,Model!$B$6-IF((A112+99)&gt;=Model!$B$11,Model!$B$20,0)-IF(99&lt;Model!$B$15,Model!$B$22,0))/(1-Model!$B$9)/(1+Model!$B$18)^99))</f>
        <v/>
      </c>
      <c r="DJ112" s="7">
        <f>IF(A112="","",IF((A112+100)&gt;Model!$B$4,0,MAX(0,Model!$B$6-IF((A112+100)&gt;=Model!$B$11,Model!$B$20,0)-IF(100&lt;Model!$B$15,Model!$B$22,0))/(1-Model!$B$9)/(1+Model!$B$18)^100))</f>
        <v/>
      </c>
      <c r="DK112" s="7">
        <f>IF(A112="","",IF((A112+101)&gt;Model!$B$4,0,MAX(0,Model!$B$6-IF((A112+101)&gt;=Model!$B$11,Model!$B$20,0)-IF(101&lt;Model!$B$15,Model!$B$22,0))/(1-Model!$B$9)/(1+Model!$B$18)^101))</f>
        <v/>
      </c>
      <c r="DL112" s="7">
        <f>IF(A112="","",IF((A112+102)&gt;Model!$B$4,0,MAX(0,Model!$B$6-IF((A112+102)&gt;=Model!$B$11,Model!$B$20,0)-IF(102&lt;Model!$B$15,Model!$B$22,0))/(1-Model!$B$9)/(1+Model!$B$18)^102))</f>
        <v/>
      </c>
      <c r="DM112" s="7">
        <f>IF(A112="","",IF((A112+103)&gt;Model!$B$4,0,MAX(0,Model!$B$6-IF((A112+103)&gt;=Model!$B$11,Model!$B$20,0)-IF(103&lt;Model!$B$15,Model!$B$22,0))/(1-Model!$B$9)/(1+Model!$B$18)^103))</f>
        <v/>
      </c>
      <c r="DN112" s="7">
        <f>IF(A112="","",IF((A112+104)&gt;Model!$B$4,0,MAX(0,Model!$B$6-IF((A112+104)&gt;=Model!$B$11,Model!$B$20,0)-IF(104&lt;Model!$B$15,Model!$B$22,0))/(1-Model!$B$9)/(1+Model!$B$18)^104))</f>
        <v/>
      </c>
      <c r="DO112" s="7">
        <f>IF(A112="","",IF((A112+105)&gt;Model!$B$4,0,MAX(0,Model!$B$6-IF((A112+105)&gt;=Model!$B$11,Model!$B$20,0)-IF(105&lt;Model!$B$15,Model!$B$22,0))/(1-Model!$B$9)/(1+Model!$B$18)^105))</f>
        <v/>
      </c>
      <c r="DP112" s="7">
        <f>IF(A112="","",IF((A112+106)&gt;Model!$B$4,0,MAX(0,Model!$B$6-IF((A112+106)&gt;=Model!$B$11,Model!$B$20,0)-IF(106&lt;Model!$B$15,Model!$B$22,0))/(1-Model!$B$9)/(1+Model!$B$18)^106))</f>
        <v/>
      </c>
      <c r="DQ112" s="7">
        <f>IF(A112="","",IF((A112+107)&gt;Model!$B$4,0,MAX(0,Model!$B$6-IF((A112+107)&gt;=Model!$B$11,Model!$B$20,0)-IF(107&lt;Model!$B$15,Model!$B$22,0))/(1-Model!$B$9)/(1+Model!$B$18)^107))</f>
        <v/>
      </c>
      <c r="DR112" s="7">
        <f>IF(A112="","",IF((A112+108)&gt;Model!$B$4,0,MAX(0,Model!$B$6-IF((A112+108)&gt;=Model!$B$11,Model!$B$20,0)-IF(108&lt;Model!$B$15,Model!$B$22,0))/(1-Model!$B$9)/(1+Model!$B$18)^108))</f>
        <v/>
      </c>
      <c r="DS112" s="7">
        <f>IF(A112="","",IF((A112+109)&gt;Model!$B$4,0,MAX(0,Model!$B$6-IF((A112+109)&gt;=Model!$B$11,Model!$B$20,0)-IF(109&lt;Model!$B$15,Model!$B$22,0))/(1-Model!$B$9)/(1+Model!$B$18)^109))</f>
        <v/>
      </c>
      <c r="DT112" s="7">
        <f>IF(A112="","",IF((A112+110)&gt;Model!$B$4,0,MAX(0,Model!$B$6-IF((A112+110)&gt;=Model!$B$11,Model!$B$20,0)-IF(110&lt;Model!$B$15,Model!$B$22,0))/(1-Model!$B$9)/(1+Model!$B$18)^110))</f>
        <v/>
      </c>
      <c r="DU112" s="7">
        <f>IF(A112="","",IF((A112+111)&gt;Model!$B$4,0,MAX(0,Model!$B$6-IF((A112+111)&gt;=Model!$B$11,Model!$B$20,0)-IF(111&lt;Model!$B$15,Model!$B$22,0))/(1-Model!$B$9)/(1+Model!$B$18)^111))</f>
        <v/>
      </c>
      <c r="DV112" s="7">
        <f>IF(A112="","",IF((A112+112)&gt;Model!$B$4,0,MAX(0,Model!$B$6-IF((A112+112)&gt;=Model!$B$11,Model!$B$20,0)-IF(112&lt;Model!$B$15,Model!$B$22,0))/(1-Model!$B$9)/(1+Model!$B$18)^112))</f>
        <v/>
      </c>
      <c r="DW112" s="7">
        <f>IF(A112="","",IF((A112+113)&gt;Model!$B$4,0,MAX(0,Model!$B$6-IF((A112+113)&gt;=Model!$B$11,Model!$B$20,0)-IF(113&lt;Model!$B$15,Model!$B$22,0))/(1-Model!$B$9)/(1+Model!$B$18)^113))</f>
        <v/>
      </c>
      <c r="DX112" s="7">
        <f>IF(A112="","",IF((A112+114)&gt;Model!$B$4,0,MAX(0,Model!$B$6-IF((A112+114)&gt;=Model!$B$11,Model!$B$20,0)-IF(114&lt;Model!$B$15,Model!$B$22,0))/(1-Model!$B$9)/(1+Model!$B$18)^114))</f>
        <v/>
      </c>
      <c r="DY112" s="7">
        <f>IF(A112="","",IF((A112+115)&gt;Model!$B$4,0,MAX(0,Model!$B$6-IF((A112+115)&gt;=Model!$B$11,Model!$B$20,0)-IF(115&lt;Model!$B$15,Model!$B$22,0))/(1-Model!$B$9)/(1+Model!$B$18)^115))</f>
        <v/>
      </c>
      <c r="DZ112" s="7">
        <f>IF(A112="","",IF((A112+116)&gt;Model!$B$4,0,MAX(0,Model!$B$6-IF((A112+116)&gt;=Model!$B$11,Model!$B$20,0)-IF(116&lt;Model!$B$15,Model!$B$22,0))/(1-Model!$B$9)/(1+Model!$B$18)^116))</f>
        <v/>
      </c>
      <c r="EA112" s="7">
        <f>IF(A112="","",IF((A112+117)&gt;Model!$B$4,0,MAX(0,Model!$B$6-IF((A112+117)&gt;=Model!$B$11,Model!$B$20,0)-IF(117&lt;Model!$B$15,Model!$B$22,0))/(1-Model!$B$9)/(1+Model!$B$18)^117))</f>
        <v/>
      </c>
      <c r="EB112" s="7">
        <f>IF(A112="","",IF((A112+118)&gt;Model!$B$4,0,MAX(0,Model!$B$6-IF((A112+118)&gt;=Model!$B$11,Model!$B$20,0)-IF(118&lt;Model!$B$15,Model!$B$22,0))/(1-Model!$B$9)/(1+Model!$B$18)^118))</f>
        <v/>
      </c>
      <c r="EC112" s="7">
        <f>IF(A112="","",IF((A112+119)&gt;Model!$B$4,0,MAX(0,Model!$B$6-IF((A112+119)&gt;=Model!$B$11,Model!$B$20,0)-IF(119&lt;Model!$B$15,Model!$B$22,0))/(1-Model!$B$9)/(1+Model!$B$18)^119))</f>
        <v/>
      </c>
      <c r="ED112" s="7">
        <f>IF(A112="","",IF((A112+120)&gt;Model!$B$4,0,MAX(0,Model!$B$6-IF((A112+120)&gt;=Model!$B$11,Model!$B$20,0)-IF(120&lt;Model!$B$15,Model!$B$22,0))/(1-Model!$B$9)/(1+Model!$B$18)^120))</f>
        <v/>
      </c>
    </row>
    <row r="113">
      <c r="A113">
        <f>IF(Model!$B$10+ROW()-2&lt;=Model!$B$4,Model!$B$10+ROW()-2,"")</f>
        <v/>
      </c>
      <c r="B113">
        <f>IF(A113="","",A113-Model!$B$10)</f>
        <v/>
      </c>
      <c r="C113" s="7">
        <f>IF(A113="","",Model!$B$5*(1+Model!$B$18)^B113)</f>
        <v/>
      </c>
      <c r="D113" s="7">
        <f>IF(A113="","",SUM(N113:ED113))</f>
        <v/>
      </c>
      <c r="E113" s="7">
        <f>IF(A113="","",IF(A113&gt;=Model!$B$11,Model!$B$20,0))</f>
        <v/>
      </c>
      <c r="F113" s="7">
        <f>IF(A113="","",IF(Model!$B$15&gt;0,Model!$B$22,0))</f>
        <v/>
      </c>
      <c r="G113" s="7">
        <f>IF(A113="","",E113+F113)</f>
        <v/>
      </c>
      <c r="H113" s="7">
        <f>IF(A113="","",MAX(0,Model!$B$6-G113))</f>
        <v/>
      </c>
      <c r="I113" s="7">
        <f>IF(A113="","",H113/(1-Model!$B$9))</f>
        <v/>
      </c>
      <c r="J113" s="7">
        <f>IF(A113="","",C113-D113)</f>
        <v/>
      </c>
      <c r="K113">
        <f>IF(A113="","",C113&gt;=D113)</f>
        <v/>
      </c>
      <c r="L113" s="7">
        <f>IF(A113="","",IF(A113&gt;=Model!$B$11,Model!$B$19*(1+Model!$B$13)^B113,0))</f>
        <v/>
      </c>
      <c r="M113" s="7">
        <f>IF(A113="","",IF(Model!$B$15&gt;0,Model!$B$21*(1+Model!$B$13)^B113,0))</f>
        <v/>
      </c>
      <c r="N113" s="7">
        <f>IF(A113="","",IF((A113+0)&gt;Model!$B$4,0,MAX(0,Model!$B$6-IF((A113+0)&gt;=Model!$B$11,Model!$B$20,0)-IF(0&lt;Model!$B$15,Model!$B$22,0))/(1-Model!$B$9)/(1+Model!$B$18)^0))</f>
        <v/>
      </c>
      <c r="O113" s="7">
        <f>IF(A113="","",IF((A113+1)&gt;Model!$B$4,0,MAX(0,Model!$B$6-IF((A113+1)&gt;=Model!$B$11,Model!$B$20,0)-IF(1&lt;Model!$B$15,Model!$B$22,0))/(1-Model!$B$9)/(1+Model!$B$18)^1))</f>
        <v/>
      </c>
      <c r="P113" s="7">
        <f>IF(A113="","",IF((A113+2)&gt;Model!$B$4,0,MAX(0,Model!$B$6-IF((A113+2)&gt;=Model!$B$11,Model!$B$20,0)-IF(2&lt;Model!$B$15,Model!$B$22,0))/(1-Model!$B$9)/(1+Model!$B$18)^2))</f>
        <v/>
      </c>
      <c r="Q113" s="7">
        <f>IF(A113="","",IF((A113+3)&gt;Model!$B$4,0,MAX(0,Model!$B$6-IF((A113+3)&gt;=Model!$B$11,Model!$B$20,0)-IF(3&lt;Model!$B$15,Model!$B$22,0))/(1-Model!$B$9)/(1+Model!$B$18)^3))</f>
        <v/>
      </c>
      <c r="R113" s="7">
        <f>IF(A113="","",IF((A113+4)&gt;Model!$B$4,0,MAX(0,Model!$B$6-IF((A113+4)&gt;=Model!$B$11,Model!$B$20,0)-IF(4&lt;Model!$B$15,Model!$B$22,0))/(1-Model!$B$9)/(1+Model!$B$18)^4))</f>
        <v/>
      </c>
      <c r="S113" s="7">
        <f>IF(A113="","",IF((A113+5)&gt;Model!$B$4,0,MAX(0,Model!$B$6-IF((A113+5)&gt;=Model!$B$11,Model!$B$20,0)-IF(5&lt;Model!$B$15,Model!$B$22,0))/(1-Model!$B$9)/(1+Model!$B$18)^5))</f>
        <v/>
      </c>
      <c r="T113" s="7">
        <f>IF(A113="","",IF((A113+6)&gt;Model!$B$4,0,MAX(0,Model!$B$6-IF((A113+6)&gt;=Model!$B$11,Model!$B$20,0)-IF(6&lt;Model!$B$15,Model!$B$22,0))/(1-Model!$B$9)/(1+Model!$B$18)^6))</f>
        <v/>
      </c>
      <c r="U113" s="7">
        <f>IF(A113="","",IF((A113+7)&gt;Model!$B$4,0,MAX(0,Model!$B$6-IF((A113+7)&gt;=Model!$B$11,Model!$B$20,0)-IF(7&lt;Model!$B$15,Model!$B$22,0))/(1-Model!$B$9)/(1+Model!$B$18)^7))</f>
        <v/>
      </c>
      <c r="V113" s="7">
        <f>IF(A113="","",IF((A113+8)&gt;Model!$B$4,0,MAX(0,Model!$B$6-IF((A113+8)&gt;=Model!$B$11,Model!$B$20,0)-IF(8&lt;Model!$B$15,Model!$B$22,0))/(1-Model!$B$9)/(1+Model!$B$18)^8))</f>
        <v/>
      </c>
      <c r="W113" s="7">
        <f>IF(A113="","",IF((A113+9)&gt;Model!$B$4,0,MAX(0,Model!$B$6-IF((A113+9)&gt;=Model!$B$11,Model!$B$20,0)-IF(9&lt;Model!$B$15,Model!$B$22,0))/(1-Model!$B$9)/(1+Model!$B$18)^9))</f>
        <v/>
      </c>
      <c r="X113" s="7">
        <f>IF(A113="","",IF((A113+10)&gt;Model!$B$4,0,MAX(0,Model!$B$6-IF((A113+10)&gt;=Model!$B$11,Model!$B$20,0)-IF(10&lt;Model!$B$15,Model!$B$22,0))/(1-Model!$B$9)/(1+Model!$B$18)^10))</f>
        <v/>
      </c>
      <c r="Y113" s="7">
        <f>IF(A113="","",IF((A113+11)&gt;Model!$B$4,0,MAX(0,Model!$B$6-IF((A113+11)&gt;=Model!$B$11,Model!$B$20,0)-IF(11&lt;Model!$B$15,Model!$B$22,0))/(1-Model!$B$9)/(1+Model!$B$18)^11))</f>
        <v/>
      </c>
      <c r="Z113" s="7">
        <f>IF(A113="","",IF((A113+12)&gt;Model!$B$4,0,MAX(0,Model!$B$6-IF((A113+12)&gt;=Model!$B$11,Model!$B$20,0)-IF(12&lt;Model!$B$15,Model!$B$22,0))/(1-Model!$B$9)/(1+Model!$B$18)^12))</f>
        <v/>
      </c>
      <c r="AA113" s="7">
        <f>IF(A113="","",IF((A113+13)&gt;Model!$B$4,0,MAX(0,Model!$B$6-IF((A113+13)&gt;=Model!$B$11,Model!$B$20,0)-IF(13&lt;Model!$B$15,Model!$B$22,0))/(1-Model!$B$9)/(1+Model!$B$18)^13))</f>
        <v/>
      </c>
      <c r="AB113" s="7">
        <f>IF(A113="","",IF((A113+14)&gt;Model!$B$4,0,MAX(0,Model!$B$6-IF((A113+14)&gt;=Model!$B$11,Model!$B$20,0)-IF(14&lt;Model!$B$15,Model!$B$22,0))/(1-Model!$B$9)/(1+Model!$B$18)^14))</f>
        <v/>
      </c>
      <c r="AC113" s="7">
        <f>IF(A113="","",IF((A113+15)&gt;Model!$B$4,0,MAX(0,Model!$B$6-IF((A113+15)&gt;=Model!$B$11,Model!$B$20,0)-IF(15&lt;Model!$B$15,Model!$B$22,0))/(1-Model!$B$9)/(1+Model!$B$18)^15))</f>
        <v/>
      </c>
      <c r="AD113" s="7">
        <f>IF(A113="","",IF((A113+16)&gt;Model!$B$4,0,MAX(0,Model!$B$6-IF((A113+16)&gt;=Model!$B$11,Model!$B$20,0)-IF(16&lt;Model!$B$15,Model!$B$22,0))/(1-Model!$B$9)/(1+Model!$B$18)^16))</f>
        <v/>
      </c>
      <c r="AE113" s="7">
        <f>IF(A113="","",IF((A113+17)&gt;Model!$B$4,0,MAX(0,Model!$B$6-IF((A113+17)&gt;=Model!$B$11,Model!$B$20,0)-IF(17&lt;Model!$B$15,Model!$B$22,0))/(1-Model!$B$9)/(1+Model!$B$18)^17))</f>
        <v/>
      </c>
      <c r="AF113" s="7">
        <f>IF(A113="","",IF((A113+18)&gt;Model!$B$4,0,MAX(0,Model!$B$6-IF((A113+18)&gt;=Model!$B$11,Model!$B$20,0)-IF(18&lt;Model!$B$15,Model!$B$22,0))/(1-Model!$B$9)/(1+Model!$B$18)^18))</f>
        <v/>
      </c>
      <c r="AG113" s="7">
        <f>IF(A113="","",IF((A113+19)&gt;Model!$B$4,0,MAX(0,Model!$B$6-IF((A113+19)&gt;=Model!$B$11,Model!$B$20,0)-IF(19&lt;Model!$B$15,Model!$B$22,0))/(1-Model!$B$9)/(1+Model!$B$18)^19))</f>
        <v/>
      </c>
      <c r="AH113" s="7">
        <f>IF(A113="","",IF((A113+20)&gt;Model!$B$4,0,MAX(0,Model!$B$6-IF((A113+20)&gt;=Model!$B$11,Model!$B$20,0)-IF(20&lt;Model!$B$15,Model!$B$22,0))/(1-Model!$B$9)/(1+Model!$B$18)^20))</f>
        <v/>
      </c>
      <c r="AI113" s="7">
        <f>IF(A113="","",IF((A113+21)&gt;Model!$B$4,0,MAX(0,Model!$B$6-IF((A113+21)&gt;=Model!$B$11,Model!$B$20,0)-IF(21&lt;Model!$B$15,Model!$B$22,0))/(1-Model!$B$9)/(1+Model!$B$18)^21))</f>
        <v/>
      </c>
      <c r="AJ113" s="7">
        <f>IF(A113="","",IF((A113+22)&gt;Model!$B$4,0,MAX(0,Model!$B$6-IF((A113+22)&gt;=Model!$B$11,Model!$B$20,0)-IF(22&lt;Model!$B$15,Model!$B$22,0))/(1-Model!$B$9)/(1+Model!$B$18)^22))</f>
        <v/>
      </c>
      <c r="AK113" s="7">
        <f>IF(A113="","",IF((A113+23)&gt;Model!$B$4,0,MAX(0,Model!$B$6-IF((A113+23)&gt;=Model!$B$11,Model!$B$20,0)-IF(23&lt;Model!$B$15,Model!$B$22,0))/(1-Model!$B$9)/(1+Model!$B$18)^23))</f>
        <v/>
      </c>
      <c r="AL113" s="7">
        <f>IF(A113="","",IF((A113+24)&gt;Model!$B$4,0,MAX(0,Model!$B$6-IF((A113+24)&gt;=Model!$B$11,Model!$B$20,0)-IF(24&lt;Model!$B$15,Model!$B$22,0))/(1-Model!$B$9)/(1+Model!$B$18)^24))</f>
        <v/>
      </c>
      <c r="AM113" s="7">
        <f>IF(A113="","",IF((A113+25)&gt;Model!$B$4,0,MAX(0,Model!$B$6-IF((A113+25)&gt;=Model!$B$11,Model!$B$20,0)-IF(25&lt;Model!$B$15,Model!$B$22,0))/(1-Model!$B$9)/(1+Model!$B$18)^25))</f>
        <v/>
      </c>
      <c r="AN113" s="7">
        <f>IF(A113="","",IF((A113+26)&gt;Model!$B$4,0,MAX(0,Model!$B$6-IF((A113+26)&gt;=Model!$B$11,Model!$B$20,0)-IF(26&lt;Model!$B$15,Model!$B$22,0))/(1-Model!$B$9)/(1+Model!$B$18)^26))</f>
        <v/>
      </c>
      <c r="AO113" s="7">
        <f>IF(A113="","",IF((A113+27)&gt;Model!$B$4,0,MAX(0,Model!$B$6-IF((A113+27)&gt;=Model!$B$11,Model!$B$20,0)-IF(27&lt;Model!$B$15,Model!$B$22,0))/(1-Model!$B$9)/(1+Model!$B$18)^27))</f>
        <v/>
      </c>
      <c r="AP113" s="7">
        <f>IF(A113="","",IF((A113+28)&gt;Model!$B$4,0,MAX(0,Model!$B$6-IF((A113+28)&gt;=Model!$B$11,Model!$B$20,0)-IF(28&lt;Model!$B$15,Model!$B$22,0))/(1-Model!$B$9)/(1+Model!$B$18)^28))</f>
        <v/>
      </c>
      <c r="AQ113" s="7">
        <f>IF(A113="","",IF((A113+29)&gt;Model!$B$4,0,MAX(0,Model!$B$6-IF((A113+29)&gt;=Model!$B$11,Model!$B$20,0)-IF(29&lt;Model!$B$15,Model!$B$22,0))/(1-Model!$B$9)/(1+Model!$B$18)^29))</f>
        <v/>
      </c>
      <c r="AR113" s="7">
        <f>IF(A113="","",IF((A113+30)&gt;Model!$B$4,0,MAX(0,Model!$B$6-IF((A113+30)&gt;=Model!$B$11,Model!$B$20,0)-IF(30&lt;Model!$B$15,Model!$B$22,0))/(1-Model!$B$9)/(1+Model!$B$18)^30))</f>
        <v/>
      </c>
      <c r="AS113" s="7">
        <f>IF(A113="","",IF((A113+31)&gt;Model!$B$4,0,MAX(0,Model!$B$6-IF((A113+31)&gt;=Model!$B$11,Model!$B$20,0)-IF(31&lt;Model!$B$15,Model!$B$22,0))/(1-Model!$B$9)/(1+Model!$B$18)^31))</f>
        <v/>
      </c>
      <c r="AT113" s="7">
        <f>IF(A113="","",IF((A113+32)&gt;Model!$B$4,0,MAX(0,Model!$B$6-IF((A113+32)&gt;=Model!$B$11,Model!$B$20,0)-IF(32&lt;Model!$B$15,Model!$B$22,0))/(1-Model!$B$9)/(1+Model!$B$18)^32))</f>
        <v/>
      </c>
      <c r="AU113" s="7">
        <f>IF(A113="","",IF((A113+33)&gt;Model!$B$4,0,MAX(0,Model!$B$6-IF((A113+33)&gt;=Model!$B$11,Model!$B$20,0)-IF(33&lt;Model!$B$15,Model!$B$22,0))/(1-Model!$B$9)/(1+Model!$B$18)^33))</f>
        <v/>
      </c>
      <c r="AV113" s="7">
        <f>IF(A113="","",IF((A113+34)&gt;Model!$B$4,0,MAX(0,Model!$B$6-IF((A113+34)&gt;=Model!$B$11,Model!$B$20,0)-IF(34&lt;Model!$B$15,Model!$B$22,0))/(1-Model!$B$9)/(1+Model!$B$18)^34))</f>
        <v/>
      </c>
      <c r="AW113" s="7">
        <f>IF(A113="","",IF((A113+35)&gt;Model!$B$4,0,MAX(0,Model!$B$6-IF((A113+35)&gt;=Model!$B$11,Model!$B$20,0)-IF(35&lt;Model!$B$15,Model!$B$22,0))/(1-Model!$B$9)/(1+Model!$B$18)^35))</f>
        <v/>
      </c>
      <c r="AX113" s="7">
        <f>IF(A113="","",IF((A113+36)&gt;Model!$B$4,0,MAX(0,Model!$B$6-IF((A113+36)&gt;=Model!$B$11,Model!$B$20,0)-IF(36&lt;Model!$B$15,Model!$B$22,0))/(1-Model!$B$9)/(1+Model!$B$18)^36))</f>
        <v/>
      </c>
      <c r="AY113" s="7">
        <f>IF(A113="","",IF((A113+37)&gt;Model!$B$4,0,MAX(0,Model!$B$6-IF((A113+37)&gt;=Model!$B$11,Model!$B$20,0)-IF(37&lt;Model!$B$15,Model!$B$22,0))/(1-Model!$B$9)/(1+Model!$B$18)^37))</f>
        <v/>
      </c>
      <c r="AZ113" s="7">
        <f>IF(A113="","",IF((A113+38)&gt;Model!$B$4,0,MAX(0,Model!$B$6-IF((A113+38)&gt;=Model!$B$11,Model!$B$20,0)-IF(38&lt;Model!$B$15,Model!$B$22,0))/(1-Model!$B$9)/(1+Model!$B$18)^38))</f>
        <v/>
      </c>
      <c r="BA113" s="7">
        <f>IF(A113="","",IF((A113+39)&gt;Model!$B$4,0,MAX(0,Model!$B$6-IF((A113+39)&gt;=Model!$B$11,Model!$B$20,0)-IF(39&lt;Model!$B$15,Model!$B$22,0))/(1-Model!$B$9)/(1+Model!$B$18)^39))</f>
        <v/>
      </c>
      <c r="BB113" s="7">
        <f>IF(A113="","",IF((A113+40)&gt;Model!$B$4,0,MAX(0,Model!$B$6-IF((A113+40)&gt;=Model!$B$11,Model!$B$20,0)-IF(40&lt;Model!$B$15,Model!$B$22,0))/(1-Model!$B$9)/(1+Model!$B$18)^40))</f>
        <v/>
      </c>
      <c r="BC113" s="7">
        <f>IF(A113="","",IF((A113+41)&gt;Model!$B$4,0,MAX(0,Model!$B$6-IF((A113+41)&gt;=Model!$B$11,Model!$B$20,0)-IF(41&lt;Model!$B$15,Model!$B$22,0))/(1-Model!$B$9)/(1+Model!$B$18)^41))</f>
        <v/>
      </c>
      <c r="BD113" s="7">
        <f>IF(A113="","",IF((A113+42)&gt;Model!$B$4,0,MAX(0,Model!$B$6-IF((A113+42)&gt;=Model!$B$11,Model!$B$20,0)-IF(42&lt;Model!$B$15,Model!$B$22,0))/(1-Model!$B$9)/(1+Model!$B$18)^42))</f>
        <v/>
      </c>
      <c r="BE113" s="7">
        <f>IF(A113="","",IF((A113+43)&gt;Model!$B$4,0,MAX(0,Model!$B$6-IF((A113+43)&gt;=Model!$B$11,Model!$B$20,0)-IF(43&lt;Model!$B$15,Model!$B$22,0))/(1-Model!$B$9)/(1+Model!$B$18)^43))</f>
        <v/>
      </c>
      <c r="BF113" s="7">
        <f>IF(A113="","",IF((A113+44)&gt;Model!$B$4,0,MAX(0,Model!$B$6-IF((A113+44)&gt;=Model!$B$11,Model!$B$20,0)-IF(44&lt;Model!$B$15,Model!$B$22,0))/(1-Model!$B$9)/(1+Model!$B$18)^44))</f>
        <v/>
      </c>
      <c r="BG113" s="7">
        <f>IF(A113="","",IF((A113+45)&gt;Model!$B$4,0,MAX(0,Model!$B$6-IF((A113+45)&gt;=Model!$B$11,Model!$B$20,0)-IF(45&lt;Model!$B$15,Model!$B$22,0))/(1-Model!$B$9)/(1+Model!$B$18)^45))</f>
        <v/>
      </c>
      <c r="BH113" s="7">
        <f>IF(A113="","",IF((A113+46)&gt;Model!$B$4,0,MAX(0,Model!$B$6-IF((A113+46)&gt;=Model!$B$11,Model!$B$20,0)-IF(46&lt;Model!$B$15,Model!$B$22,0))/(1-Model!$B$9)/(1+Model!$B$18)^46))</f>
        <v/>
      </c>
      <c r="BI113" s="7">
        <f>IF(A113="","",IF((A113+47)&gt;Model!$B$4,0,MAX(0,Model!$B$6-IF((A113+47)&gt;=Model!$B$11,Model!$B$20,0)-IF(47&lt;Model!$B$15,Model!$B$22,0))/(1-Model!$B$9)/(1+Model!$B$18)^47))</f>
        <v/>
      </c>
      <c r="BJ113" s="7">
        <f>IF(A113="","",IF((A113+48)&gt;Model!$B$4,0,MAX(0,Model!$B$6-IF((A113+48)&gt;=Model!$B$11,Model!$B$20,0)-IF(48&lt;Model!$B$15,Model!$B$22,0))/(1-Model!$B$9)/(1+Model!$B$18)^48))</f>
        <v/>
      </c>
      <c r="BK113" s="7">
        <f>IF(A113="","",IF((A113+49)&gt;Model!$B$4,0,MAX(0,Model!$B$6-IF((A113+49)&gt;=Model!$B$11,Model!$B$20,0)-IF(49&lt;Model!$B$15,Model!$B$22,0))/(1-Model!$B$9)/(1+Model!$B$18)^49))</f>
        <v/>
      </c>
      <c r="BL113" s="7">
        <f>IF(A113="","",IF((A113+50)&gt;Model!$B$4,0,MAX(0,Model!$B$6-IF((A113+50)&gt;=Model!$B$11,Model!$B$20,0)-IF(50&lt;Model!$B$15,Model!$B$22,0))/(1-Model!$B$9)/(1+Model!$B$18)^50))</f>
        <v/>
      </c>
      <c r="BM113" s="7">
        <f>IF(A113="","",IF((A113+51)&gt;Model!$B$4,0,MAX(0,Model!$B$6-IF((A113+51)&gt;=Model!$B$11,Model!$B$20,0)-IF(51&lt;Model!$B$15,Model!$B$22,0))/(1-Model!$B$9)/(1+Model!$B$18)^51))</f>
        <v/>
      </c>
      <c r="BN113" s="7">
        <f>IF(A113="","",IF((A113+52)&gt;Model!$B$4,0,MAX(0,Model!$B$6-IF((A113+52)&gt;=Model!$B$11,Model!$B$20,0)-IF(52&lt;Model!$B$15,Model!$B$22,0))/(1-Model!$B$9)/(1+Model!$B$18)^52))</f>
        <v/>
      </c>
      <c r="BO113" s="7">
        <f>IF(A113="","",IF((A113+53)&gt;Model!$B$4,0,MAX(0,Model!$B$6-IF((A113+53)&gt;=Model!$B$11,Model!$B$20,0)-IF(53&lt;Model!$B$15,Model!$B$22,0))/(1-Model!$B$9)/(1+Model!$B$18)^53))</f>
        <v/>
      </c>
      <c r="BP113" s="7">
        <f>IF(A113="","",IF((A113+54)&gt;Model!$B$4,0,MAX(0,Model!$B$6-IF((A113+54)&gt;=Model!$B$11,Model!$B$20,0)-IF(54&lt;Model!$B$15,Model!$B$22,0))/(1-Model!$B$9)/(1+Model!$B$18)^54))</f>
        <v/>
      </c>
      <c r="BQ113" s="7">
        <f>IF(A113="","",IF((A113+55)&gt;Model!$B$4,0,MAX(0,Model!$B$6-IF((A113+55)&gt;=Model!$B$11,Model!$B$20,0)-IF(55&lt;Model!$B$15,Model!$B$22,0))/(1-Model!$B$9)/(1+Model!$B$18)^55))</f>
        <v/>
      </c>
      <c r="BR113" s="7">
        <f>IF(A113="","",IF((A113+56)&gt;Model!$B$4,0,MAX(0,Model!$B$6-IF((A113+56)&gt;=Model!$B$11,Model!$B$20,0)-IF(56&lt;Model!$B$15,Model!$B$22,0))/(1-Model!$B$9)/(1+Model!$B$18)^56))</f>
        <v/>
      </c>
      <c r="BS113" s="7">
        <f>IF(A113="","",IF((A113+57)&gt;Model!$B$4,0,MAX(0,Model!$B$6-IF((A113+57)&gt;=Model!$B$11,Model!$B$20,0)-IF(57&lt;Model!$B$15,Model!$B$22,0))/(1-Model!$B$9)/(1+Model!$B$18)^57))</f>
        <v/>
      </c>
      <c r="BT113" s="7">
        <f>IF(A113="","",IF((A113+58)&gt;Model!$B$4,0,MAX(0,Model!$B$6-IF((A113+58)&gt;=Model!$B$11,Model!$B$20,0)-IF(58&lt;Model!$B$15,Model!$B$22,0))/(1-Model!$B$9)/(1+Model!$B$18)^58))</f>
        <v/>
      </c>
      <c r="BU113" s="7">
        <f>IF(A113="","",IF((A113+59)&gt;Model!$B$4,0,MAX(0,Model!$B$6-IF((A113+59)&gt;=Model!$B$11,Model!$B$20,0)-IF(59&lt;Model!$B$15,Model!$B$22,0))/(1-Model!$B$9)/(1+Model!$B$18)^59))</f>
        <v/>
      </c>
      <c r="BV113" s="7">
        <f>IF(A113="","",IF((A113+60)&gt;Model!$B$4,0,MAX(0,Model!$B$6-IF((A113+60)&gt;=Model!$B$11,Model!$B$20,0)-IF(60&lt;Model!$B$15,Model!$B$22,0))/(1-Model!$B$9)/(1+Model!$B$18)^60))</f>
        <v/>
      </c>
      <c r="BW113" s="7">
        <f>IF(A113="","",IF((A113+61)&gt;Model!$B$4,0,MAX(0,Model!$B$6-IF((A113+61)&gt;=Model!$B$11,Model!$B$20,0)-IF(61&lt;Model!$B$15,Model!$B$22,0))/(1-Model!$B$9)/(1+Model!$B$18)^61))</f>
        <v/>
      </c>
      <c r="BX113" s="7">
        <f>IF(A113="","",IF((A113+62)&gt;Model!$B$4,0,MAX(0,Model!$B$6-IF((A113+62)&gt;=Model!$B$11,Model!$B$20,0)-IF(62&lt;Model!$B$15,Model!$B$22,0))/(1-Model!$B$9)/(1+Model!$B$18)^62))</f>
        <v/>
      </c>
      <c r="BY113" s="7">
        <f>IF(A113="","",IF((A113+63)&gt;Model!$B$4,0,MAX(0,Model!$B$6-IF((A113+63)&gt;=Model!$B$11,Model!$B$20,0)-IF(63&lt;Model!$B$15,Model!$B$22,0))/(1-Model!$B$9)/(1+Model!$B$18)^63))</f>
        <v/>
      </c>
      <c r="BZ113" s="7">
        <f>IF(A113="","",IF((A113+64)&gt;Model!$B$4,0,MAX(0,Model!$B$6-IF((A113+64)&gt;=Model!$B$11,Model!$B$20,0)-IF(64&lt;Model!$B$15,Model!$B$22,0))/(1-Model!$B$9)/(1+Model!$B$18)^64))</f>
        <v/>
      </c>
      <c r="CA113" s="7">
        <f>IF(A113="","",IF((A113+65)&gt;Model!$B$4,0,MAX(0,Model!$B$6-IF((A113+65)&gt;=Model!$B$11,Model!$B$20,0)-IF(65&lt;Model!$B$15,Model!$B$22,0))/(1-Model!$B$9)/(1+Model!$B$18)^65))</f>
        <v/>
      </c>
      <c r="CB113" s="7">
        <f>IF(A113="","",IF((A113+66)&gt;Model!$B$4,0,MAX(0,Model!$B$6-IF((A113+66)&gt;=Model!$B$11,Model!$B$20,0)-IF(66&lt;Model!$B$15,Model!$B$22,0))/(1-Model!$B$9)/(1+Model!$B$18)^66))</f>
        <v/>
      </c>
      <c r="CC113" s="7">
        <f>IF(A113="","",IF((A113+67)&gt;Model!$B$4,0,MAX(0,Model!$B$6-IF((A113+67)&gt;=Model!$B$11,Model!$B$20,0)-IF(67&lt;Model!$B$15,Model!$B$22,0))/(1-Model!$B$9)/(1+Model!$B$18)^67))</f>
        <v/>
      </c>
      <c r="CD113" s="7">
        <f>IF(A113="","",IF((A113+68)&gt;Model!$B$4,0,MAX(0,Model!$B$6-IF((A113+68)&gt;=Model!$B$11,Model!$B$20,0)-IF(68&lt;Model!$B$15,Model!$B$22,0))/(1-Model!$B$9)/(1+Model!$B$18)^68))</f>
        <v/>
      </c>
      <c r="CE113" s="7">
        <f>IF(A113="","",IF((A113+69)&gt;Model!$B$4,0,MAX(0,Model!$B$6-IF((A113+69)&gt;=Model!$B$11,Model!$B$20,0)-IF(69&lt;Model!$B$15,Model!$B$22,0))/(1-Model!$B$9)/(1+Model!$B$18)^69))</f>
        <v/>
      </c>
      <c r="CF113" s="7">
        <f>IF(A113="","",IF((A113+70)&gt;Model!$B$4,0,MAX(0,Model!$B$6-IF((A113+70)&gt;=Model!$B$11,Model!$B$20,0)-IF(70&lt;Model!$B$15,Model!$B$22,0))/(1-Model!$B$9)/(1+Model!$B$18)^70))</f>
        <v/>
      </c>
      <c r="CG113" s="7">
        <f>IF(A113="","",IF((A113+71)&gt;Model!$B$4,0,MAX(0,Model!$B$6-IF((A113+71)&gt;=Model!$B$11,Model!$B$20,0)-IF(71&lt;Model!$B$15,Model!$B$22,0))/(1-Model!$B$9)/(1+Model!$B$18)^71))</f>
        <v/>
      </c>
      <c r="CH113" s="7">
        <f>IF(A113="","",IF((A113+72)&gt;Model!$B$4,0,MAX(0,Model!$B$6-IF((A113+72)&gt;=Model!$B$11,Model!$B$20,0)-IF(72&lt;Model!$B$15,Model!$B$22,0))/(1-Model!$B$9)/(1+Model!$B$18)^72))</f>
        <v/>
      </c>
      <c r="CI113" s="7">
        <f>IF(A113="","",IF((A113+73)&gt;Model!$B$4,0,MAX(0,Model!$B$6-IF((A113+73)&gt;=Model!$B$11,Model!$B$20,0)-IF(73&lt;Model!$B$15,Model!$B$22,0))/(1-Model!$B$9)/(1+Model!$B$18)^73))</f>
        <v/>
      </c>
      <c r="CJ113" s="7">
        <f>IF(A113="","",IF((A113+74)&gt;Model!$B$4,0,MAX(0,Model!$B$6-IF((A113+74)&gt;=Model!$B$11,Model!$B$20,0)-IF(74&lt;Model!$B$15,Model!$B$22,0))/(1-Model!$B$9)/(1+Model!$B$18)^74))</f>
        <v/>
      </c>
      <c r="CK113" s="7">
        <f>IF(A113="","",IF((A113+75)&gt;Model!$B$4,0,MAX(0,Model!$B$6-IF((A113+75)&gt;=Model!$B$11,Model!$B$20,0)-IF(75&lt;Model!$B$15,Model!$B$22,0))/(1-Model!$B$9)/(1+Model!$B$18)^75))</f>
        <v/>
      </c>
      <c r="CL113" s="7">
        <f>IF(A113="","",IF((A113+76)&gt;Model!$B$4,0,MAX(0,Model!$B$6-IF((A113+76)&gt;=Model!$B$11,Model!$B$20,0)-IF(76&lt;Model!$B$15,Model!$B$22,0))/(1-Model!$B$9)/(1+Model!$B$18)^76))</f>
        <v/>
      </c>
      <c r="CM113" s="7">
        <f>IF(A113="","",IF((A113+77)&gt;Model!$B$4,0,MAX(0,Model!$B$6-IF((A113+77)&gt;=Model!$B$11,Model!$B$20,0)-IF(77&lt;Model!$B$15,Model!$B$22,0))/(1-Model!$B$9)/(1+Model!$B$18)^77))</f>
        <v/>
      </c>
      <c r="CN113" s="7">
        <f>IF(A113="","",IF((A113+78)&gt;Model!$B$4,0,MAX(0,Model!$B$6-IF((A113+78)&gt;=Model!$B$11,Model!$B$20,0)-IF(78&lt;Model!$B$15,Model!$B$22,0))/(1-Model!$B$9)/(1+Model!$B$18)^78))</f>
        <v/>
      </c>
      <c r="CO113" s="7">
        <f>IF(A113="","",IF((A113+79)&gt;Model!$B$4,0,MAX(0,Model!$B$6-IF((A113+79)&gt;=Model!$B$11,Model!$B$20,0)-IF(79&lt;Model!$B$15,Model!$B$22,0))/(1-Model!$B$9)/(1+Model!$B$18)^79))</f>
        <v/>
      </c>
      <c r="CP113" s="7">
        <f>IF(A113="","",IF((A113+80)&gt;Model!$B$4,0,MAX(0,Model!$B$6-IF((A113+80)&gt;=Model!$B$11,Model!$B$20,0)-IF(80&lt;Model!$B$15,Model!$B$22,0))/(1-Model!$B$9)/(1+Model!$B$18)^80))</f>
        <v/>
      </c>
      <c r="CQ113" s="7">
        <f>IF(A113="","",IF((A113+81)&gt;Model!$B$4,0,MAX(0,Model!$B$6-IF((A113+81)&gt;=Model!$B$11,Model!$B$20,0)-IF(81&lt;Model!$B$15,Model!$B$22,0))/(1-Model!$B$9)/(1+Model!$B$18)^81))</f>
        <v/>
      </c>
      <c r="CR113" s="7">
        <f>IF(A113="","",IF((A113+82)&gt;Model!$B$4,0,MAX(0,Model!$B$6-IF((A113+82)&gt;=Model!$B$11,Model!$B$20,0)-IF(82&lt;Model!$B$15,Model!$B$22,0))/(1-Model!$B$9)/(1+Model!$B$18)^82))</f>
        <v/>
      </c>
      <c r="CS113" s="7">
        <f>IF(A113="","",IF((A113+83)&gt;Model!$B$4,0,MAX(0,Model!$B$6-IF((A113+83)&gt;=Model!$B$11,Model!$B$20,0)-IF(83&lt;Model!$B$15,Model!$B$22,0))/(1-Model!$B$9)/(1+Model!$B$18)^83))</f>
        <v/>
      </c>
      <c r="CT113" s="7">
        <f>IF(A113="","",IF((A113+84)&gt;Model!$B$4,0,MAX(0,Model!$B$6-IF((A113+84)&gt;=Model!$B$11,Model!$B$20,0)-IF(84&lt;Model!$B$15,Model!$B$22,0))/(1-Model!$B$9)/(1+Model!$B$18)^84))</f>
        <v/>
      </c>
      <c r="CU113" s="7">
        <f>IF(A113="","",IF((A113+85)&gt;Model!$B$4,0,MAX(0,Model!$B$6-IF((A113+85)&gt;=Model!$B$11,Model!$B$20,0)-IF(85&lt;Model!$B$15,Model!$B$22,0))/(1-Model!$B$9)/(1+Model!$B$18)^85))</f>
        <v/>
      </c>
      <c r="CV113" s="7">
        <f>IF(A113="","",IF((A113+86)&gt;Model!$B$4,0,MAX(0,Model!$B$6-IF((A113+86)&gt;=Model!$B$11,Model!$B$20,0)-IF(86&lt;Model!$B$15,Model!$B$22,0))/(1-Model!$B$9)/(1+Model!$B$18)^86))</f>
        <v/>
      </c>
      <c r="CW113" s="7">
        <f>IF(A113="","",IF((A113+87)&gt;Model!$B$4,0,MAX(0,Model!$B$6-IF((A113+87)&gt;=Model!$B$11,Model!$B$20,0)-IF(87&lt;Model!$B$15,Model!$B$22,0))/(1-Model!$B$9)/(1+Model!$B$18)^87))</f>
        <v/>
      </c>
      <c r="CX113" s="7">
        <f>IF(A113="","",IF((A113+88)&gt;Model!$B$4,0,MAX(0,Model!$B$6-IF((A113+88)&gt;=Model!$B$11,Model!$B$20,0)-IF(88&lt;Model!$B$15,Model!$B$22,0))/(1-Model!$B$9)/(1+Model!$B$18)^88))</f>
        <v/>
      </c>
      <c r="CY113" s="7">
        <f>IF(A113="","",IF((A113+89)&gt;Model!$B$4,0,MAX(0,Model!$B$6-IF((A113+89)&gt;=Model!$B$11,Model!$B$20,0)-IF(89&lt;Model!$B$15,Model!$B$22,0))/(1-Model!$B$9)/(1+Model!$B$18)^89))</f>
        <v/>
      </c>
      <c r="CZ113" s="7">
        <f>IF(A113="","",IF((A113+90)&gt;Model!$B$4,0,MAX(0,Model!$B$6-IF((A113+90)&gt;=Model!$B$11,Model!$B$20,0)-IF(90&lt;Model!$B$15,Model!$B$22,0))/(1-Model!$B$9)/(1+Model!$B$18)^90))</f>
        <v/>
      </c>
      <c r="DA113" s="7">
        <f>IF(A113="","",IF((A113+91)&gt;Model!$B$4,0,MAX(0,Model!$B$6-IF((A113+91)&gt;=Model!$B$11,Model!$B$20,0)-IF(91&lt;Model!$B$15,Model!$B$22,0))/(1-Model!$B$9)/(1+Model!$B$18)^91))</f>
        <v/>
      </c>
      <c r="DB113" s="7">
        <f>IF(A113="","",IF((A113+92)&gt;Model!$B$4,0,MAX(0,Model!$B$6-IF((A113+92)&gt;=Model!$B$11,Model!$B$20,0)-IF(92&lt;Model!$B$15,Model!$B$22,0))/(1-Model!$B$9)/(1+Model!$B$18)^92))</f>
        <v/>
      </c>
      <c r="DC113" s="7">
        <f>IF(A113="","",IF((A113+93)&gt;Model!$B$4,0,MAX(0,Model!$B$6-IF((A113+93)&gt;=Model!$B$11,Model!$B$20,0)-IF(93&lt;Model!$B$15,Model!$B$22,0))/(1-Model!$B$9)/(1+Model!$B$18)^93))</f>
        <v/>
      </c>
      <c r="DD113" s="7">
        <f>IF(A113="","",IF((A113+94)&gt;Model!$B$4,0,MAX(0,Model!$B$6-IF((A113+94)&gt;=Model!$B$11,Model!$B$20,0)-IF(94&lt;Model!$B$15,Model!$B$22,0))/(1-Model!$B$9)/(1+Model!$B$18)^94))</f>
        <v/>
      </c>
      <c r="DE113" s="7">
        <f>IF(A113="","",IF((A113+95)&gt;Model!$B$4,0,MAX(0,Model!$B$6-IF((A113+95)&gt;=Model!$B$11,Model!$B$20,0)-IF(95&lt;Model!$B$15,Model!$B$22,0))/(1-Model!$B$9)/(1+Model!$B$18)^95))</f>
        <v/>
      </c>
      <c r="DF113" s="7">
        <f>IF(A113="","",IF((A113+96)&gt;Model!$B$4,0,MAX(0,Model!$B$6-IF((A113+96)&gt;=Model!$B$11,Model!$B$20,0)-IF(96&lt;Model!$B$15,Model!$B$22,0))/(1-Model!$B$9)/(1+Model!$B$18)^96))</f>
        <v/>
      </c>
      <c r="DG113" s="7">
        <f>IF(A113="","",IF((A113+97)&gt;Model!$B$4,0,MAX(0,Model!$B$6-IF((A113+97)&gt;=Model!$B$11,Model!$B$20,0)-IF(97&lt;Model!$B$15,Model!$B$22,0))/(1-Model!$B$9)/(1+Model!$B$18)^97))</f>
        <v/>
      </c>
      <c r="DH113" s="7">
        <f>IF(A113="","",IF((A113+98)&gt;Model!$B$4,0,MAX(0,Model!$B$6-IF((A113+98)&gt;=Model!$B$11,Model!$B$20,0)-IF(98&lt;Model!$B$15,Model!$B$22,0))/(1-Model!$B$9)/(1+Model!$B$18)^98))</f>
        <v/>
      </c>
      <c r="DI113" s="7">
        <f>IF(A113="","",IF((A113+99)&gt;Model!$B$4,0,MAX(0,Model!$B$6-IF((A113+99)&gt;=Model!$B$11,Model!$B$20,0)-IF(99&lt;Model!$B$15,Model!$B$22,0))/(1-Model!$B$9)/(1+Model!$B$18)^99))</f>
        <v/>
      </c>
      <c r="DJ113" s="7">
        <f>IF(A113="","",IF((A113+100)&gt;Model!$B$4,0,MAX(0,Model!$B$6-IF((A113+100)&gt;=Model!$B$11,Model!$B$20,0)-IF(100&lt;Model!$B$15,Model!$B$22,0))/(1-Model!$B$9)/(1+Model!$B$18)^100))</f>
        <v/>
      </c>
      <c r="DK113" s="7">
        <f>IF(A113="","",IF((A113+101)&gt;Model!$B$4,0,MAX(0,Model!$B$6-IF((A113+101)&gt;=Model!$B$11,Model!$B$20,0)-IF(101&lt;Model!$B$15,Model!$B$22,0))/(1-Model!$B$9)/(1+Model!$B$18)^101))</f>
        <v/>
      </c>
      <c r="DL113" s="7">
        <f>IF(A113="","",IF((A113+102)&gt;Model!$B$4,0,MAX(0,Model!$B$6-IF((A113+102)&gt;=Model!$B$11,Model!$B$20,0)-IF(102&lt;Model!$B$15,Model!$B$22,0))/(1-Model!$B$9)/(1+Model!$B$18)^102))</f>
        <v/>
      </c>
      <c r="DM113" s="7">
        <f>IF(A113="","",IF((A113+103)&gt;Model!$B$4,0,MAX(0,Model!$B$6-IF((A113+103)&gt;=Model!$B$11,Model!$B$20,0)-IF(103&lt;Model!$B$15,Model!$B$22,0))/(1-Model!$B$9)/(1+Model!$B$18)^103))</f>
        <v/>
      </c>
      <c r="DN113" s="7">
        <f>IF(A113="","",IF((A113+104)&gt;Model!$B$4,0,MAX(0,Model!$B$6-IF((A113+104)&gt;=Model!$B$11,Model!$B$20,0)-IF(104&lt;Model!$B$15,Model!$B$22,0))/(1-Model!$B$9)/(1+Model!$B$18)^104))</f>
        <v/>
      </c>
      <c r="DO113" s="7">
        <f>IF(A113="","",IF((A113+105)&gt;Model!$B$4,0,MAX(0,Model!$B$6-IF((A113+105)&gt;=Model!$B$11,Model!$B$20,0)-IF(105&lt;Model!$B$15,Model!$B$22,0))/(1-Model!$B$9)/(1+Model!$B$18)^105))</f>
        <v/>
      </c>
      <c r="DP113" s="7">
        <f>IF(A113="","",IF((A113+106)&gt;Model!$B$4,0,MAX(0,Model!$B$6-IF((A113+106)&gt;=Model!$B$11,Model!$B$20,0)-IF(106&lt;Model!$B$15,Model!$B$22,0))/(1-Model!$B$9)/(1+Model!$B$18)^106))</f>
        <v/>
      </c>
      <c r="DQ113" s="7">
        <f>IF(A113="","",IF((A113+107)&gt;Model!$B$4,0,MAX(0,Model!$B$6-IF((A113+107)&gt;=Model!$B$11,Model!$B$20,0)-IF(107&lt;Model!$B$15,Model!$B$22,0))/(1-Model!$B$9)/(1+Model!$B$18)^107))</f>
        <v/>
      </c>
      <c r="DR113" s="7">
        <f>IF(A113="","",IF((A113+108)&gt;Model!$B$4,0,MAX(0,Model!$B$6-IF((A113+108)&gt;=Model!$B$11,Model!$B$20,0)-IF(108&lt;Model!$B$15,Model!$B$22,0))/(1-Model!$B$9)/(1+Model!$B$18)^108))</f>
        <v/>
      </c>
      <c r="DS113" s="7">
        <f>IF(A113="","",IF((A113+109)&gt;Model!$B$4,0,MAX(0,Model!$B$6-IF((A113+109)&gt;=Model!$B$11,Model!$B$20,0)-IF(109&lt;Model!$B$15,Model!$B$22,0))/(1-Model!$B$9)/(1+Model!$B$18)^109))</f>
        <v/>
      </c>
      <c r="DT113" s="7">
        <f>IF(A113="","",IF((A113+110)&gt;Model!$B$4,0,MAX(0,Model!$B$6-IF((A113+110)&gt;=Model!$B$11,Model!$B$20,0)-IF(110&lt;Model!$B$15,Model!$B$22,0))/(1-Model!$B$9)/(1+Model!$B$18)^110))</f>
        <v/>
      </c>
      <c r="DU113" s="7">
        <f>IF(A113="","",IF((A113+111)&gt;Model!$B$4,0,MAX(0,Model!$B$6-IF((A113+111)&gt;=Model!$B$11,Model!$B$20,0)-IF(111&lt;Model!$B$15,Model!$B$22,0))/(1-Model!$B$9)/(1+Model!$B$18)^111))</f>
        <v/>
      </c>
      <c r="DV113" s="7">
        <f>IF(A113="","",IF((A113+112)&gt;Model!$B$4,0,MAX(0,Model!$B$6-IF((A113+112)&gt;=Model!$B$11,Model!$B$20,0)-IF(112&lt;Model!$B$15,Model!$B$22,0))/(1-Model!$B$9)/(1+Model!$B$18)^112))</f>
        <v/>
      </c>
      <c r="DW113" s="7">
        <f>IF(A113="","",IF((A113+113)&gt;Model!$B$4,0,MAX(0,Model!$B$6-IF((A113+113)&gt;=Model!$B$11,Model!$B$20,0)-IF(113&lt;Model!$B$15,Model!$B$22,0))/(1-Model!$B$9)/(1+Model!$B$18)^113))</f>
        <v/>
      </c>
      <c r="DX113" s="7">
        <f>IF(A113="","",IF((A113+114)&gt;Model!$B$4,0,MAX(0,Model!$B$6-IF((A113+114)&gt;=Model!$B$11,Model!$B$20,0)-IF(114&lt;Model!$B$15,Model!$B$22,0))/(1-Model!$B$9)/(1+Model!$B$18)^114))</f>
        <v/>
      </c>
      <c r="DY113" s="7">
        <f>IF(A113="","",IF((A113+115)&gt;Model!$B$4,0,MAX(0,Model!$B$6-IF((A113+115)&gt;=Model!$B$11,Model!$B$20,0)-IF(115&lt;Model!$B$15,Model!$B$22,0))/(1-Model!$B$9)/(1+Model!$B$18)^115))</f>
        <v/>
      </c>
      <c r="DZ113" s="7">
        <f>IF(A113="","",IF((A113+116)&gt;Model!$B$4,0,MAX(0,Model!$B$6-IF((A113+116)&gt;=Model!$B$11,Model!$B$20,0)-IF(116&lt;Model!$B$15,Model!$B$22,0))/(1-Model!$B$9)/(1+Model!$B$18)^116))</f>
        <v/>
      </c>
      <c r="EA113" s="7">
        <f>IF(A113="","",IF((A113+117)&gt;Model!$B$4,0,MAX(0,Model!$B$6-IF((A113+117)&gt;=Model!$B$11,Model!$B$20,0)-IF(117&lt;Model!$B$15,Model!$B$22,0))/(1-Model!$B$9)/(1+Model!$B$18)^117))</f>
        <v/>
      </c>
      <c r="EB113" s="7">
        <f>IF(A113="","",IF((A113+118)&gt;Model!$B$4,0,MAX(0,Model!$B$6-IF((A113+118)&gt;=Model!$B$11,Model!$B$20,0)-IF(118&lt;Model!$B$15,Model!$B$22,0))/(1-Model!$B$9)/(1+Model!$B$18)^118))</f>
        <v/>
      </c>
      <c r="EC113" s="7">
        <f>IF(A113="","",IF((A113+119)&gt;Model!$B$4,0,MAX(0,Model!$B$6-IF((A113+119)&gt;=Model!$B$11,Model!$B$20,0)-IF(119&lt;Model!$B$15,Model!$B$22,0))/(1-Model!$B$9)/(1+Model!$B$18)^119))</f>
        <v/>
      </c>
      <c r="ED113" s="7">
        <f>IF(A113="","",IF((A113+120)&gt;Model!$B$4,0,MAX(0,Model!$B$6-IF((A113+120)&gt;=Model!$B$11,Model!$B$20,0)-IF(120&lt;Model!$B$15,Model!$B$22,0))/(1-Model!$B$9)/(1+Model!$B$18)^120))</f>
        <v/>
      </c>
    </row>
    <row r="114">
      <c r="A114">
        <f>IF(Model!$B$10+ROW()-2&lt;=Model!$B$4,Model!$B$10+ROW()-2,"")</f>
        <v/>
      </c>
      <c r="B114">
        <f>IF(A114="","",A114-Model!$B$10)</f>
        <v/>
      </c>
      <c r="C114" s="7">
        <f>IF(A114="","",Model!$B$5*(1+Model!$B$18)^B114)</f>
        <v/>
      </c>
      <c r="D114" s="7">
        <f>IF(A114="","",SUM(N114:ED114))</f>
        <v/>
      </c>
      <c r="E114" s="7">
        <f>IF(A114="","",IF(A114&gt;=Model!$B$11,Model!$B$20,0))</f>
        <v/>
      </c>
      <c r="F114" s="7">
        <f>IF(A114="","",IF(Model!$B$15&gt;0,Model!$B$22,0))</f>
        <v/>
      </c>
      <c r="G114" s="7">
        <f>IF(A114="","",E114+F114)</f>
        <v/>
      </c>
      <c r="H114" s="7">
        <f>IF(A114="","",MAX(0,Model!$B$6-G114))</f>
        <v/>
      </c>
      <c r="I114" s="7">
        <f>IF(A114="","",H114/(1-Model!$B$9))</f>
        <v/>
      </c>
      <c r="J114" s="7">
        <f>IF(A114="","",C114-D114)</f>
        <v/>
      </c>
      <c r="K114">
        <f>IF(A114="","",C114&gt;=D114)</f>
        <v/>
      </c>
      <c r="L114" s="7">
        <f>IF(A114="","",IF(A114&gt;=Model!$B$11,Model!$B$19*(1+Model!$B$13)^B114,0))</f>
        <v/>
      </c>
      <c r="M114" s="7">
        <f>IF(A114="","",IF(Model!$B$15&gt;0,Model!$B$21*(1+Model!$B$13)^B114,0))</f>
        <v/>
      </c>
      <c r="N114" s="7">
        <f>IF(A114="","",IF((A114+0)&gt;Model!$B$4,0,MAX(0,Model!$B$6-IF((A114+0)&gt;=Model!$B$11,Model!$B$20,0)-IF(0&lt;Model!$B$15,Model!$B$22,0))/(1-Model!$B$9)/(1+Model!$B$18)^0))</f>
        <v/>
      </c>
      <c r="O114" s="7">
        <f>IF(A114="","",IF((A114+1)&gt;Model!$B$4,0,MAX(0,Model!$B$6-IF((A114+1)&gt;=Model!$B$11,Model!$B$20,0)-IF(1&lt;Model!$B$15,Model!$B$22,0))/(1-Model!$B$9)/(1+Model!$B$18)^1))</f>
        <v/>
      </c>
      <c r="P114" s="7">
        <f>IF(A114="","",IF((A114+2)&gt;Model!$B$4,0,MAX(0,Model!$B$6-IF((A114+2)&gt;=Model!$B$11,Model!$B$20,0)-IF(2&lt;Model!$B$15,Model!$B$22,0))/(1-Model!$B$9)/(1+Model!$B$18)^2))</f>
        <v/>
      </c>
      <c r="Q114" s="7">
        <f>IF(A114="","",IF((A114+3)&gt;Model!$B$4,0,MAX(0,Model!$B$6-IF((A114+3)&gt;=Model!$B$11,Model!$B$20,0)-IF(3&lt;Model!$B$15,Model!$B$22,0))/(1-Model!$B$9)/(1+Model!$B$18)^3))</f>
        <v/>
      </c>
      <c r="R114" s="7">
        <f>IF(A114="","",IF((A114+4)&gt;Model!$B$4,0,MAX(0,Model!$B$6-IF((A114+4)&gt;=Model!$B$11,Model!$B$20,0)-IF(4&lt;Model!$B$15,Model!$B$22,0))/(1-Model!$B$9)/(1+Model!$B$18)^4))</f>
        <v/>
      </c>
      <c r="S114" s="7">
        <f>IF(A114="","",IF((A114+5)&gt;Model!$B$4,0,MAX(0,Model!$B$6-IF((A114+5)&gt;=Model!$B$11,Model!$B$20,0)-IF(5&lt;Model!$B$15,Model!$B$22,0))/(1-Model!$B$9)/(1+Model!$B$18)^5))</f>
        <v/>
      </c>
      <c r="T114" s="7">
        <f>IF(A114="","",IF((A114+6)&gt;Model!$B$4,0,MAX(0,Model!$B$6-IF((A114+6)&gt;=Model!$B$11,Model!$B$20,0)-IF(6&lt;Model!$B$15,Model!$B$22,0))/(1-Model!$B$9)/(1+Model!$B$18)^6))</f>
        <v/>
      </c>
      <c r="U114" s="7">
        <f>IF(A114="","",IF((A114+7)&gt;Model!$B$4,0,MAX(0,Model!$B$6-IF((A114+7)&gt;=Model!$B$11,Model!$B$20,0)-IF(7&lt;Model!$B$15,Model!$B$22,0))/(1-Model!$B$9)/(1+Model!$B$18)^7))</f>
        <v/>
      </c>
      <c r="V114" s="7">
        <f>IF(A114="","",IF((A114+8)&gt;Model!$B$4,0,MAX(0,Model!$B$6-IF((A114+8)&gt;=Model!$B$11,Model!$B$20,0)-IF(8&lt;Model!$B$15,Model!$B$22,0))/(1-Model!$B$9)/(1+Model!$B$18)^8))</f>
        <v/>
      </c>
      <c r="W114" s="7">
        <f>IF(A114="","",IF((A114+9)&gt;Model!$B$4,0,MAX(0,Model!$B$6-IF((A114+9)&gt;=Model!$B$11,Model!$B$20,0)-IF(9&lt;Model!$B$15,Model!$B$22,0))/(1-Model!$B$9)/(1+Model!$B$18)^9))</f>
        <v/>
      </c>
      <c r="X114" s="7">
        <f>IF(A114="","",IF((A114+10)&gt;Model!$B$4,0,MAX(0,Model!$B$6-IF((A114+10)&gt;=Model!$B$11,Model!$B$20,0)-IF(10&lt;Model!$B$15,Model!$B$22,0))/(1-Model!$B$9)/(1+Model!$B$18)^10))</f>
        <v/>
      </c>
      <c r="Y114" s="7">
        <f>IF(A114="","",IF((A114+11)&gt;Model!$B$4,0,MAX(0,Model!$B$6-IF((A114+11)&gt;=Model!$B$11,Model!$B$20,0)-IF(11&lt;Model!$B$15,Model!$B$22,0))/(1-Model!$B$9)/(1+Model!$B$18)^11))</f>
        <v/>
      </c>
      <c r="Z114" s="7">
        <f>IF(A114="","",IF((A114+12)&gt;Model!$B$4,0,MAX(0,Model!$B$6-IF((A114+12)&gt;=Model!$B$11,Model!$B$20,0)-IF(12&lt;Model!$B$15,Model!$B$22,0))/(1-Model!$B$9)/(1+Model!$B$18)^12))</f>
        <v/>
      </c>
      <c r="AA114" s="7">
        <f>IF(A114="","",IF((A114+13)&gt;Model!$B$4,0,MAX(0,Model!$B$6-IF((A114+13)&gt;=Model!$B$11,Model!$B$20,0)-IF(13&lt;Model!$B$15,Model!$B$22,0))/(1-Model!$B$9)/(1+Model!$B$18)^13))</f>
        <v/>
      </c>
      <c r="AB114" s="7">
        <f>IF(A114="","",IF((A114+14)&gt;Model!$B$4,0,MAX(0,Model!$B$6-IF((A114+14)&gt;=Model!$B$11,Model!$B$20,0)-IF(14&lt;Model!$B$15,Model!$B$22,0))/(1-Model!$B$9)/(1+Model!$B$18)^14))</f>
        <v/>
      </c>
      <c r="AC114" s="7">
        <f>IF(A114="","",IF((A114+15)&gt;Model!$B$4,0,MAX(0,Model!$B$6-IF((A114+15)&gt;=Model!$B$11,Model!$B$20,0)-IF(15&lt;Model!$B$15,Model!$B$22,0))/(1-Model!$B$9)/(1+Model!$B$18)^15))</f>
        <v/>
      </c>
      <c r="AD114" s="7">
        <f>IF(A114="","",IF((A114+16)&gt;Model!$B$4,0,MAX(0,Model!$B$6-IF((A114+16)&gt;=Model!$B$11,Model!$B$20,0)-IF(16&lt;Model!$B$15,Model!$B$22,0))/(1-Model!$B$9)/(1+Model!$B$18)^16))</f>
        <v/>
      </c>
      <c r="AE114" s="7">
        <f>IF(A114="","",IF((A114+17)&gt;Model!$B$4,0,MAX(0,Model!$B$6-IF((A114+17)&gt;=Model!$B$11,Model!$B$20,0)-IF(17&lt;Model!$B$15,Model!$B$22,0))/(1-Model!$B$9)/(1+Model!$B$18)^17))</f>
        <v/>
      </c>
      <c r="AF114" s="7">
        <f>IF(A114="","",IF((A114+18)&gt;Model!$B$4,0,MAX(0,Model!$B$6-IF((A114+18)&gt;=Model!$B$11,Model!$B$20,0)-IF(18&lt;Model!$B$15,Model!$B$22,0))/(1-Model!$B$9)/(1+Model!$B$18)^18))</f>
        <v/>
      </c>
      <c r="AG114" s="7">
        <f>IF(A114="","",IF((A114+19)&gt;Model!$B$4,0,MAX(0,Model!$B$6-IF((A114+19)&gt;=Model!$B$11,Model!$B$20,0)-IF(19&lt;Model!$B$15,Model!$B$22,0))/(1-Model!$B$9)/(1+Model!$B$18)^19))</f>
        <v/>
      </c>
      <c r="AH114" s="7">
        <f>IF(A114="","",IF((A114+20)&gt;Model!$B$4,0,MAX(0,Model!$B$6-IF((A114+20)&gt;=Model!$B$11,Model!$B$20,0)-IF(20&lt;Model!$B$15,Model!$B$22,0))/(1-Model!$B$9)/(1+Model!$B$18)^20))</f>
        <v/>
      </c>
      <c r="AI114" s="7">
        <f>IF(A114="","",IF((A114+21)&gt;Model!$B$4,0,MAX(0,Model!$B$6-IF((A114+21)&gt;=Model!$B$11,Model!$B$20,0)-IF(21&lt;Model!$B$15,Model!$B$22,0))/(1-Model!$B$9)/(1+Model!$B$18)^21))</f>
        <v/>
      </c>
      <c r="AJ114" s="7">
        <f>IF(A114="","",IF((A114+22)&gt;Model!$B$4,0,MAX(0,Model!$B$6-IF((A114+22)&gt;=Model!$B$11,Model!$B$20,0)-IF(22&lt;Model!$B$15,Model!$B$22,0))/(1-Model!$B$9)/(1+Model!$B$18)^22))</f>
        <v/>
      </c>
      <c r="AK114" s="7">
        <f>IF(A114="","",IF((A114+23)&gt;Model!$B$4,0,MAX(0,Model!$B$6-IF((A114+23)&gt;=Model!$B$11,Model!$B$20,0)-IF(23&lt;Model!$B$15,Model!$B$22,0))/(1-Model!$B$9)/(1+Model!$B$18)^23))</f>
        <v/>
      </c>
      <c r="AL114" s="7">
        <f>IF(A114="","",IF((A114+24)&gt;Model!$B$4,0,MAX(0,Model!$B$6-IF((A114+24)&gt;=Model!$B$11,Model!$B$20,0)-IF(24&lt;Model!$B$15,Model!$B$22,0))/(1-Model!$B$9)/(1+Model!$B$18)^24))</f>
        <v/>
      </c>
      <c r="AM114" s="7">
        <f>IF(A114="","",IF((A114+25)&gt;Model!$B$4,0,MAX(0,Model!$B$6-IF((A114+25)&gt;=Model!$B$11,Model!$B$20,0)-IF(25&lt;Model!$B$15,Model!$B$22,0))/(1-Model!$B$9)/(1+Model!$B$18)^25))</f>
        <v/>
      </c>
      <c r="AN114" s="7">
        <f>IF(A114="","",IF((A114+26)&gt;Model!$B$4,0,MAX(0,Model!$B$6-IF((A114+26)&gt;=Model!$B$11,Model!$B$20,0)-IF(26&lt;Model!$B$15,Model!$B$22,0))/(1-Model!$B$9)/(1+Model!$B$18)^26))</f>
        <v/>
      </c>
      <c r="AO114" s="7">
        <f>IF(A114="","",IF((A114+27)&gt;Model!$B$4,0,MAX(0,Model!$B$6-IF((A114+27)&gt;=Model!$B$11,Model!$B$20,0)-IF(27&lt;Model!$B$15,Model!$B$22,0))/(1-Model!$B$9)/(1+Model!$B$18)^27))</f>
        <v/>
      </c>
      <c r="AP114" s="7">
        <f>IF(A114="","",IF((A114+28)&gt;Model!$B$4,0,MAX(0,Model!$B$6-IF((A114+28)&gt;=Model!$B$11,Model!$B$20,0)-IF(28&lt;Model!$B$15,Model!$B$22,0))/(1-Model!$B$9)/(1+Model!$B$18)^28))</f>
        <v/>
      </c>
      <c r="AQ114" s="7">
        <f>IF(A114="","",IF((A114+29)&gt;Model!$B$4,0,MAX(0,Model!$B$6-IF((A114+29)&gt;=Model!$B$11,Model!$B$20,0)-IF(29&lt;Model!$B$15,Model!$B$22,0))/(1-Model!$B$9)/(1+Model!$B$18)^29))</f>
        <v/>
      </c>
      <c r="AR114" s="7">
        <f>IF(A114="","",IF((A114+30)&gt;Model!$B$4,0,MAX(0,Model!$B$6-IF((A114+30)&gt;=Model!$B$11,Model!$B$20,0)-IF(30&lt;Model!$B$15,Model!$B$22,0))/(1-Model!$B$9)/(1+Model!$B$18)^30))</f>
        <v/>
      </c>
      <c r="AS114" s="7">
        <f>IF(A114="","",IF((A114+31)&gt;Model!$B$4,0,MAX(0,Model!$B$6-IF((A114+31)&gt;=Model!$B$11,Model!$B$20,0)-IF(31&lt;Model!$B$15,Model!$B$22,0))/(1-Model!$B$9)/(1+Model!$B$18)^31))</f>
        <v/>
      </c>
      <c r="AT114" s="7">
        <f>IF(A114="","",IF((A114+32)&gt;Model!$B$4,0,MAX(0,Model!$B$6-IF((A114+32)&gt;=Model!$B$11,Model!$B$20,0)-IF(32&lt;Model!$B$15,Model!$B$22,0))/(1-Model!$B$9)/(1+Model!$B$18)^32))</f>
        <v/>
      </c>
      <c r="AU114" s="7">
        <f>IF(A114="","",IF((A114+33)&gt;Model!$B$4,0,MAX(0,Model!$B$6-IF((A114+33)&gt;=Model!$B$11,Model!$B$20,0)-IF(33&lt;Model!$B$15,Model!$B$22,0))/(1-Model!$B$9)/(1+Model!$B$18)^33))</f>
        <v/>
      </c>
      <c r="AV114" s="7">
        <f>IF(A114="","",IF((A114+34)&gt;Model!$B$4,0,MAX(0,Model!$B$6-IF((A114+34)&gt;=Model!$B$11,Model!$B$20,0)-IF(34&lt;Model!$B$15,Model!$B$22,0))/(1-Model!$B$9)/(1+Model!$B$18)^34))</f>
        <v/>
      </c>
      <c r="AW114" s="7">
        <f>IF(A114="","",IF((A114+35)&gt;Model!$B$4,0,MAX(0,Model!$B$6-IF((A114+35)&gt;=Model!$B$11,Model!$B$20,0)-IF(35&lt;Model!$B$15,Model!$B$22,0))/(1-Model!$B$9)/(1+Model!$B$18)^35))</f>
        <v/>
      </c>
      <c r="AX114" s="7">
        <f>IF(A114="","",IF((A114+36)&gt;Model!$B$4,0,MAX(0,Model!$B$6-IF((A114+36)&gt;=Model!$B$11,Model!$B$20,0)-IF(36&lt;Model!$B$15,Model!$B$22,0))/(1-Model!$B$9)/(1+Model!$B$18)^36))</f>
        <v/>
      </c>
      <c r="AY114" s="7">
        <f>IF(A114="","",IF((A114+37)&gt;Model!$B$4,0,MAX(0,Model!$B$6-IF((A114+37)&gt;=Model!$B$11,Model!$B$20,0)-IF(37&lt;Model!$B$15,Model!$B$22,0))/(1-Model!$B$9)/(1+Model!$B$18)^37))</f>
        <v/>
      </c>
      <c r="AZ114" s="7">
        <f>IF(A114="","",IF((A114+38)&gt;Model!$B$4,0,MAX(0,Model!$B$6-IF((A114+38)&gt;=Model!$B$11,Model!$B$20,0)-IF(38&lt;Model!$B$15,Model!$B$22,0))/(1-Model!$B$9)/(1+Model!$B$18)^38))</f>
        <v/>
      </c>
      <c r="BA114" s="7">
        <f>IF(A114="","",IF((A114+39)&gt;Model!$B$4,0,MAX(0,Model!$B$6-IF((A114+39)&gt;=Model!$B$11,Model!$B$20,0)-IF(39&lt;Model!$B$15,Model!$B$22,0))/(1-Model!$B$9)/(1+Model!$B$18)^39))</f>
        <v/>
      </c>
      <c r="BB114" s="7">
        <f>IF(A114="","",IF((A114+40)&gt;Model!$B$4,0,MAX(0,Model!$B$6-IF((A114+40)&gt;=Model!$B$11,Model!$B$20,0)-IF(40&lt;Model!$B$15,Model!$B$22,0))/(1-Model!$B$9)/(1+Model!$B$18)^40))</f>
        <v/>
      </c>
      <c r="BC114" s="7">
        <f>IF(A114="","",IF((A114+41)&gt;Model!$B$4,0,MAX(0,Model!$B$6-IF((A114+41)&gt;=Model!$B$11,Model!$B$20,0)-IF(41&lt;Model!$B$15,Model!$B$22,0))/(1-Model!$B$9)/(1+Model!$B$18)^41))</f>
        <v/>
      </c>
      <c r="BD114" s="7">
        <f>IF(A114="","",IF((A114+42)&gt;Model!$B$4,0,MAX(0,Model!$B$6-IF((A114+42)&gt;=Model!$B$11,Model!$B$20,0)-IF(42&lt;Model!$B$15,Model!$B$22,0))/(1-Model!$B$9)/(1+Model!$B$18)^42))</f>
        <v/>
      </c>
      <c r="BE114" s="7">
        <f>IF(A114="","",IF((A114+43)&gt;Model!$B$4,0,MAX(0,Model!$B$6-IF((A114+43)&gt;=Model!$B$11,Model!$B$20,0)-IF(43&lt;Model!$B$15,Model!$B$22,0))/(1-Model!$B$9)/(1+Model!$B$18)^43))</f>
        <v/>
      </c>
      <c r="BF114" s="7">
        <f>IF(A114="","",IF((A114+44)&gt;Model!$B$4,0,MAX(0,Model!$B$6-IF((A114+44)&gt;=Model!$B$11,Model!$B$20,0)-IF(44&lt;Model!$B$15,Model!$B$22,0))/(1-Model!$B$9)/(1+Model!$B$18)^44))</f>
        <v/>
      </c>
      <c r="BG114" s="7">
        <f>IF(A114="","",IF((A114+45)&gt;Model!$B$4,0,MAX(0,Model!$B$6-IF((A114+45)&gt;=Model!$B$11,Model!$B$20,0)-IF(45&lt;Model!$B$15,Model!$B$22,0))/(1-Model!$B$9)/(1+Model!$B$18)^45))</f>
        <v/>
      </c>
      <c r="BH114" s="7">
        <f>IF(A114="","",IF((A114+46)&gt;Model!$B$4,0,MAX(0,Model!$B$6-IF((A114+46)&gt;=Model!$B$11,Model!$B$20,0)-IF(46&lt;Model!$B$15,Model!$B$22,0))/(1-Model!$B$9)/(1+Model!$B$18)^46))</f>
        <v/>
      </c>
      <c r="BI114" s="7">
        <f>IF(A114="","",IF((A114+47)&gt;Model!$B$4,0,MAX(0,Model!$B$6-IF((A114+47)&gt;=Model!$B$11,Model!$B$20,0)-IF(47&lt;Model!$B$15,Model!$B$22,0))/(1-Model!$B$9)/(1+Model!$B$18)^47))</f>
        <v/>
      </c>
      <c r="BJ114" s="7">
        <f>IF(A114="","",IF((A114+48)&gt;Model!$B$4,0,MAX(0,Model!$B$6-IF((A114+48)&gt;=Model!$B$11,Model!$B$20,0)-IF(48&lt;Model!$B$15,Model!$B$22,0))/(1-Model!$B$9)/(1+Model!$B$18)^48))</f>
        <v/>
      </c>
      <c r="BK114" s="7">
        <f>IF(A114="","",IF((A114+49)&gt;Model!$B$4,0,MAX(0,Model!$B$6-IF((A114+49)&gt;=Model!$B$11,Model!$B$20,0)-IF(49&lt;Model!$B$15,Model!$B$22,0))/(1-Model!$B$9)/(1+Model!$B$18)^49))</f>
        <v/>
      </c>
      <c r="BL114" s="7">
        <f>IF(A114="","",IF((A114+50)&gt;Model!$B$4,0,MAX(0,Model!$B$6-IF((A114+50)&gt;=Model!$B$11,Model!$B$20,0)-IF(50&lt;Model!$B$15,Model!$B$22,0))/(1-Model!$B$9)/(1+Model!$B$18)^50))</f>
        <v/>
      </c>
      <c r="BM114" s="7">
        <f>IF(A114="","",IF((A114+51)&gt;Model!$B$4,0,MAX(0,Model!$B$6-IF((A114+51)&gt;=Model!$B$11,Model!$B$20,0)-IF(51&lt;Model!$B$15,Model!$B$22,0))/(1-Model!$B$9)/(1+Model!$B$18)^51))</f>
        <v/>
      </c>
      <c r="BN114" s="7">
        <f>IF(A114="","",IF((A114+52)&gt;Model!$B$4,0,MAX(0,Model!$B$6-IF((A114+52)&gt;=Model!$B$11,Model!$B$20,0)-IF(52&lt;Model!$B$15,Model!$B$22,0))/(1-Model!$B$9)/(1+Model!$B$18)^52))</f>
        <v/>
      </c>
      <c r="BO114" s="7">
        <f>IF(A114="","",IF((A114+53)&gt;Model!$B$4,0,MAX(0,Model!$B$6-IF((A114+53)&gt;=Model!$B$11,Model!$B$20,0)-IF(53&lt;Model!$B$15,Model!$B$22,0))/(1-Model!$B$9)/(1+Model!$B$18)^53))</f>
        <v/>
      </c>
      <c r="BP114" s="7">
        <f>IF(A114="","",IF((A114+54)&gt;Model!$B$4,0,MAX(0,Model!$B$6-IF((A114+54)&gt;=Model!$B$11,Model!$B$20,0)-IF(54&lt;Model!$B$15,Model!$B$22,0))/(1-Model!$B$9)/(1+Model!$B$18)^54))</f>
        <v/>
      </c>
      <c r="BQ114" s="7">
        <f>IF(A114="","",IF((A114+55)&gt;Model!$B$4,0,MAX(0,Model!$B$6-IF((A114+55)&gt;=Model!$B$11,Model!$B$20,0)-IF(55&lt;Model!$B$15,Model!$B$22,0))/(1-Model!$B$9)/(1+Model!$B$18)^55))</f>
        <v/>
      </c>
      <c r="BR114" s="7">
        <f>IF(A114="","",IF((A114+56)&gt;Model!$B$4,0,MAX(0,Model!$B$6-IF((A114+56)&gt;=Model!$B$11,Model!$B$20,0)-IF(56&lt;Model!$B$15,Model!$B$22,0))/(1-Model!$B$9)/(1+Model!$B$18)^56))</f>
        <v/>
      </c>
      <c r="BS114" s="7">
        <f>IF(A114="","",IF((A114+57)&gt;Model!$B$4,0,MAX(0,Model!$B$6-IF((A114+57)&gt;=Model!$B$11,Model!$B$20,0)-IF(57&lt;Model!$B$15,Model!$B$22,0))/(1-Model!$B$9)/(1+Model!$B$18)^57))</f>
        <v/>
      </c>
      <c r="BT114" s="7">
        <f>IF(A114="","",IF((A114+58)&gt;Model!$B$4,0,MAX(0,Model!$B$6-IF((A114+58)&gt;=Model!$B$11,Model!$B$20,0)-IF(58&lt;Model!$B$15,Model!$B$22,0))/(1-Model!$B$9)/(1+Model!$B$18)^58))</f>
        <v/>
      </c>
      <c r="BU114" s="7">
        <f>IF(A114="","",IF((A114+59)&gt;Model!$B$4,0,MAX(0,Model!$B$6-IF((A114+59)&gt;=Model!$B$11,Model!$B$20,0)-IF(59&lt;Model!$B$15,Model!$B$22,0))/(1-Model!$B$9)/(1+Model!$B$18)^59))</f>
        <v/>
      </c>
      <c r="BV114" s="7">
        <f>IF(A114="","",IF((A114+60)&gt;Model!$B$4,0,MAX(0,Model!$B$6-IF((A114+60)&gt;=Model!$B$11,Model!$B$20,0)-IF(60&lt;Model!$B$15,Model!$B$22,0))/(1-Model!$B$9)/(1+Model!$B$18)^60))</f>
        <v/>
      </c>
      <c r="BW114" s="7">
        <f>IF(A114="","",IF((A114+61)&gt;Model!$B$4,0,MAX(0,Model!$B$6-IF((A114+61)&gt;=Model!$B$11,Model!$B$20,0)-IF(61&lt;Model!$B$15,Model!$B$22,0))/(1-Model!$B$9)/(1+Model!$B$18)^61))</f>
        <v/>
      </c>
      <c r="BX114" s="7">
        <f>IF(A114="","",IF((A114+62)&gt;Model!$B$4,0,MAX(0,Model!$B$6-IF((A114+62)&gt;=Model!$B$11,Model!$B$20,0)-IF(62&lt;Model!$B$15,Model!$B$22,0))/(1-Model!$B$9)/(1+Model!$B$18)^62))</f>
        <v/>
      </c>
      <c r="BY114" s="7">
        <f>IF(A114="","",IF((A114+63)&gt;Model!$B$4,0,MAX(0,Model!$B$6-IF((A114+63)&gt;=Model!$B$11,Model!$B$20,0)-IF(63&lt;Model!$B$15,Model!$B$22,0))/(1-Model!$B$9)/(1+Model!$B$18)^63))</f>
        <v/>
      </c>
      <c r="BZ114" s="7">
        <f>IF(A114="","",IF((A114+64)&gt;Model!$B$4,0,MAX(0,Model!$B$6-IF((A114+64)&gt;=Model!$B$11,Model!$B$20,0)-IF(64&lt;Model!$B$15,Model!$B$22,0))/(1-Model!$B$9)/(1+Model!$B$18)^64))</f>
        <v/>
      </c>
      <c r="CA114" s="7">
        <f>IF(A114="","",IF((A114+65)&gt;Model!$B$4,0,MAX(0,Model!$B$6-IF((A114+65)&gt;=Model!$B$11,Model!$B$20,0)-IF(65&lt;Model!$B$15,Model!$B$22,0))/(1-Model!$B$9)/(1+Model!$B$18)^65))</f>
        <v/>
      </c>
      <c r="CB114" s="7">
        <f>IF(A114="","",IF((A114+66)&gt;Model!$B$4,0,MAX(0,Model!$B$6-IF((A114+66)&gt;=Model!$B$11,Model!$B$20,0)-IF(66&lt;Model!$B$15,Model!$B$22,0))/(1-Model!$B$9)/(1+Model!$B$18)^66))</f>
        <v/>
      </c>
      <c r="CC114" s="7">
        <f>IF(A114="","",IF((A114+67)&gt;Model!$B$4,0,MAX(0,Model!$B$6-IF((A114+67)&gt;=Model!$B$11,Model!$B$20,0)-IF(67&lt;Model!$B$15,Model!$B$22,0))/(1-Model!$B$9)/(1+Model!$B$18)^67))</f>
        <v/>
      </c>
      <c r="CD114" s="7">
        <f>IF(A114="","",IF((A114+68)&gt;Model!$B$4,0,MAX(0,Model!$B$6-IF((A114+68)&gt;=Model!$B$11,Model!$B$20,0)-IF(68&lt;Model!$B$15,Model!$B$22,0))/(1-Model!$B$9)/(1+Model!$B$18)^68))</f>
        <v/>
      </c>
      <c r="CE114" s="7">
        <f>IF(A114="","",IF((A114+69)&gt;Model!$B$4,0,MAX(0,Model!$B$6-IF((A114+69)&gt;=Model!$B$11,Model!$B$20,0)-IF(69&lt;Model!$B$15,Model!$B$22,0))/(1-Model!$B$9)/(1+Model!$B$18)^69))</f>
        <v/>
      </c>
      <c r="CF114" s="7">
        <f>IF(A114="","",IF((A114+70)&gt;Model!$B$4,0,MAX(0,Model!$B$6-IF((A114+70)&gt;=Model!$B$11,Model!$B$20,0)-IF(70&lt;Model!$B$15,Model!$B$22,0))/(1-Model!$B$9)/(1+Model!$B$18)^70))</f>
        <v/>
      </c>
      <c r="CG114" s="7">
        <f>IF(A114="","",IF((A114+71)&gt;Model!$B$4,0,MAX(0,Model!$B$6-IF((A114+71)&gt;=Model!$B$11,Model!$B$20,0)-IF(71&lt;Model!$B$15,Model!$B$22,0))/(1-Model!$B$9)/(1+Model!$B$18)^71))</f>
        <v/>
      </c>
      <c r="CH114" s="7">
        <f>IF(A114="","",IF((A114+72)&gt;Model!$B$4,0,MAX(0,Model!$B$6-IF((A114+72)&gt;=Model!$B$11,Model!$B$20,0)-IF(72&lt;Model!$B$15,Model!$B$22,0))/(1-Model!$B$9)/(1+Model!$B$18)^72))</f>
        <v/>
      </c>
      <c r="CI114" s="7">
        <f>IF(A114="","",IF((A114+73)&gt;Model!$B$4,0,MAX(0,Model!$B$6-IF((A114+73)&gt;=Model!$B$11,Model!$B$20,0)-IF(73&lt;Model!$B$15,Model!$B$22,0))/(1-Model!$B$9)/(1+Model!$B$18)^73))</f>
        <v/>
      </c>
      <c r="CJ114" s="7">
        <f>IF(A114="","",IF((A114+74)&gt;Model!$B$4,0,MAX(0,Model!$B$6-IF((A114+74)&gt;=Model!$B$11,Model!$B$20,0)-IF(74&lt;Model!$B$15,Model!$B$22,0))/(1-Model!$B$9)/(1+Model!$B$18)^74))</f>
        <v/>
      </c>
      <c r="CK114" s="7">
        <f>IF(A114="","",IF((A114+75)&gt;Model!$B$4,0,MAX(0,Model!$B$6-IF((A114+75)&gt;=Model!$B$11,Model!$B$20,0)-IF(75&lt;Model!$B$15,Model!$B$22,0))/(1-Model!$B$9)/(1+Model!$B$18)^75))</f>
        <v/>
      </c>
      <c r="CL114" s="7">
        <f>IF(A114="","",IF((A114+76)&gt;Model!$B$4,0,MAX(0,Model!$B$6-IF((A114+76)&gt;=Model!$B$11,Model!$B$20,0)-IF(76&lt;Model!$B$15,Model!$B$22,0))/(1-Model!$B$9)/(1+Model!$B$18)^76))</f>
        <v/>
      </c>
      <c r="CM114" s="7">
        <f>IF(A114="","",IF((A114+77)&gt;Model!$B$4,0,MAX(0,Model!$B$6-IF((A114+77)&gt;=Model!$B$11,Model!$B$20,0)-IF(77&lt;Model!$B$15,Model!$B$22,0))/(1-Model!$B$9)/(1+Model!$B$18)^77))</f>
        <v/>
      </c>
      <c r="CN114" s="7">
        <f>IF(A114="","",IF((A114+78)&gt;Model!$B$4,0,MAX(0,Model!$B$6-IF((A114+78)&gt;=Model!$B$11,Model!$B$20,0)-IF(78&lt;Model!$B$15,Model!$B$22,0))/(1-Model!$B$9)/(1+Model!$B$18)^78))</f>
        <v/>
      </c>
      <c r="CO114" s="7">
        <f>IF(A114="","",IF((A114+79)&gt;Model!$B$4,0,MAX(0,Model!$B$6-IF((A114+79)&gt;=Model!$B$11,Model!$B$20,0)-IF(79&lt;Model!$B$15,Model!$B$22,0))/(1-Model!$B$9)/(1+Model!$B$18)^79))</f>
        <v/>
      </c>
      <c r="CP114" s="7">
        <f>IF(A114="","",IF((A114+80)&gt;Model!$B$4,0,MAX(0,Model!$B$6-IF((A114+80)&gt;=Model!$B$11,Model!$B$20,0)-IF(80&lt;Model!$B$15,Model!$B$22,0))/(1-Model!$B$9)/(1+Model!$B$18)^80))</f>
        <v/>
      </c>
      <c r="CQ114" s="7">
        <f>IF(A114="","",IF((A114+81)&gt;Model!$B$4,0,MAX(0,Model!$B$6-IF((A114+81)&gt;=Model!$B$11,Model!$B$20,0)-IF(81&lt;Model!$B$15,Model!$B$22,0))/(1-Model!$B$9)/(1+Model!$B$18)^81))</f>
        <v/>
      </c>
      <c r="CR114" s="7">
        <f>IF(A114="","",IF((A114+82)&gt;Model!$B$4,0,MAX(0,Model!$B$6-IF((A114+82)&gt;=Model!$B$11,Model!$B$20,0)-IF(82&lt;Model!$B$15,Model!$B$22,0))/(1-Model!$B$9)/(1+Model!$B$18)^82))</f>
        <v/>
      </c>
      <c r="CS114" s="7">
        <f>IF(A114="","",IF((A114+83)&gt;Model!$B$4,0,MAX(0,Model!$B$6-IF((A114+83)&gt;=Model!$B$11,Model!$B$20,0)-IF(83&lt;Model!$B$15,Model!$B$22,0))/(1-Model!$B$9)/(1+Model!$B$18)^83))</f>
        <v/>
      </c>
      <c r="CT114" s="7">
        <f>IF(A114="","",IF((A114+84)&gt;Model!$B$4,0,MAX(0,Model!$B$6-IF((A114+84)&gt;=Model!$B$11,Model!$B$20,0)-IF(84&lt;Model!$B$15,Model!$B$22,0))/(1-Model!$B$9)/(1+Model!$B$18)^84))</f>
        <v/>
      </c>
      <c r="CU114" s="7">
        <f>IF(A114="","",IF((A114+85)&gt;Model!$B$4,0,MAX(0,Model!$B$6-IF((A114+85)&gt;=Model!$B$11,Model!$B$20,0)-IF(85&lt;Model!$B$15,Model!$B$22,0))/(1-Model!$B$9)/(1+Model!$B$18)^85))</f>
        <v/>
      </c>
      <c r="CV114" s="7">
        <f>IF(A114="","",IF((A114+86)&gt;Model!$B$4,0,MAX(0,Model!$B$6-IF((A114+86)&gt;=Model!$B$11,Model!$B$20,0)-IF(86&lt;Model!$B$15,Model!$B$22,0))/(1-Model!$B$9)/(1+Model!$B$18)^86))</f>
        <v/>
      </c>
      <c r="CW114" s="7">
        <f>IF(A114="","",IF((A114+87)&gt;Model!$B$4,0,MAX(0,Model!$B$6-IF((A114+87)&gt;=Model!$B$11,Model!$B$20,0)-IF(87&lt;Model!$B$15,Model!$B$22,0))/(1-Model!$B$9)/(1+Model!$B$18)^87))</f>
        <v/>
      </c>
      <c r="CX114" s="7">
        <f>IF(A114="","",IF((A114+88)&gt;Model!$B$4,0,MAX(0,Model!$B$6-IF((A114+88)&gt;=Model!$B$11,Model!$B$20,0)-IF(88&lt;Model!$B$15,Model!$B$22,0))/(1-Model!$B$9)/(1+Model!$B$18)^88))</f>
        <v/>
      </c>
      <c r="CY114" s="7">
        <f>IF(A114="","",IF((A114+89)&gt;Model!$B$4,0,MAX(0,Model!$B$6-IF((A114+89)&gt;=Model!$B$11,Model!$B$20,0)-IF(89&lt;Model!$B$15,Model!$B$22,0))/(1-Model!$B$9)/(1+Model!$B$18)^89))</f>
        <v/>
      </c>
      <c r="CZ114" s="7">
        <f>IF(A114="","",IF((A114+90)&gt;Model!$B$4,0,MAX(0,Model!$B$6-IF((A114+90)&gt;=Model!$B$11,Model!$B$20,0)-IF(90&lt;Model!$B$15,Model!$B$22,0))/(1-Model!$B$9)/(1+Model!$B$18)^90))</f>
        <v/>
      </c>
      <c r="DA114" s="7">
        <f>IF(A114="","",IF((A114+91)&gt;Model!$B$4,0,MAX(0,Model!$B$6-IF((A114+91)&gt;=Model!$B$11,Model!$B$20,0)-IF(91&lt;Model!$B$15,Model!$B$22,0))/(1-Model!$B$9)/(1+Model!$B$18)^91))</f>
        <v/>
      </c>
      <c r="DB114" s="7">
        <f>IF(A114="","",IF((A114+92)&gt;Model!$B$4,0,MAX(0,Model!$B$6-IF((A114+92)&gt;=Model!$B$11,Model!$B$20,0)-IF(92&lt;Model!$B$15,Model!$B$22,0))/(1-Model!$B$9)/(1+Model!$B$18)^92))</f>
        <v/>
      </c>
      <c r="DC114" s="7">
        <f>IF(A114="","",IF((A114+93)&gt;Model!$B$4,0,MAX(0,Model!$B$6-IF((A114+93)&gt;=Model!$B$11,Model!$B$20,0)-IF(93&lt;Model!$B$15,Model!$B$22,0))/(1-Model!$B$9)/(1+Model!$B$18)^93))</f>
        <v/>
      </c>
      <c r="DD114" s="7">
        <f>IF(A114="","",IF((A114+94)&gt;Model!$B$4,0,MAX(0,Model!$B$6-IF((A114+94)&gt;=Model!$B$11,Model!$B$20,0)-IF(94&lt;Model!$B$15,Model!$B$22,0))/(1-Model!$B$9)/(1+Model!$B$18)^94))</f>
        <v/>
      </c>
      <c r="DE114" s="7">
        <f>IF(A114="","",IF((A114+95)&gt;Model!$B$4,0,MAX(0,Model!$B$6-IF((A114+95)&gt;=Model!$B$11,Model!$B$20,0)-IF(95&lt;Model!$B$15,Model!$B$22,0))/(1-Model!$B$9)/(1+Model!$B$18)^95))</f>
        <v/>
      </c>
      <c r="DF114" s="7">
        <f>IF(A114="","",IF((A114+96)&gt;Model!$B$4,0,MAX(0,Model!$B$6-IF((A114+96)&gt;=Model!$B$11,Model!$B$20,0)-IF(96&lt;Model!$B$15,Model!$B$22,0))/(1-Model!$B$9)/(1+Model!$B$18)^96))</f>
        <v/>
      </c>
      <c r="DG114" s="7">
        <f>IF(A114="","",IF((A114+97)&gt;Model!$B$4,0,MAX(0,Model!$B$6-IF((A114+97)&gt;=Model!$B$11,Model!$B$20,0)-IF(97&lt;Model!$B$15,Model!$B$22,0))/(1-Model!$B$9)/(1+Model!$B$18)^97))</f>
        <v/>
      </c>
      <c r="DH114" s="7">
        <f>IF(A114="","",IF((A114+98)&gt;Model!$B$4,0,MAX(0,Model!$B$6-IF((A114+98)&gt;=Model!$B$11,Model!$B$20,0)-IF(98&lt;Model!$B$15,Model!$B$22,0))/(1-Model!$B$9)/(1+Model!$B$18)^98))</f>
        <v/>
      </c>
      <c r="DI114" s="7">
        <f>IF(A114="","",IF((A114+99)&gt;Model!$B$4,0,MAX(0,Model!$B$6-IF((A114+99)&gt;=Model!$B$11,Model!$B$20,0)-IF(99&lt;Model!$B$15,Model!$B$22,0))/(1-Model!$B$9)/(1+Model!$B$18)^99))</f>
        <v/>
      </c>
      <c r="DJ114" s="7">
        <f>IF(A114="","",IF((A114+100)&gt;Model!$B$4,0,MAX(0,Model!$B$6-IF((A114+100)&gt;=Model!$B$11,Model!$B$20,0)-IF(100&lt;Model!$B$15,Model!$B$22,0))/(1-Model!$B$9)/(1+Model!$B$18)^100))</f>
        <v/>
      </c>
      <c r="DK114" s="7">
        <f>IF(A114="","",IF((A114+101)&gt;Model!$B$4,0,MAX(0,Model!$B$6-IF((A114+101)&gt;=Model!$B$11,Model!$B$20,0)-IF(101&lt;Model!$B$15,Model!$B$22,0))/(1-Model!$B$9)/(1+Model!$B$18)^101))</f>
        <v/>
      </c>
      <c r="DL114" s="7">
        <f>IF(A114="","",IF((A114+102)&gt;Model!$B$4,0,MAX(0,Model!$B$6-IF((A114+102)&gt;=Model!$B$11,Model!$B$20,0)-IF(102&lt;Model!$B$15,Model!$B$22,0))/(1-Model!$B$9)/(1+Model!$B$18)^102))</f>
        <v/>
      </c>
      <c r="DM114" s="7">
        <f>IF(A114="","",IF((A114+103)&gt;Model!$B$4,0,MAX(0,Model!$B$6-IF((A114+103)&gt;=Model!$B$11,Model!$B$20,0)-IF(103&lt;Model!$B$15,Model!$B$22,0))/(1-Model!$B$9)/(1+Model!$B$18)^103))</f>
        <v/>
      </c>
      <c r="DN114" s="7">
        <f>IF(A114="","",IF((A114+104)&gt;Model!$B$4,0,MAX(0,Model!$B$6-IF((A114+104)&gt;=Model!$B$11,Model!$B$20,0)-IF(104&lt;Model!$B$15,Model!$B$22,0))/(1-Model!$B$9)/(1+Model!$B$18)^104))</f>
        <v/>
      </c>
      <c r="DO114" s="7">
        <f>IF(A114="","",IF((A114+105)&gt;Model!$B$4,0,MAX(0,Model!$B$6-IF((A114+105)&gt;=Model!$B$11,Model!$B$20,0)-IF(105&lt;Model!$B$15,Model!$B$22,0))/(1-Model!$B$9)/(1+Model!$B$18)^105))</f>
        <v/>
      </c>
      <c r="DP114" s="7">
        <f>IF(A114="","",IF((A114+106)&gt;Model!$B$4,0,MAX(0,Model!$B$6-IF((A114+106)&gt;=Model!$B$11,Model!$B$20,0)-IF(106&lt;Model!$B$15,Model!$B$22,0))/(1-Model!$B$9)/(1+Model!$B$18)^106))</f>
        <v/>
      </c>
      <c r="DQ114" s="7">
        <f>IF(A114="","",IF((A114+107)&gt;Model!$B$4,0,MAX(0,Model!$B$6-IF((A114+107)&gt;=Model!$B$11,Model!$B$20,0)-IF(107&lt;Model!$B$15,Model!$B$22,0))/(1-Model!$B$9)/(1+Model!$B$18)^107))</f>
        <v/>
      </c>
      <c r="DR114" s="7">
        <f>IF(A114="","",IF((A114+108)&gt;Model!$B$4,0,MAX(0,Model!$B$6-IF((A114+108)&gt;=Model!$B$11,Model!$B$20,0)-IF(108&lt;Model!$B$15,Model!$B$22,0))/(1-Model!$B$9)/(1+Model!$B$18)^108))</f>
        <v/>
      </c>
      <c r="DS114" s="7">
        <f>IF(A114="","",IF((A114+109)&gt;Model!$B$4,0,MAX(0,Model!$B$6-IF((A114+109)&gt;=Model!$B$11,Model!$B$20,0)-IF(109&lt;Model!$B$15,Model!$B$22,0))/(1-Model!$B$9)/(1+Model!$B$18)^109))</f>
        <v/>
      </c>
      <c r="DT114" s="7">
        <f>IF(A114="","",IF((A114+110)&gt;Model!$B$4,0,MAX(0,Model!$B$6-IF((A114+110)&gt;=Model!$B$11,Model!$B$20,0)-IF(110&lt;Model!$B$15,Model!$B$22,0))/(1-Model!$B$9)/(1+Model!$B$18)^110))</f>
        <v/>
      </c>
      <c r="DU114" s="7">
        <f>IF(A114="","",IF((A114+111)&gt;Model!$B$4,0,MAX(0,Model!$B$6-IF((A114+111)&gt;=Model!$B$11,Model!$B$20,0)-IF(111&lt;Model!$B$15,Model!$B$22,0))/(1-Model!$B$9)/(1+Model!$B$18)^111))</f>
        <v/>
      </c>
      <c r="DV114" s="7">
        <f>IF(A114="","",IF((A114+112)&gt;Model!$B$4,0,MAX(0,Model!$B$6-IF((A114+112)&gt;=Model!$B$11,Model!$B$20,0)-IF(112&lt;Model!$B$15,Model!$B$22,0))/(1-Model!$B$9)/(1+Model!$B$18)^112))</f>
        <v/>
      </c>
      <c r="DW114" s="7">
        <f>IF(A114="","",IF((A114+113)&gt;Model!$B$4,0,MAX(0,Model!$B$6-IF((A114+113)&gt;=Model!$B$11,Model!$B$20,0)-IF(113&lt;Model!$B$15,Model!$B$22,0))/(1-Model!$B$9)/(1+Model!$B$18)^113))</f>
        <v/>
      </c>
      <c r="DX114" s="7">
        <f>IF(A114="","",IF((A114+114)&gt;Model!$B$4,0,MAX(0,Model!$B$6-IF((A114+114)&gt;=Model!$B$11,Model!$B$20,0)-IF(114&lt;Model!$B$15,Model!$B$22,0))/(1-Model!$B$9)/(1+Model!$B$18)^114))</f>
        <v/>
      </c>
      <c r="DY114" s="7">
        <f>IF(A114="","",IF((A114+115)&gt;Model!$B$4,0,MAX(0,Model!$B$6-IF((A114+115)&gt;=Model!$B$11,Model!$B$20,0)-IF(115&lt;Model!$B$15,Model!$B$22,0))/(1-Model!$B$9)/(1+Model!$B$18)^115))</f>
        <v/>
      </c>
      <c r="DZ114" s="7">
        <f>IF(A114="","",IF((A114+116)&gt;Model!$B$4,0,MAX(0,Model!$B$6-IF((A114+116)&gt;=Model!$B$11,Model!$B$20,0)-IF(116&lt;Model!$B$15,Model!$B$22,0))/(1-Model!$B$9)/(1+Model!$B$18)^116))</f>
        <v/>
      </c>
      <c r="EA114" s="7">
        <f>IF(A114="","",IF((A114+117)&gt;Model!$B$4,0,MAX(0,Model!$B$6-IF((A114+117)&gt;=Model!$B$11,Model!$B$20,0)-IF(117&lt;Model!$B$15,Model!$B$22,0))/(1-Model!$B$9)/(1+Model!$B$18)^117))</f>
        <v/>
      </c>
      <c r="EB114" s="7">
        <f>IF(A114="","",IF((A114+118)&gt;Model!$B$4,0,MAX(0,Model!$B$6-IF((A114+118)&gt;=Model!$B$11,Model!$B$20,0)-IF(118&lt;Model!$B$15,Model!$B$22,0))/(1-Model!$B$9)/(1+Model!$B$18)^118))</f>
        <v/>
      </c>
      <c r="EC114" s="7">
        <f>IF(A114="","",IF((A114+119)&gt;Model!$B$4,0,MAX(0,Model!$B$6-IF((A114+119)&gt;=Model!$B$11,Model!$B$20,0)-IF(119&lt;Model!$B$15,Model!$B$22,0))/(1-Model!$B$9)/(1+Model!$B$18)^119))</f>
        <v/>
      </c>
      <c r="ED114" s="7">
        <f>IF(A114="","",IF((A114+120)&gt;Model!$B$4,0,MAX(0,Model!$B$6-IF((A114+120)&gt;=Model!$B$11,Model!$B$20,0)-IF(120&lt;Model!$B$15,Model!$B$22,0))/(1-Model!$B$9)/(1+Model!$B$18)^120))</f>
        <v/>
      </c>
    </row>
    <row r="115">
      <c r="A115">
        <f>IF(Model!$B$10+ROW()-2&lt;=Model!$B$4,Model!$B$10+ROW()-2,"")</f>
        <v/>
      </c>
      <c r="B115">
        <f>IF(A115="","",A115-Model!$B$10)</f>
        <v/>
      </c>
      <c r="C115" s="7">
        <f>IF(A115="","",Model!$B$5*(1+Model!$B$18)^B115)</f>
        <v/>
      </c>
      <c r="D115" s="7">
        <f>IF(A115="","",SUM(N115:ED115))</f>
        <v/>
      </c>
      <c r="E115" s="7">
        <f>IF(A115="","",IF(A115&gt;=Model!$B$11,Model!$B$20,0))</f>
        <v/>
      </c>
      <c r="F115" s="7">
        <f>IF(A115="","",IF(Model!$B$15&gt;0,Model!$B$22,0))</f>
        <v/>
      </c>
      <c r="G115" s="7">
        <f>IF(A115="","",E115+F115)</f>
        <v/>
      </c>
      <c r="H115" s="7">
        <f>IF(A115="","",MAX(0,Model!$B$6-G115))</f>
        <v/>
      </c>
      <c r="I115" s="7">
        <f>IF(A115="","",H115/(1-Model!$B$9))</f>
        <v/>
      </c>
      <c r="J115" s="7">
        <f>IF(A115="","",C115-D115)</f>
        <v/>
      </c>
      <c r="K115">
        <f>IF(A115="","",C115&gt;=D115)</f>
        <v/>
      </c>
      <c r="L115" s="7">
        <f>IF(A115="","",IF(A115&gt;=Model!$B$11,Model!$B$19*(1+Model!$B$13)^B115,0))</f>
        <v/>
      </c>
      <c r="M115" s="7">
        <f>IF(A115="","",IF(Model!$B$15&gt;0,Model!$B$21*(1+Model!$B$13)^B115,0))</f>
        <v/>
      </c>
      <c r="N115" s="7">
        <f>IF(A115="","",IF((A115+0)&gt;Model!$B$4,0,MAX(0,Model!$B$6-IF((A115+0)&gt;=Model!$B$11,Model!$B$20,0)-IF(0&lt;Model!$B$15,Model!$B$22,0))/(1-Model!$B$9)/(1+Model!$B$18)^0))</f>
        <v/>
      </c>
      <c r="O115" s="7">
        <f>IF(A115="","",IF((A115+1)&gt;Model!$B$4,0,MAX(0,Model!$B$6-IF((A115+1)&gt;=Model!$B$11,Model!$B$20,0)-IF(1&lt;Model!$B$15,Model!$B$22,0))/(1-Model!$B$9)/(1+Model!$B$18)^1))</f>
        <v/>
      </c>
      <c r="P115" s="7">
        <f>IF(A115="","",IF((A115+2)&gt;Model!$B$4,0,MAX(0,Model!$B$6-IF((A115+2)&gt;=Model!$B$11,Model!$B$20,0)-IF(2&lt;Model!$B$15,Model!$B$22,0))/(1-Model!$B$9)/(1+Model!$B$18)^2))</f>
        <v/>
      </c>
      <c r="Q115" s="7">
        <f>IF(A115="","",IF((A115+3)&gt;Model!$B$4,0,MAX(0,Model!$B$6-IF((A115+3)&gt;=Model!$B$11,Model!$B$20,0)-IF(3&lt;Model!$B$15,Model!$B$22,0))/(1-Model!$B$9)/(1+Model!$B$18)^3))</f>
        <v/>
      </c>
      <c r="R115" s="7">
        <f>IF(A115="","",IF((A115+4)&gt;Model!$B$4,0,MAX(0,Model!$B$6-IF((A115+4)&gt;=Model!$B$11,Model!$B$20,0)-IF(4&lt;Model!$B$15,Model!$B$22,0))/(1-Model!$B$9)/(1+Model!$B$18)^4))</f>
        <v/>
      </c>
      <c r="S115" s="7">
        <f>IF(A115="","",IF((A115+5)&gt;Model!$B$4,0,MAX(0,Model!$B$6-IF((A115+5)&gt;=Model!$B$11,Model!$B$20,0)-IF(5&lt;Model!$B$15,Model!$B$22,0))/(1-Model!$B$9)/(1+Model!$B$18)^5))</f>
        <v/>
      </c>
      <c r="T115" s="7">
        <f>IF(A115="","",IF((A115+6)&gt;Model!$B$4,0,MAX(0,Model!$B$6-IF((A115+6)&gt;=Model!$B$11,Model!$B$20,0)-IF(6&lt;Model!$B$15,Model!$B$22,0))/(1-Model!$B$9)/(1+Model!$B$18)^6))</f>
        <v/>
      </c>
      <c r="U115" s="7">
        <f>IF(A115="","",IF((A115+7)&gt;Model!$B$4,0,MAX(0,Model!$B$6-IF((A115+7)&gt;=Model!$B$11,Model!$B$20,0)-IF(7&lt;Model!$B$15,Model!$B$22,0))/(1-Model!$B$9)/(1+Model!$B$18)^7))</f>
        <v/>
      </c>
      <c r="V115" s="7">
        <f>IF(A115="","",IF((A115+8)&gt;Model!$B$4,0,MAX(0,Model!$B$6-IF((A115+8)&gt;=Model!$B$11,Model!$B$20,0)-IF(8&lt;Model!$B$15,Model!$B$22,0))/(1-Model!$B$9)/(1+Model!$B$18)^8))</f>
        <v/>
      </c>
      <c r="W115" s="7">
        <f>IF(A115="","",IF((A115+9)&gt;Model!$B$4,0,MAX(0,Model!$B$6-IF((A115+9)&gt;=Model!$B$11,Model!$B$20,0)-IF(9&lt;Model!$B$15,Model!$B$22,0))/(1-Model!$B$9)/(1+Model!$B$18)^9))</f>
        <v/>
      </c>
      <c r="X115" s="7">
        <f>IF(A115="","",IF((A115+10)&gt;Model!$B$4,0,MAX(0,Model!$B$6-IF((A115+10)&gt;=Model!$B$11,Model!$B$20,0)-IF(10&lt;Model!$B$15,Model!$B$22,0))/(1-Model!$B$9)/(1+Model!$B$18)^10))</f>
        <v/>
      </c>
      <c r="Y115" s="7">
        <f>IF(A115="","",IF((A115+11)&gt;Model!$B$4,0,MAX(0,Model!$B$6-IF((A115+11)&gt;=Model!$B$11,Model!$B$20,0)-IF(11&lt;Model!$B$15,Model!$B$22,0))/(1-Model!$B$9)/(1+Model!$B$18)^11))</f>
        <v/>
      </c>
      <c r="Z115" s="7">
        <f>IF(A115="","",IF((A115+12)&gt;Model!$B$4,0,MAX(0,Model!$B$6-IF((A115+12)&gt;=Model!$B$11,Model!$B$20,0)-IF(12&lt;Model!$B$15,Model!$B$22,0))/(1-Model!$B$9)/(1+Model!$B$18)^12))</f>
        <v/>
      </c>
      <c r="AA115" s="7">
        <f>IF(A115="","",IF((A115+13)&gt;Model!$B$4,0,MAX(0,Model!$B$6-IF((A115+13)&gt;=Model!$B$11,Model!$B$20,0)-IF(13&lt;Model!$B$15,Model!$B$22,0))/(1-Model!$B$9)/(1+Model!$B$18)^13))</f>
        <v/>
      </c>
      <c r="AB115" s="7">
        <f>IF(A115="","",IF((A115+14)&gt;Model!$B$4,0,MAX(0,Model!$B$6-IF((A115+14)&gt;=Model!$B$11,Model!$B$20,0)-IF(14&lt;Model!$B$15,Model!$B$22,0))/(1-Model!$B$9)/(1+Model!$B$18)^14))</f>
        <v/>
      </c>
      <c r="AC115" s="7">
        <f>IF(A115="","",IF((A115+15)&gt;Model!$B$4,0,MAX(0,Model!$B$6-IF((A115+15)&gt;=Model!$B$11,Model!$B$20,0)-IF(15&lt;Model!$B$15,Model!$B$22,0))/(1-Model!$B$9)/(1+Model!$B$18)^15))</f>
        <v/>
      </c>
      <c r="AD115" s="7">
        <f>IF(A115="","",IF((A115+16)&gt;Model!$B$4,0,MAX(0,Model!$B$6-IF((A115+16)&gt;=Model!$B$11,Model!$B$20,0)-IF(16&lt;Model!$B$15,Model!$B$22,0))/(1-Model!$B$9)/(1+Model!$B$18)^16))</f>
        <v/>
      </c>
      <c r="AE115" s="7">
        <f>IF(A115="","",IF((A115+17)&gt;Model!$B$4,0,MAX(0,Model!$B$6-IF((A115+17)&gt;=Model!$B$11,Model!$B$20,0)-IF(17&lt;Model!$B$15,Model!$B$22,0))/(1-Model!$B$9)/(1+Model!$B$18)^17))</f>
        <v/>
      </c>
      <c r="AF115" s="7">
        <f>IF(A115="","",IF((A115+18)&gt;Model!$B$4,0,MAX(0,Model!$B$6-IF((A115+18)&gt;=Model!$B$11,Model!$B$20,0)-IF(18&lt;Model!$B$15,Model!$B$22,0))/(1-Model!$B$9)/(1+Model!$B$18)^18))</f>
        <v/>
      </c>
      <c r="AG115" s="7">
        <f>IF(A115="","",IF((A115+19)&gt;Model!$B$4,0,MAX(0,Model!$B$6-IF((A115+19)&gt;=Model!$B$11,Model!$B$20,0)-IF(19&lt;Model!$B$15,Model!$B$22,0))/(1-Model!$B$9)/(1+Model!$B$18)^19))</f>
        <v/>
      </c>
      <c r="AH115" s="7">
        <f>IF(A115="","",IF((A115+20)&gt;Model!$B$4,0,MAX(0,Model!$B$6-IF((A115+20)&gt;=Model!$B$11,Model!$B$20,0)-IF(20&lt;Model!$B$15,Model!$B$22,0))/(1-Model!$B$9)/(1+Model!$B$18)^20))</f>
        <v/>
      </c>
      <c r="AI115" s="7">
        <f>IF(A115="","",IF((A115+21)&gt;Model!$B$4,0,MAX(0,Model!$B$6-IF((A115+21)&gt;=Model!$B$11,Model!$B$20,0)-IF(21&lt;Model!$B$15,Model!$B$22,0))/(1-Model!$B$9)/(1+Model!$B$18)^21))</f>
        <v/>
      </c>
      <c r="AJ115" s="7">
        <f>IF(A115="","",IF((A115+22)&gt;Model!$B$4,0,MAX(0,Model!$B$6-IF((A115+22)&gt;=Model!$B$11,Model!$B$20,0)-IF(22&lt;Model!$B$15,Model!$B$22,0))/(1-Model!$B$9)/(1+Model!$B$18)^22))</f>
        <v/>
      </c>
      <c r="AK115" s="7">
        <f>IF(A115="","",IF((A115+23)&gt;Model!$B$4,0,MAX(0,Model!$B$6-IF((A115+23)&gt;=Model!$B$11,Model!$B$20,0)-IF(23&lt;Model!$B$15,Model!$B$22,0))/(1-Model!$B$9)/(1+Model!$B$18)^23))</f>
        <v/>
      </c>
      <c r="AL115" s="7">
        <f>IF(A115="","",IF((A115+24)&gt;Model!$B$4,0,MAX(0,Model!$B$6-IF((A115+24)&gt;=Model!$B$11,Model!$B$20,0)-IF(24&lt;Model!$B$15,Model!$B$22,0))/(1-Model!$B$9)/(1+Model!$B$18)^24))</f>
        <v/>
      </c>
      <c r="AM115" s="7">
        <f>IF(A115="","",IF((A115+25)&gt;Model!$B$4,0,MAX(0,Model!$B$6-IF((A115+25)&gt;=Model!$B$11,Model!$B$20,0)-IF(25&lt;Model!$B$15,Model!$B$22,0))/(1-Model!$B$9)/(1+Model!$B$18)^25))</f>
        <v/>
      </c>
      <c r="AN115" s="7">
        <f>IF(A115="","",IF((A115+26)&gt;Model!$B$4,0,MAX(0,Model!$B$6-IF((A115+26)&gt;=Model!$B$11,Model!$B$20,0)-IF(26&lt;Model!$B$15,Model!$B$22,0))/(1-Model!$B$9)/(1+Model!$B$18)^26))</f>
        <v/>
      </c>
      <c r="AO115" s="7">
        <f>IF(A115="","",IF((A115+27)&gt;Model!$B$4,0,MAX(0,Model!$B$6-IF((A115+27)&gt;=Model!$B$11,Model!$B$20,0)-IF(27&lt;Model!$B$15,Model!$B$22,0))/(1-Model!$B$9)/(1+Model!$B$18)^27))</f>
        <v/>
      </c>
      <c r="AP115" s="7">
        <f>IF(A115="","",IF((A115+28)&gt;Model!$B$4,0,MAX(0,Model!$B$6-IF((A115+28)&gt;=Model!$B$11,Model!$B$20,0)-IF(28&lt;Model!$B$15,Model!$B$22,0))/(1-Model!$B$9)/(1+Model!$B$18)^28))</f>
        <v/>
      </c>
      <c r="AQ115" s="7">
        <f>IF(A115="","",IF((A115+29)&gt;Model!$B$4,0,MAX(0,Model!$B$6-IF((A115+29)&gt;=Model!$B$11,Model!$B$20,0)-IF(29&lt;Model!$B$15,Model!$B$22,0))/(1-Model!$B$9)/(1+Model!$B$18)^29))</f>
        <v/>
      </c>
      <c r="AR115" s="7">
        <f>IF(A115="","",IF((A115+30)&gt;Model!$B$4,0,MAX(0,Model!$B$6-IF((A115+30)&gt;=Model!$B$11,Model!$B$20,0)-IF(30&lt;Model!$B$15,Model!$B$22,0))/(1-Model!$B$9)/(1+Model!$B$18)^30))</f>
        <v/>
      </c>
      <c r="AS115" s="7">
        <f>IF(A115="","",IF((A115+31)&gt;Model!$B$4,0,MAX(0,Model!$B$6-IF((A115+31)&gt;=Model!$B$11,Model!$B$20,0)-IF(31&lt;Model!$B$15,Model!$B$22,0))/(1-Model!$B$9)/(1+Model!$B$18)^31))</f>
        <v/>
      </c>
      <c r="AT115" s="7">
        <f>IF(A115="","",IF((A115+32)&gt;Model!$B$4,0,MAX(0,Model!$B$6-IF((A115+32)&gt;=Model!$B$11,Model!$B$20,0)-IF(32&lt;Model!$B$15,Model!$B$22,0))/(1-Model!$B$9)/(1+Model!$B$18)^32))</f>
        <v/>
      </c>
      <c r="AU115" s="7">
        <f>IF(A115="","",IF((A115+33)&gt;Model!$B$4,0,MAX(0,Model!$B$6-IF((A115+33)&gt;=Model!$B$11,Model!$B$20,0)-IF(33&lt;Model!$B$15,Model!$B$22,0))/(1-Model!$B$9)/(1+Model!$B$18)^33))</f>
        <v/>
      </c>
      <c r="AV115" s="7">
        <f>IF(A115="","",IF((A115+34)&gt;Model!$B$4,0,MAX(0,Model!$B$6-IF((A115+34)&gt;=Model!$B$11,Model!$B$20,0)-IF(34&lt;Model!$B$15,Model!$B$22,0))/(1-Model!$B$9)/(1+Model!$B$18)^34))</f>
        <v/>
      </c>
      <c r="AW115" s="7">
        <f>IF(A115="","",IF((A115+35)&gt;Model!$B$4,0,MAX(0,Model!$B$6-IF((A115+35)&gt;=Model!$B$11,Model!$B$20,0)-IF(35&lt;Model!$B$15,Model!$B$22,0))/(1-Model!$B$9)/(1+Model!$B$18)^35))</f>
        <v/>
      </c>
      <c r="AX115" s="7">
        <f>IF(A115="","",IF((A115+36)&gt;Model!$B$4,0,MAX(0,Model!$B$6-IF((A115+36)&gt;=Model!$B$11,Model!$B$20,0)-IF(36&lt;Model!$B$15,Model!$B$22,0))/(1-Model!$B$9)/(1+Model!$B$18)^36))</f>
        <v/>
      </c>
      <c r="AY115" s="7">
        <f>IF(A115="","",IF((A115+37)&gt;Model!$B$4,0,MAX(0,Model!$B$6-IF((A115+37)&gt;=Model!$B$11,Model!$B$20,0)-IF(37&lt;Model!$B$15,Model!$B$22,0))/(1-Model!$B$9)/(1+Model!$B$18)^37))</f>
        <v/>
      </c>
      <c r="AZ115" s="7">
        <f>IF(A115="","",IF((A115+38)&gt;Model!$B$4,0,MAX(0,Model!$B$6-IF((A115+38)&gt;=Model!$B$11,Model!$B$20,0)-IF(38&lt;Model!$B$15,Model!$B$22,0))/(1-Model!$B$9)/(1+Model!$B$18)^38))</f>
        <v/>
      </c>
      <c r="BA115" s="7">
        <f>IF(A115="","",IF((A115+39)&gt;Model!$B$4,0,MAX(0,Model!$B$6-IF((A115+39)&gt;=Model!$B$11,Model!$B$20,0)-IF(39&lt;Model!$B$15,Model!$B$22,0))/(1-Model!$B$9)/(1+Model!$B$18)^39))</f>
        <v/>
      </c>
      <c r="BB115" s="7">
        <f>IF(A115="","",IF((A115+40)&gt;Model!$B$4,0,MAX(0,Model!$B$6-IF((A115+40)&gt;=Model!$B$11,Model!$B$20,0)-IF(40&lt;Model!$B$15,Model!$B$22,0))/(1-Model!$B$9)/(1+Model!$B$18)^40))</f>
        <v/>
      </c>
      <c r="BC115" s="7">
        <f>IF(A115="","",IF((A115+41)&gt;Model!$B$4,0,MAX(0,Model!$B$6-IF((A115+41)&gt;=Model!$B$11,Model!$B$20,0)-IF(41&lt;Model!$B$15,Model!$B$22,0))/(1-Model!$B$9)/(1+Model!$B$18)^41))</f>
        <v/>
      </c>
      <c r="BD115" s="7">
        <f>IF(A115="","",IF((A115+42)&gt;Model!$B$4,0,MAX(0,Model!$B$6-IF((A115+42)&gt;=Model!$B$11,Model!$B$20,0)-IF(42&lt;Model!$B$15,Model!$B$22,0))/(1-Model!$B$9)/(1+Model!$B$18)^42))</f>
        <v/>
      </c>
      <c r="BE115" s="7">
        <f>IF(A115="","",IF((A115+43)&gt;Model!$B$4,0,MAX(0,Model!$B$6-IF((A115+43)&gt;=Model!$B$11,Model!$B$20,0)-IF(43&lt;Model!$B$15,Model!$B$22,0))/(1-Model!$B$9)/(1+Model!$B$18)^43))</f>
        <v/>
      </c>
      <c r="BF115" s="7">
        <f>IF(A115="","",IF((A115+44)&gt;Model!$B$4,0,MAX(0,Model!$B$6-IF((A115+44)&gt;=Model!$B$11,Model!$B$20,0)-IF(44&lt;Model!$B$15,Model!$B$22,0))/(1-Model!$B$9)/(1+Model!$B$18)^44))</f>
        <v/>
      </c>
      <c r="BG115" s="7">
        <f>IF(A115="","",IF((A115+45)&gt;Model!$B$4,0,MAX(0,Model!$B$6-IF((A115+45)&gt;=Model!$B$11,Model!$B$20,0)-IF(45&lt;Model!$B$15,Model!$B$22,0))/(1-Model!$B$9)/(1+Model!$B$18)^45))</f>
        <v/>
      </c>
      <c r="BH115" s="7">
        <f>IF(A115="","",IF((A115+46)&gt;Model!$B$4,0,MAX(0,Model!$B$6-IF((A115+46)&gt;=Model!$B$11,Model!$B$20,0)-IF(46&lt;Model!$B$15,Model!$B$22,0))/(1-Model!$B$9)/(1+Model!$B$18)^46))</f>
        <v/>
      </c>
      <c r="BI115" s="7">
        <f>IF(A115="","",IF((A115+47)&gt;Model!$B$4,0,MAX(0,Model!$B$6-IF((A115+47)&gt;=Model!$B$11,Model!$B$20,0)-IF(47&lt;Model!$B$15,Model!$B$22,0))/(1-Model!$B$9)/(1+Model!$B$18)^47))</f>
        <v/>
      </c>
      <c r="BJ115" s="7">
        <f>IF(A115="","",IF((A115+48)&gt;Model!$B$4,0,MAX(0,Model!$B$6-IF((A115+48)&gt;=Model!$B$11,Model!$B$20,0)-IF(48&lt;Model!$B$15,Model!$B$22,0))/(1-Model!$B$9)/(1+Model!$B$18)^48))</f>
        <v/>
      </c>
      <c r="BK115" s="7">
        <f>IF(A115="","",IF((A115+49)&gt;Model!$B$4,0,MAX(0,Model!$B$6-IF((A115+49)&gt;=Model!$B$11,Model!$B$20,0)-IF(49&lt;Model!$B$15,Model!$B$22,0))/(1-Model!$B$9)/(1+Model!$B$18)^49))</f>
        <v/>
      </c>
      <c r="BL115" s="7">
        <f>IF(A115="","",IF((A115+50)&gt;Model!$B$4,0,MAX(0,Model!$B$6-IF((A115+50)&gt;=Model!$B$11,Model!$B$20,0)-IF(50&lt;Model!$B$15,Model!$B$22,0))/(1-Model!$B$9)/(1+Model!$B$18)^50))</f>
        <v/>
      </c>
      <c r="BM115" s="7">
        <f>IF(A115="","",IF((A115+51)&gt;Model!$B$4,0,MAX(0,Model!$B$6-IF((A115+51)&gt;=Model!$B$11,Model!$B$20,0)-IF(51&lt;Model!$B$15,Model!$B$22,0))/(1-Model!$B$9)/(1+Model!$B$18)^51))</f>
        <v/>
      </c>
      <c r="BN115" s="7">
        <f>IF(A115="","",IF((A115+52)&gt;Model!$B$4,0,MAX(0,Model!$B$6-IF((A115+52)&gt;=Model!$B$11,Model!$B$20,0)-IF(52&lt;Model!$B$15,Model!$B$22,0))/(1-Model!$B$9)/(1+Model!$B$18)^52))</f>
        <v/>
      </c>
      <c r="BO115" s="7">
        <f>IF(A115="","",IF((A115+53)&gt;Model!$B$4,0,MAX(0,Model!$B$6-IF((A115+53)&gt;=Model!$B$11,Model!$B$20,0)-IF(53&lt;Model!$B$15,Model!$B$22,0))/(1-Model!$B$9)/(1+Model!$B$18)^53))</f>
        <v/>
      </c>
      <c r="BP115" s="7">
        <f>IF(A115="","",IF((A115+54)&gt;Model!$B$4,0,MAX(0,Model!$B$6-IF((A115+54)&gt;=Model!$B$11,Model!$B$20,0)-IF(54&lt;Model!$B$15,Model!$B$22,0))/(1-Model!$B$9)/(1+Model!$B$18)^54))</f>
        <v/>
      </c>
      <c r="BQ115" s="7">
        <f>IF(A115="","",IF((A115+55)&gt;Model!$B$4,0,MAX(0,Model!$B$6-IF((A115+55)&gt;=Model!$B$11,Model!$B$20,0)-IF(55&lt;Model!$B$15,Model!$B$22,0))/(1-Model!$B$9)/(1+Model!$B$18)^55))</f>
        <v/>
      </c>
      <c r="BR115" s="7">
        <f>IF(A115="","",IF((A115+56)&gt;Model!$B$4,0,MAX(0,Model!$B$6-IF((A115+56)&gt;=Model!$B$11,Model!$B$20,0)-IF(56&lt;Model!$B$15,Model!$B$22,0))/(1-Model!$B$9)/(1+Model!$B$18)^56))</f>
        <v/>
      </c>
      <c r="BS115" s="7">
        <f>IF(A115="","",IF((A115+57)&gt;Model!$B$4,0,MAX(0,Model!$B$6-IF((A115+57)&gt;=Model!$B$11,Model!$B$20,0)-IF(57&lt;Model!$B$15,Model!$B$22,0))/(1-Model!$B$9)/(1+Model!$B$18)^57))</f>
        <v/>
      </c>
      <c r="BT115" s="7">
        <f>IF(A115="","",IF((A115+58)&gt;Model!$B$4,0,MAX(0,Model!$B$6-IF((A115+58)&gt;=Model!$B$11,Model!$B$20,0)-IF(58&lt;Model!$B$15,Model!$B$22,0))/(1-Model!$B$9)/(1+Model!$B$18)^58))</f>
        <v/>
      </c>
      <c r="BU115" s="7">
        <f>IF(A115="","",IF((A115+59)&gt;Model!$B$4,0,MAX(0,Model!$B$6-IF((A115+59)&gt;=Model!$B$11,Model!$B$20,0)-IF(59&lt;Model!$B$15,Model!$B$22,0))/(1-Model!$B$9)/(1+Model!$B$18)^59))</f>
        <v/>
      </c>
      <c r="BV115" s="7">
        <f>IF(A115="","",IF((A115+60)&gt;Model!$B$4,0,MAX(0,Model!$B$6-IF((A115+60)&gt;=Model!$B$11,Model!$B$20,0)-IF(60&lt;Model!$B$15,Model!$B$22,0))/(1-Model!$B$9)/(1+Model!$B$18)^60))</f>
        <v/>
      </c>
      <c r="BW115" s="7">
        <f>IF(A115="","",IF((A115+61)&gt;Model!$B$4,0,MAX(0,Model!$B$6-IF((A115+61)&gt;=Model!$B$11,Model!$B$20,0)-IF(61&lt;Model!$B$15,Model!$B$22,0))/(1-Model!$B$9)/(1+Model!$B$18)^61))</f>
        <v/>
      </c>
      <c r="BX115" s="7">
        <f>IF(A115="","",IF((A115+62)&gt;Model!$B$4,0,MAX(0,Model!$B$6-IF((A115+62)&gt;=Model!$B$11,Model!$B$20,0)-IF(62&lt;Model!$B$15,Model!$B$22,0))/(1-Model!$B$9)/(1+Model!$B$18)^62))</f>
        <v/>
      </c>
      <c r="BY115" s="7">
        <f>IF(A115="","",IF((A115+63)&gt;Model!$B$4,0,MAX(0,Model!$B$6-IF((A115+63)&gt;=Model!$B$11,Model!$B$20,0)-IF(63&lt;Model!$B$15,Model!$B$22,0))/(1-Model!$B$9)/(1+Model!$B$18)^63))</f>
        <v/>
      </c>
      <c r="BZ115" s="7">
        <f>IF(A115="","",IF((A115+64)&gt;Model!$B$4,0,MAX(0,Model!$B$6-IF((A115+64)&gt;=Model!$B$11,Model!$B$20,0)-IF(64&lt;Model!$B$15,Model!$B$22,0))/(1-Model!$B$9)/(1+Model!$B$18)^64))</f>
        <v/>
      </c>
      <c r="CA115" s="7">
        <f>IF(A115="","",IF((A115+65)&gt;Model!$B$4,0,MAX(0,Model!$B$6-IF((A115+65)&gt;=Model!$B$11,Model!$B$20,0)-IF(65&lt;Model!$B$15,Model!$B$22,0))/(1-Model!$B$9)/(1+Model!$B$18)^65))</f>
        <v/>
      </c>
      <c r="CB115" s="7">
        <f>IF(A115="","",IF((A115+66)&gt;Model!$B$4,0,MAX(0,Model!$B$6-IF((A115+66)&gt;=Model!$B$11,Model!$B$20,0)-IF(66&lt;Model!$B$15,Model!$B$22,0))/(1-Model!$B$9)/(1+Model!$B$18)^66))</f>
        <v/>
      </c>
      <c r="CC115" s="7">
        <f>IF(A115="","",IF((A115+67)&gt;Model!$B$4,0,MAX(0,Model!$B$6-IF((A115+67)&gt;=Model!$B$11,Model!$B$20,0)-IF(67&lt;Model!$B$15,Model!$B$22,0))/(1-Model!$B$9)/(1+Model!$B$18)^67))</f>
        <v/>
      </c>
      <c r="CD115" s="7">
        <f>IF(A115="","",IF((A115+68)&gt;Model!$B$4,0,MAX(0,Model!$B$6-IF((A115+68)&gt;=Model!$B$11,Model!$B$20,0)-IF(68&lt;Model!$B$15,Model!$B$22,0))/(1-Model!$B$9)/(1+Model!$B$18)^68))</f>
        <v/>
      </c>
      <c r="CE115" s="7">
        <f>IF(A115="","",IF((A115+69)&gt;Model!$B$4,0,MAX(0,Model!$B$6-IF((A115+69)&gt;=Model!$B$11,Model!$B$20,0)-IF(69&lt;Model!$B$15,Model!$B$22,0))/(1-Model!$B$9)/(1+Model!$B$18)^69))</f>
        <v/>
      </c>
      <c r="CF115" s="7">
        <f>IF(A115="","",IF((A115+70)&gt;Model!$B$4,0,MAX(0,Model!$B$6-IF((A115+70)&gt;=Model!$B$11,Model!$B$20,0)-IF(70&lt;Model!$B$15,Model!$B$22,0))/(1-Model!$B$9)/(1+Model!$B$18)^70))</f>
        <v/>
      </c>
      <c r="CG115" s="7">
        <f>IF(A115="","",IF((A115+71)&gt;Model!$B$4,0,MAX(0,Model!$B$6-IF((A115+71)&gt;=Model!$B$11,Model!$B$20,0)-IF(71&lt;Model!$B$15,Model!$B$22,0))/(1-Model!$B$9)/(1+Model!$B$18)^71))</f>
        <v/>
      </c>
      <c r="CH115" s="7">
        <f>IF(A115="","",IF((A115+72)&gt;Model!$B$4,0,MAX(0,Model!$B$6-IF((A115+72)&gt;=Model!$B$11,Model!$B$20,0)-IF(72&lt;Model!$B$15,Model!$B$22,0))/(1-Model!$B$9)/(1+Model!$B$18)^72))</f>
        <v/>
      </c>
      <c r="CI115" s="7">
        <f>IF(A115="","",IF((A115+73)&gt;Model!$B$4,0,MAX(0,Model!$B$6-IF((A115+73)&gt;=Model!$B$11,Model!$B$20,0)-IF(73&lt;Model!$B$15,Model!$B$22,0))/(1-Model!$B$9)/(1+Model!$B$18)^73))</f>
        <v/>
      </c>
      <c r="CJ115" s="7">
        <f>IF(A115="","",IF((A115+74)&gt;Model!$B$4,0,MAX(0,Model!$B$6-IF((A115+74)&gt;=Model!$B$11,Model!$B$20,0)-IF(74&lt;Model!$B$15,Model!$B$22,0))/(1-Model!$B$9)/(1+Model!$B$18)^74))</f>
        <v/>
      </c>
      <c r="CK115" s="7">
        <f>IF(A115="","",IF((A115+75)&gt;Model!$B$4,0,MAX(0,Model!$B$6-IF((A115+75)&gt;=Model!$B$11,Model!$B$20,0)-IF(75&lt;Model!$B$15,Model!$B$22,0))/(1-Model!$B$9)/(1+Model!$B$18)^75))</f>
        <v/>
      </c>
      <c r="CL115" s="7">
        <f>IF(A115="","",IF((A115+76)&gt;Model!$B$4,0,MAX(0,Model!$B$6-IF((A115+76)&gt;=Model!$B$11,Model!$B$20,0)-IF(76&lt;Model!$B$15,Model!$B$22,0))/(1-Model!$B$9)/(1+Model!$B$18)^76))</f>
        <v/>
      </c>
      <c r="CM115" s="7">
        <f>IF(A115="","",IF((A115+77)&gt;Model!$B$4,0,MAX(0,Model!$B$6-IF((A115+77)&gt;=Model!$B$11,Model!$B$20,0)-IF(77&lt;Model!$B$15,Model!$B$22,0))/(1-Model!$B$9)/(1+Model!$B$18)^77))</f>
        <v/>
      </c>
      <c r="CN115" s="7">
        <f>IF(A115="","",IF((A115+78)&gt;Model!$B$4,0,MAX(0,Model!$B$6-IF((A115+78)&gt;=Model!$B$11,Model!$B$20,0)-IF(78&lt;Model!$B$15,Model!$B$22,0))/(1-Model!$B$9)/(1+Model!$B$18)^78))</f>
        <v/>
      </c>
      <c r="CO115" s="7">
        <f>IF(A115="","",IF((A115+79)&gt;Model!$B$4,0,MAX(0,Model!$B$6-IF((A115+79)&gt;=Model!$B$11,Model!$B$20,0)-IF(79&lt;Model!$B$15,Model!$B$22,0))/(1-Model!$B$9)/(1+Model!$B$18)^79))</f>
        <v/>
      </c>
      <c r="CP115" s="7">
        <f>IF(A115="","",IF((A115+80)&gt;Model!$B$4,0,MAX(0,Model!$B$6-IF((A115+80)&gt;=Model!$B$11,Model!$B$20,0)-IF(80&lt;Model!$B$15,Model!$B$22,0))/(1-Model!$B$9)/(1+Model!$B$18)^80))</f>
        <v/>
      </c>
      <c r="CQ115" s="7">
        <f>IF(A115="","",IF((A115+81)&gt;Model!$B$4,0,MAX(0,Model!$B$6-IF((A115+81)&gt;=Model!$B$11,Model!$B$20,0)-IF(81&lt;Model!$B$15,Model!$B$22,0))/(1-Model!$B$9)/(1+Model!$B$18)^81))</f>
        <v/>
      </c>
      <c r="CR115" s="7">
        <f>IF(A115="","",IF((A115+82)&gt;Model!$B$4,0,MAX(0,Model!$B$6-IF((A115+82)&gt;=Model!$B$11,Model!$B$20,0)-IF(82&lt;Model!$B$15,Model!$B$22,0))/(1-Model!$B$9)/(1+Model!$B$18)^82))</f>
        <v/>
      </c>
      <c r="CS115" s="7">
        <f>IF(A115="","",IF((A115+83)&gt;Model!$B$4,0,MAX(0,Model!$B$6-IF((A115+83)&gt;=Model!$B$11,Model!$B$20,0)-IF(83&lt;Model!$B$15,Model!$B$22,0))/(1-Model!$B$9)/(1+Model!$B$18)^83))</f>
        <v/>
      </c>
      <c r="CT115" s="7">
        <f>IF(A115="","",IF((A115+84)&gt;Model!$B$4,0,MAX(0,Model!$B$6-IF((A115+84)&gt;=Model!$B$11,Model!$B$20,0)-IF(84&lt;Model!$B$15,Model!$B$22,0))/(1-Model!$B$9)/(1+Model!$B$18)^84))</f>
        <v/>
      </c>
      <c r="CU115" s="7">
        <f>IF(A115="","",IF((A115+85)&gt;Model!$B$4,0,MAX(0,Model!$B$6-IF((A115+85)&gt;=Model!$B$11,Model!$B$20,0)-IF(85&lt;Model!$B$15,Model!$B$22,0))/(1-Model!$B$9)/(1+Model!$B$18)^85))</f>
        <v/>
      </c>
      <c r="CV115" s="7">
        <f>IF(A115="","",IF((A115+86)&gt;Model!$B$4,0,MAX(0,Model!$B$6-IF((A115+86)&gt;=Model!$B$11,Model!$B$20,0)-IF(86&lt;Model!$B$15,Model!$B$22,0))/(1-Model!$B$9)/(1+Model!$B$18)^86))</f>
        <v/>
      </c>
      <c r="CW115" s="7">
        <f>IF(A115="","",IF((A115+87)&gt;Model!$B$4,0,MAX(0,Model!$B$6-IF((A115+87)&gt;=Model!$B$11,Model!$B$20,0)-IF(87&lt;Model!$B$15,Model!$B$22,0))/(1-Model!$B$9)/(1+Model!$B$18)^87))</f>
        <v/>
      </c>
      <c r="CX115" s="7">
        <f>IF(A115="","",IF((A115+88)&gt;Model!$B$4,0,MAX(0,Model!$B$6-IF((A115+88)&gt;=Model!$B$11,Model!$B$20,0)-IF(88&lt;Model!$B$15,Model!$B$22,0))/(1-Model!$B$9)/(1+Model!$B$18)^88))</f>
        <v/>
      </c>
      <c r="CY115" s="7">
        <f>IF(A115="","",IF((A115+89)&gt;Model!$B$4,0,MAX(0,Model!$B$6-IF((A115+89)&gt;=Model!$B$11,Model!$B$20,0)-IF(89&lt;Model!$B$15,Model!$B$22,0))/(1-Model!$B$9)/(1+Model!$B$18)^89))</f>
        <v/>
      </c>
      <c r="CZ115" s="7">
        <f>IF(A115="","",IF((A115+90)&gt;Model!$B$4,0,MAX(0,Model!$B$6-IF((A115+90)&gt;=Model!$B$11,Model!$B$20,0)-IF(90&lt;Model!$B$15,Model!$B$22,0))/(1-Model!$B$9)/(1+Model!$B$18)^90))</f>
        <v/>
      </c>
      <c r="DA115" s="7">
        <f>IF(A115="","",IF((A115+91)&gt;Model!$B$4,0,MAX(0,Model!$B$6-IF((A115+91)&gt;=Model!$B$11,Model!$B$20,0)-IF(91&lt;Model!$B$15,Model!$B$22,0))/(1-Model!$B$9)/(1+Model!$B$18)^91))</f>
        <v/>
      </c>
      <c r="DB115" s="7">
        <f>IF(A115="","",IF((A115+92)&gt;Model!$B$4,0,MAX(0,Model!$B$6-IF((A115+92)&gt;=Model!$B$11,Model!$B$20,0)-IF(92&lt;Model!$B$15,Model!$B$22,0))/(1-Model!$B$9)/(1+Model!$B$18)^92))</f>
        <v/>
      </c>
      <c r="DC115" s="7">
        <f>IF(A115="","",IF((A115+93)&gt;Model!$B$4,0,MAX(0,Model!$B$6-IF((A115+93)&gt;=Model!$B$11,Model!$B$20,0)-IF(93&lt;Model!$B$15,Model!$B$22,0))/(1-Model!$B$9)/(1+Model!$B$18)^93))</f>
        <v/>
      </c>
      <c r="DD115" s="7">
        <f>IF(A115="","",IF((A115+94)&gt;Model!$B$4,0,MAX(0,Model!$B$6-IF((A115+94)&gt;=Model!$B$11,Model!$B$20,0)-IF(94&lt;Model!$B$15,Model!$B$22,0))/(1-Model!$B$9)/(1+Model!$B$18)^94))</f>
        <v/>
      </c>
      <c r="DE115" s="7">
        <f>IF(A115="","",IF((A115+95)&gt;Model!$B$4,0,MAX(0,Model!$B$6-IF((A115+95)&gt;=Model!$B$11,Model!$B$20,0)-IF(95&lt;Model!$B$15,Model!$B$22,0))/(1-Model!$B$9)/(1+Model!$B$18)^95))</f>
        <v/>
      </c>
      <c r="DF115" s="7">
        <f>IF(A115="","",IF((A115+96)&gt;Model!$B$4,0,MAX(0,Model!$B$6-IF((A115+96)&gt;=Model!$B$11,Model!$B$20,0)-IF(96&lt;Model!$B$15,Model!$B$22,0))/(1-Model!$B$9)/(1+Model!$B$18)^96))</f>
        <v/>
      </c>
      <c r="DG115" s="7">
        <f>IF(A115="","",IF((A115+97)&gt;Model!$B$4,0,MAX(0,Model!$B$6-IF((A115+97)&gt;=Model!$B$11,Model!$B$20,0)-IF(97&lt;Model!$B$15,Model!$B$22,0))/(1-Model!$B$9)/(1+Model!$B$18)^97))</f>
        <v/>
      </c>
      <c r="DH115" s="7">
        <f>IF(A115="","",IF((A115+98)&gt;Model!$B$4,0,MAX(0,Model!$B$6-IF((A115+98)&gt;=Model!$B$11,Model!$B$20,0)-IF(98&lt;Model!$B$15,Model!$B$22,0))/(1-Model!$B$9)/(1+Model!$B$18)^98))</f>
        <v/>
      </c>
      <c r="DI115" s="7">
        <f>IF(A115="","",IF((A115+99)&gt;Model!$B$4,0,MAX(0,Model!$B$6-IF((A115+99)&gt;=Model!$B$11,Model!$B$20,0)-IF(99&lt;Model!$B$15,Model!$B$22,0))/(1-Model!$B$9)/(1+Model!$B$18)^99))</f>
        <v/>
      </c>
      <c r="DJ115" s="7">
        <f>IF(A115="","",IF((A115+100)&gt;Model!$B$4,0,MAX(0,Model!$B$6-IF((A115+100)&gt;=Model!$B$11,Model!$B$20,0)-IF(100&lt;Model!$B$15,Model!$B$22,0))/(1-Model!$B$9)/(1+Model!$B$18)^100))</f>
        <v/>
      </c>
      <c r="DK115" s="7">
        <f>IF(A115="","",IF((A115+101)&gt;Model!$B$4,0,MAX(0,Model!$B$6-IF((A115+101)&gt;=Model!$B$11,Model!$B$20,0)-IF(101&lt;Model!$B$15,Model!$B$22,0))/(1-Model!$B$9)/(1+Model!$B$18)^101))</f>
        <v/>
      </c>
      <c r="DL115" s="7">
        <f>IF(A115="","",IF((A115+102)&gt;Model!$B$4,0,MAX(0,Model!$B$6-IF((A115+102)&gt;=Model!$B$11,Model!$B$20,0)-IF(102&lt;Model!$B$15,Model!$B$22,0))/(1-Model!$B$9)/(1+Model!$B$18)^102))</f>
        <v/>
      </c>
      <c r="DM115" s="7">
        <f>IF(A115="","",IF((A115+103)&gt;Model!$B$4,0,MAX(0,Model!$B$6-IF((A115+103)&gt;=Model!$B$11,Model!$B$20,0)-IF(103&lt;Model!$B$15,Model!$B$22,0))/(1-Model!$B$9)/(1+Model!$B$18)^103))</f>
        <v/>
      </c>
      <c r="DN115" s="7">
        <f>IF(A115="","",IF((A115+104)&gt;Model!$B$4,0,MAX(0,Model!$B$6-IF((A115+104)&gt;=Model!$B$11,Model!$B$20,0)-IF(104&lt;Model!$B$15,Model!$B$22,0))/(1-Model!$B$9)/(1+Model!$B$18)^104))</f>
        <v/>
      </c>
      <c r="DO115" s="7">
        <f>IF(A115="","",IF((A115+105)&gt;Model!$B$4,0,MAX(0,Model!$B$6-IF((A115+105)&gt;=Model!$B$11,Model!$B$20,0)-IF(105&lt;Model!$B$15,Model!$B$22,0))/(1-Model!$B$9)/(1+Model!$B$18)^105))</f>
        <v/>
      </c>
      <c r="DP115" s="7">
        <f>IF(A115="","",IF((A115+106)&gt;Model!$B$4,0,MAX(0,Model!$B$6-IF((A115+106)&gt;=Model!$B$11,Model!$B$20,0)-IF(106&lt;Model!$B$15,Model!$B$22,0))/(1-Model!$B$9)/(1+Model!$B$18)^106))</f>
        <v/>
      </c>
      <c r="DQ115" s="7">
        <f>IF(A115="","",IF((A115+107)&gt;Model!$B$4,0,MAX(0,Model!$B$6-IF((A115+107)&gt;=Model!$B$11,Model!$B$20,0)-IF(107&lt;Model!$B$15,Model!$B$22,0))/(1-Model!$B$9)/(1+Model!$B$18)^107))</f>
        <v/>
      </c>
      <c r="DR115" s="7">
        <f>IF(A115="","",IF((A115+108)&gt;Model!$B$4,0,MAX(0,Model!$B$6-IF((A115+108)&gt;=Model!$B$11,Model!$B$20,0)-IF(108&lt;Model!$B$15,Model!$B$22,0))/(1-Model!$B$9)/(1+Model!$B$18)^108))</f>
        <v/>
      </c>
      <c r="DS115" s="7">
        <f>IF(A115="","",IF((A115+109)&gt;Model!$B$4,0,MAX(0,Model!$B$6-IF((A115+109)&gt;=Model!$B$11,Model!$B$20,0)-IF(109&lt;Model!$B$15,Model!$B$22,0))/(1-Model!$B$9)/(1+Model!$B$18)^109))</f>
        <v/>
      </c>
      <c r="DT115" s="7">
        <f>IF(A115="","",IF((A115+110)&gt;Model!$B$4,0,MAX(0,Model!$B$6-IF((A115+110)&gt;=Model!$B$11,Model!$B$20,0)-IF(110&lt;Model!$B$15,Model!$B$22,0))/(1-Model!$B$9)/(1+Model!$B$18)^110))</f>
        <v/>
      </c>
      <c r="DU115" s="7">
        <f>IF(A115="","",IF((A115+111)&gt;Model!$B$4,0,MAX(0,Model!$B$6-IF((A115+111)&gt;=Model!$B$11,Model!$B$20,0)-IF(111&lt;Model!$B$15,Model!$B$22,0))/(1-Model!$B$9)/(1+Model!$B$18)^111))</f>
        <v/>
      </c>
      <c r="DV115" s="7">
        <f>IF(A115="","",IF((A115+112)&gt;Model!$B$4,0,MAX(0,Model!$B$6-IF((A115+112)&gt;=Model!$B$11,Model!$B$20,0)-IF(112&lt;Model!$B$15,Model!$B$22,0))/(1-Model!$B$9)/(1+Model!$B$18)^112))</f>
        <v/>
      </c>
      <c r="DW115" s="7">
        <f>IF(A115="","",IF((A115+113)&gt;Model!$B$4,0,MAX(0,Model!$B$6-IF((A115+113)&gt;=Model!$B$11,Model!$B$20,0)-IF(113&lt;Model!$B$15,Model!$B$22,0))/(1-Model!$B$9)/(1+Model!$B$18)^113))</f>
        <v/>
      </c>
      <c r="DX115" s="7">
        <f>IF(A115="","",IF((A115+114)&gt;Model!$B$4,0,MAX(0,Model!$B$6-IF((A115+114)&gt;=Model!$B$11,Model!$B$20,0)-IF(114&lt;Model!$B$15,Model!$B$22,0))/(1-Model!$B$9)/(1+Model!$B$18)^114))</f>
        <v/>
      </c>
      <c r="DY115" s="7">
        <f>IF(A115="","",IF((A115+115)&gt;Model!$B$4,0,MAX(0,Model!$B$6-IF((A115+115)&gt;=Model!$B$11,Model!$B$20,0)-IF(115&lt;Model!$B$15,Model!$B$22,0))/(1-Model!$B$9)/(1+Model!$B$18)^115))</f>
        <v/>
      </c>
      <c r="DZ115" s="7">
        <f>IF(A115="","",IF((A115+116)&gt;Model!$B$4,0,MAX(0,Model!$B$6-IF((A115+116)&gt;=Model!$B$11,Model!$B$20,0)-IF(116&lt;Model!$B$15,Model!$B$22,0))/(1-Model!$B$9)/(1+Model!$B$18)^116))</f>
        <v/>
      </c>
      <c r="EA115" s="7">
        <f>IF(A115="","",IF((A115+117)&gt;Model!$B$4,0,MAX(0,Model!$B$6-IF((A115+117)&gt;=Model!$B$11,Model!$B$20,0)-IF(117&lt;Model!$B$15,Model!$B$22,0))/(1-Model!$B$9)/(1+Model!$B$18)^117))</f>
        <v/>
      </c>
      <c r="EB115" s="7">
        <f>IF(A115="","",IF((A115+118)&gt;Model!$B$4,0,MAX(0,Model!$B$6-IF((A115+118)&gt;=Model!$B$11,Model!$B$20,0)-IF(118&lt;Model!$B$15,Model!$B$22,0))/(1-Model!$B$9)/(1+Model!$B$18)^118))</f>
        <v/>
      </c>
      <c r="EC115" s="7">
        <f>IF(A115="","",IF((A115+119)&gt;Model!$B$4,0,MAX(0,Model!$B$6-IF((A115+119)&gt;=Model!$B$11,Model!$B$20,0)-IF(119&lt;Model!$B$15,Model!$B$22,0))/(1-Model!$B$9)/(1+Model!$B$18)^119))</f>
        <v/>
      </c>
      <c r="ED115" s="7">
        <f>IF(A115="","",IF((A115+120)&gt;Model!$B$4,0,MAX(0,Model!$B$6-IF((A115+120)&gt;=Model!$B$11,Model!$B$20,0)-IF(120&lt;Model!$B$15,Model!$B$22,0))/(1-Model!$B$9)/(1+Model!$B$18)^120))</f>
        <v/>
      </c>
    </row>
    <row r="116">
      <c r="A116">
        <f>IF(Model!$B$10+ROW()-2&lt;=Model!$B$4,Model!$B$10+ROW()-2,"")</f>
        <v/>
      </c>
      <c r="B116">
        <f>IF(A116="","",A116-Model!$B$10)</f>
        <v/>
      </c>
      <c r="C116" s="7">
        <f>IF(A116="","",Model!$B$5*(1+Model!$B$18)^B116)</f>
        <v/>
      </c>
      <c r="D116" s="7">
        <f>IF(A116="","",SUM(N116:ED116))</f>
        <v/>
      </c>
      <c r="E116" s="7">
        <f>IF(A116="","",IF(A116&gt;=Model!$B$11,Model!$B$20,0))</f>
        <v/>
      </c>
      <c r="F116" s="7">
        <f>IF(A116="","",IF(Model!$B$15&gt;0,Model!$B$22,0))</f>
        <v/>
      </c>
      <c r="G116" s="7">
        <f>IF(A116="","",E116+F116)</f>
        <v/>
      </c>
      <c r="H116" s="7">
        <f>IF(A116="","",MAX(0,Model!$B$6-G116))</f>
        <v/>
      </c>
      <c r="I116" s="7">
        <f>IF(A116="","",H116/(1-Model!$B$9))</f>
        <v/>
      </c>
      <c r="J116" s="7">
        <f>IF(A116="","",C116-D116)</f>
        <v/>
      </c>
      <c r="K116">
        <f>IF(A116="","",C116&gt;=D116)</f>
        <v/>
      </c>
      <c r="L116" s="7">
        <f>IF(A116="","",IF(A116&gt;=Model!$B$11,Model!$B$19*(1+Model!$B$13)^B116,0))</f>
        <v/>
      </c>
      <c r="M116" s="7">
        <f>IF(A116="","",IF(Model!$B$15&gt;0,Model!$B$21*(1+Model!$B$13)^B116,0))</f>
        <v/>
      </c>
      <c r="N116" s="7">
        <f>IF(A116="","",IF((A116+0)&gt;Model!$B$4,0,MAX(0,Model!$B$6-IF((A116+0)&gt;=Model!$B$11,Model!$B$20,0)-IF(0&lt;Model!$B$15,Model!$B$22,0))/(1-Model!$B$9)/(1+Model!$B$18)^0))</f>
        <v/>
      </c>
      <c r="O116" s="7">
        <f>IF(A116="","",IF((A116+1)&gt;Model!$B$4,0,MAX(0,Model!$B$6-IF((A116+1)&gt;=Model!$B$11,Model!$B$20,0)-IF(1&lt;Model!$B$15,Model!$B$22,0))/(1-Model!$B$9)/(1+Model!$B$18)^1))</f>
        <v/>
      </c>
      <c r="P116" s="7">
        <f>IF(A116="","",IF((A116+2)&gt;Model!$B$4,0,MAX(0,Model!$B$6-IF((A116+2)&gt;=Model!$B$11,Model!$B$20,0)-IF(2&lt;Model!$B$15,Model!$B$22,0))/(1-Model!$B$9)/(1+Model!$B$18)^2))</f>
        <v/>
      </c>
      <c r="Q116" s="7">
        <f>IF(A116="","",IF((A116+3)&gt;Model!$B$4,0,MAX(0,Model!$B$6-IF((A116+3)&gt;=Model!$B$11,Model!$B$20,0)-IF(3&lt;Model!$B$15,Model!$B$22,0))/(1-Model!$B$9)/(1+Model!$B$18)^3))</f>
        <v/>
      </c>
      <c r="R116" s="7">
        <f>IF(A116="","",IF((A116+4)&gt;Model!$B$4,0,MAX(0,Model!$B$6-IF((A116+4)&gt;=Model!$B$11,Model!$B$20,0)-IF(4&lt;Model!$B$15,Model!$B$22,0))/(1-Model!$B$9)/(1+Model!$B$18)^4))</f>
        <v/>
      </c>
      <c r="S116" s="7">
        <f>IF(A116="","",IF((A116+5)&gt;Model!$B$4,0,MAX(0,Model!$B$6-IF((A116+5)&gt;=Model!$B$11,Model!$B$20,0)-IF(5&lt;Model!$B$15,Model!$B$22,0))/(1-Model!$B$9)/(1+Model!$B$18)^5))</f>
        <v/>
      </c>
      <c r="T116" s="7">
        <f>IF(A116="","",IF((A116+6)&gt;Model!$B$4,0,MAX(0,Model!$B$6-IF((A116+6)&gt;=Model!$B$11,Model!$B$20,0)-IF(6&lt;Model!$B$15,Model!$B$22,0))/(1-Model!$B$9)/(1+Model!$B$18)^6))</f>
        <v/>
      </c>
      <c r="U116" s="7">
        <f>IF(A116="","",IF((A116+7)&gt;Model!$B$4,0,MAX(0,Model!$B$6-IF((A116+7)&gt;=Model!$B$11,Model!$B$20,0)-IF(7&lt;Model!$B$15,Model!$B$22,0))/(1-Model!$B$9)/(1+Model!$B$18)^7))</f>
        <v/>
      </c>
      <c r="V116" s="7">
        <f>IF(A116="","",IF((A116+8)&gt;Model!$B$4,0,MAX(0,Model!$B$6-IF((A116+8)&gt;=Model!$B$11,Model!$B$20,0)-IF(8&lt;Model!$B$15,Model!$B$22,0))/(1-Model!$B$9)/(1+Model!$B$18)^8))</f>
        <v/>
      </c>
      <c r="W116" s="7">
        <f>IF(A116="","",IF((A116+9)&gt;Model!$B$4,0,MAX(0,Model!$B$6-IF((A116+9)&gt;=Model!$B$11,Model!$B$20,0)-IF(9&lt;Model!$B$15,Model!$B$22,0))/(1-Model!$B$9)/(1+Model!$B$18)^9))</f>
        <v/>
      </c>
      <c r="X116" s="7">
        <f>IF(A116="","",IF((A116+10)&gt;Model!$B$4,0,MAX(0,Model!$B$6-IF((A116+10)&gt;=Model!$B$11,Model!$B$20,0)-IF(10&lt;Model!$B$15,Model!$B$22,0))/(1-Model!$B$9)/(1+Model!$B$18)^10))</f>
        <v/>
      </c>
      <c r="Y116" s="7">
        <f>IF(A116="","",IF((A116+11)&gt;Model!$B$4,0,MAX(0,Model!$B$6-IF((A116+11)&gt;=Model!$B$11,Model!$B$20,0)-IF(11&lt;Model!$B$15,Model!$B$22,0))/(1-Model!$B$9)/(1+Model!$B$18)^11))</f>
        <v/>
      </c>
      <c r="Z116" s="7">
        <f>IF(A116="","",IF((A116+12)&gt;Model!$B$4,0,MAX(0,Model!$B$6-IF((A116+12)&gt;=Model!$B$11,Model!$B$20,0)-IF(12&lt;Model!$B$15,Model!$B$22,0))/(1-Model!$B$9)/(1+Model!$B$18)^12))</f>
        <v/>
      </c>
      <c r="AA116" s="7">
        <f>IF(A116="","",IF((A116+13)&gt;Model!$B$4,0,MAX(0,Model!$B$6-IF((A116+13)&gt;=Model!$B$11,Model!$B$20,0)-IF(13&lt;Model!$B$15,Model!$B$22,0))/(1-Model!$B$9)/(1+Model!$B$18)^13))</f>
        <v/>
      </c>
      <c r="AB116" s="7">
        <f>IF(A116="","",IF((A116+14)&gt;Model!$B$4,0,MAX(0,Model!$B$6-IF((A116+14)&gt;=Model!$B$11,Model!$B$20,0)-IF(14&lt;Model!$B$15,Model!$B$22,0))/(1-Model!$B$9)/(1+Model!$B$18)^14))</f>
        <v/>
      </c>
      <c r="AC116" s="7">
        <f>IF(A116="","",IF((A116+15)&gt;Model!$B$4,0,MAX(0,Model!$B$6-IF((A116+15)&gt;=Model!$B$11,Model!$B$20,0)-IF(15&lt;Model!$B$15,Model!$B$22,0))/(1-Model!$B$9)/(1+Model!$B$18)^15))</f>
        <v/>
      </c>
      <c r="AD116" s="7">
        <f>IF(A116="","",IF((A116+16)&gt;Model!$B$4,0,MAX(0,Model!$B$6-IF((A116+16)&gt;=Model!$B$11,Model!$B$20,0)-IF(16&lt;Model!$B$15,Model!$B$22,0))/(1-Model!$B$9)/(1+Model!$B$18)^16))</f>
        <v/>
      </c>
      <c r="AE116" s="7">
        <f>IF(A116="","",IF((A116+17)&gt;Model!$B$4,0,MAX(0,Model!$B$6-IF((A116+17)&gt;=Model!$B$11,Model!$B$20,0)-IF(17&lt;Model!$B$15,Model!$B$22,0))/(1-Model!$B$9)/(1+Model!$B$18)^17))</f>
        <v/>
      </c>
      <c r="AF116" s="7">
        <f>IF(A116="","",IF((A116+18)&gt;Model!$B$4,0,MAX(0,Model!$B$6-IF((A116+18)&gt;=Model!$B$11,Model!$B$20,0)-IF(18&lt;Model!$B$15,Model!$B$22,0))/(1-Model!$B$9)/(1+Model!$B$18)^18))</f>
        <v/>
      </c>
      <c r="AG116" s="7">
        <f>IF(A116="","",IF((A116+19)&gt;Model!$B$4,0,MAX(0,Model!$B$6-IF((A116+19)&gt;=Model!$B$11,Model!$B$20,0)-IF(19&lt;Model!$B$15,Model!$B$22,0))/(1-Model!$B$9)/(1+Model!$B$18)^19))</f>
        <v/>
      </c>
      <c r="AH116" s="7">
        <f>IF(A116="","",IF((A116+20)&gt;Model!$B$4,0,MAX(0,Model!$B$6-IF((A116+20)&gt;=Model!$B$11,Model!$B$20,0)-IF(20&lt;Model!$B$15,Model!$B$22,0))/(1-Model!$B$9)/(1+Model!$B$18)^20))</f>
        <v/>
      </c>
      <c r="AI116" s="7">
        <f>IF(A116="","",IF((A116+21)&gt;Model!$B$4,0,MAX(0,Model!$B$6-IF((A116+21)&gt;=Model!$B$11,Model!$B$20,0)-IF(21&lt;Model!$B$15,Model!$B$22,0))/(1-Model!$B$9)/(1+Model!$B$18)^21))</f>
        <v/>
      </c>
      <c r="AJ116" s="7">
        <f>IF(A116="","",IF((A116+22)&gt;Model!$B$4,0,MAX(0,Model!$B$6-IF((A116+22)&gt;=Model!$B$11,Model!$B$20,0)-IF(22&lt;Model!$B$15,Model!$B$22,0))/(1-Model!$B$9)/(1+Model!$B$18)^22))</f>
        <v/>
      </c>
      <c r="AK116" s="7">
        <f>IF(A116="","",IF((A116+23)&gt;Model!$B$4,0,MAX(0,Model!$B$6-IF((A116+23)&gt;=Model!$B$11,Model!$B$20,0)-IF(23&lt;Model!$B$15,Model!$B$22,0))/(1-Model!$B$9)/(1+Model!$B$18)^23))</f>
        <v/>
      </c>
      <c r="AL116" s="7">
        <f>IF(A116="","",IF((A116+24)&gt;Model!$B$4,0,MAX(0,Model!$B$6-IF((A116+24)&gt;=Model!$B$11,Model!$B$20,0)-IF(24&lt;Model!$B$15,Model!$B$22,0))/(1-Model!$B$9)/(1+Model!$B$18)^24))</f>
        <v/>
      </c>
      <c r="AM116" s="7">
        <f>IF(A116="","",IF((A116+25)&gt;Model!$B$4,0,MAX(0,Model!$B$6-IF((A116+25)&gt;=Model!$B$11,Model!$B$20,0)-IF(25&lt;Model!$B$15,Model!$B$22,0))/(1-Model!$B$9)/(1+Model!$B$18)^25))</f>
        <v/>
      </c>
      <c r="AN116" s="7">
        <f>IF(A116="","",IF((A116+26)&gt;Model!$B$4,0,MAX(0,Model!$B$6-IF((A116+26)&gt;=Model!$B$11,Model!$B$20,0)-IF(26&lt;Model!$B$15,Model!$B$22,0))/(1-Model!$B$9)/(1+Model!$B$18)^26))</f>
        <v/>
      </c>
      <c r="AO116" s="7">
        <f>IF(A116="","",IF((A116+27)&gt;Model!$B$4,0,MAX(0,Model!$B$6-IF((A116+27)&gt;=Model!$B$11,Model!$B$20,0)-IF(27&lt;Model!$B$15,Model!$B$22,0))/(1-Model!$B$9)/(1+Model!$B$18)^27))</f>
        <v/>
      </c>
      <c r="AP116" s="7">
        <f>IF(A116="","",IF((A116+28)&gt;Model!$B$4,0,MAX(0,Model!$B$6-IF((A116+28)&gt;=Model!$B$11,Model!$B$20,0)-IF(28&lt;Model!$B$15,Model!$B$22,0))/(1-Model!$B$9)/(1+Model!$B$18)^28))</f>
        <v/>
      </c>
      <c r="AQ116" s="7">
        <f>IF(A116="","",IF((A116+29)&gt;Model!$B$4,0,MAX(0,Model!$B$6-IF((A116+29)&gt;=Model!$B$11,Model!$B$20,0)-IF(29&lt;Model!$B$15,Model!$B$22,0))/(1-Model!$B$9)/(1+Model!$B$18)^29))</f>
        <v/>
      </c>
      <c r="AR116" s="7">
        <f>IF(A116="","",IF((A116+30)&gt;Model!$B$4,0,MAX(0,Model!$B$6-IF((A116+30)&gt;=Model!$B$11,Model!$B$20,0)-IF(30&lt;Model!$B$15,Model!$B$22,0))/(1-Model!$B$9)/(1+Model!$B$18)^30))</f>
        <v/>
      </c>
      <c r="AS116" s="7">
        <f>IF(A116="","",IF((A116+31)&gt;Model!$B$4,0,MAX(0,Model!$B$6-IF((A116+31)&gt;=Model!$B$11,Model!$B$20,0)-IF(31&lt;Model!$B$15,Model!$B$22,0))/(1-Model!$B$9)/(1+Model!$B$18)^31))</f>
        <v/>
      </c>
      <c r="AT116" s="7">
        <f>IF(A116="","",IF((A116+32)&gt;Model!$B$4,0,MAX(0,Model!$B$6-IF((A116+32)&gt;=Model!$B$11,Model!$B$20,0)-IF(32&lt;Model!$B$15,Model!$B$22,0))/(1-Model!$B$9)/(1+Model!$B$18)^32))</f>
        <v/>
      </c>
      <c r="AU116" s="7">
        <f>IF(A116="","",IF((A116+33)&gt;Model!$B$4,0,MAX(0,Model!$B$6-IF((A116+33)&gt;=Model!$B$11,Model!$B$20,0)-IF(33&lt;Model!$B$15,Model!$B$22,0))/(1-Model!$B$9)/(1+Model!$B$18)^33))</f>
        <v/>
      </c>
      <c r="AV116" s="7">
        <f>IF(A116="","",IF((A116+34)&gt;Model!$B$4,0,MAX(0,Model!$B$6-IF((A116+34)&gt;=Model!$B$11,Model!$B$20,0)-IF(34&lt;Model!$B$15,Model!$B$22,0))/(1-Model!$B$9)/(1+Model!$B$18)^34))</f>
        <v/>
      </c>
      <c r="AW116" s="7">
        <f>IF(A116="","",IF((A116+35)&gt;Model!$B$4,0,MAX(0,Model!$B$6-IF((A116+35)&gt;=Model!$B$11,Model!$B$20,0)-IF(35&lt;Model!$B$15,Model!$B$22,0))/(1-Model!$B$9)/(1+Model!$B$18)^35))</f>
        <v/>
      </c>
      <c r="AX116" s="7">
        <f>IF(A116="","",IF((A116+36)&gt;Model!$B$4,0,MAX(0,Model!$B$6-IF((A116+36)&gt;=Model!$B$11,Model!$B$20,0)-IF(36&lt;Model!$B$15,Model!$B$22,0))/(1-Model!$B$9)/(1+Model!$B$18)^36))</f>
        <v/>
      </c>
      <c r="AY116" s="7">
        <f>IF(A116="","",IF((A116+37)&gt;Model!$B$4,0,MAX(0,Model!$B$6-IF((A116+37)&gt;=Model!$B$11,Model!$B$20,0)-IF(37&lt;Model!$B$15,Model!$B$22,0))/(1-Model!$B$9)/(1+Model!$B$18)^37))</f>
        <v/>
      </c>
      <c r="AZ116" s="7">
        <f>IF(A116="","",IF((A116+38)&gt;Model!$B$4,0,MAX(0,Model!$B$6-IF((A116+38)&gt;=Model!$B$11,Model!$B$20,0)-IF(38&lt;Model!$B$15,Model!$B$22,0))/(1-Model!$B$9)/(1+Model!$B$18)^38))</f>
        <v/>
      </c>
      <c r="BA116" s="7">
        <f>IF(A116="","",IF((A116+39)&gt;Model!$B$4,0,MAX(0,Model!$B$6-IF((A116+39)&gt;=Model!$B$11,Model!$B$20,0)-IF(39&lt;Model!$B$15,Model!$B$22,0))/(1-Model!$B$9)/(1+Model!$B$18)^39))</f>
        <v/>
      </c>
      <c r="BB116" s="7">
        <f>IF(A116="","",IF((A116+40)&gt;Model!$B$4,0,MAX(0,Model!$B$6-IF((A116+40)&gt;=Model!$B$11,Model!$B$20,0)-IF(40&lt;Model!$B$15,Model!$B$22,0))/(1-Model!$B$9)/(1+Model!$B$18)^40))</f>
        <v/>
      </c>
      <c r="BC116" s="7">
        <f>IF(A116="","",IF((A116+41)&gt;Model!$B$4,0,MAX(0,Model!$B$6-IF((A116+41)&gt;=Model!$B$11,Model!$B$20,0)-IF(41&lt;Model!$B$15,Model!$B$22,0))/(1-Model!$B$9)/(1+Model!$B$18)^41))</f>
        <v/>
      </c>
      <c r="BD116" s="7">
        <f>IF(A116="","",IF((A116+42)&gt;Model!$B$4,0,MAX(0,Model!$B$6-IF((A116+42)&gt;=Model!$B$11,Model!$B$20,0)-IF(42&lt;Model!$B$15,Model!$B$22,0))/(1-Model!$B$9)/(1+Model!$B$18)^42))</f>
        <v/>
      </c>
      <c r="BE116" s="7">
        <f>IF(A116="","",IF((A116+43)&gt;Model!$B$4,0,MAX(0,Model!$B$6-IF((A116+43)&gt;=Model!$B$11,Model!$B$20,0)-IF(43&lt;Model!$B$15,Model!$B$22,0))/(1-Model!$B$9)/(1+Model!$B$18)^43))</f>
        <v/>
      </c>
      <c r="BF116" s="7">
        <f>IF(A116="","",IF((A116+44)&gt;Model!$B$4,0,MAX(0,Model!$B$6-IF((A116+44)&gt;=Model!$B$11,Model!$B$20,0)-IF(44&lt;Model!$B$15,Model!$B$22,0))/(1-Model!$B$9)/(1+Model!$B$18)^44))</f>
        <v/>
      </c>
      <c r="BG116" s="7">
        <f>IF(A116="","",IF((A116+45)&gt;Model!$B$4,0,MAX(0,Model!$B$6-IF((A116+45)&gt;=Model!$B$11,Model!$B$20,0)-IF(45&lt;Model!$B$15,Model!$B$22,0))/(1-Model!$B$9)/(1+Model!$B$18)^45))</f>
        <v/>
      </c>
      <c r="BH116" s="7">
        <f>IF(A116="","",IF((A116+46)&gt;Model!$B$4,0,MAX(0,Model!$B$6-IF((A116+46)&gt;=Model!$B$11,Model!$B$20,0)-IF(46&lt;Model!$B$15,Model!$B$22,0))/(1-Model!$B$9)/(1+Model!$B$18)^46))</f>
        <v/>
      </c>
      <c r="BI116" s="7">
        <f>IF(A116="","",IF((A116+47)&gt;Model!$B$4,0,MAX(0,Model!$B$6-IF((A116+47)&gt;=Model!$B$11,Model!$B$20,0)-IF(47&lt;Model!$B$15,Model!$B$22,0))/(1-Model!$B$9)/(1+Model!$B$18)^47))</f>
        <v/>
      </c>
      <c r="BJ116" s="7">
        <f>IF(A116="","",IF((A116+48)&gt;Model!$B$4,0,MAX(0,Model!$B$6-IF((A116+48)&gt;=Model!$B$11,Model!$B$20,0)-IF(48&lt;Model!$B$15,Model!$B$22,0))/(1-Model!$B$9)/(1+Model!$B$18)^48))</f>
        <v/>
      </c>
      <c r="BK116" s="7">
        <f>IF(A116="","",IF((A116+49)&gt;Model!$B$4,0,MAX(0,Model!$B$6-IF((A116+49)&gt;=Model!$B$11,Model!$B$20,0)-IF(49&lt;Model!$B$15,Model!$B$22,0))/(1-Model!$B$9)/(1+Model!$B$18)^49))</f>
        <v/>
      </c>
      <c r="BL116" s="7">
        <f>IF(A116="","",IF((A116+50)&gt;Model!$B$4,0,MAX(0,Model!$B$6-IF((A116+50)&gt;=Model!$B$11,Model!$B$20,0)-IF(50&lt;Model!$B$15,Model!$B$22,0))/(1-Model!$B$9)/(1+Model!$B$18)^50))</f>
        <v/>
      </c>
      <c r="BM116" s="7">
        <f>IF(A116="","",IF((A116+51)&gt;Model!$B$4,0,MAX(0,Model!$B$6-IF((A116+51)&gt;=Model!$B$11,Model!$B$20,0)-IF(51&lt;Model!$B$15,Model!$B$22,0))/(1-Model!$B$9)/(1+Model!$B$18)^51))</f>
        <v/>
      </c>
      <c r="BN116" s="7">
        <f>IF(A116="","",IF((A116+52)&gt;Model!$B$4,0,MAX(0,Model!$B$6-IF((A116+52)&gt;=Model!$B$11,Model!$B$20,0)-IF(52&lt;Model!$B$15,Model!$B$22,0))/(1-Model!$B$9)/(1+Model!$B$18)^52))</f>
        <v/>
      </c>
      <c r="BO116" s="7">
        <f>IF(A116="","",IF((A116+53)&gt;Model!$B$4,0,MAX(0,Model!$B$6-IF((A116+53)&gt;=Model!$B$11,Model!$B$20,0)-IF(53&lt;Model!$B$15,Model!$B$22,0))/(1-Model!$B$9)/(1+Model!$B$18)^53))</f>
        <v/>
      </c>
      <c r="BP116" s="7">
        <f>IF(A116="","",IF((A116+54)&gt;Model!$B$4,0,MAX(0,Model!$B$6-IF((A116+54)&gt;=Model!$B$11,Model!$B$20,0)-IF(54&lt;Model!$B$15,Model!$B$22,0))/(1-Model!$B$9)/(1+Model!$B$18)^54))</f>
        <v/>
      </c>
      <c r="BQ116" s="7">
        <f>IF(A116="","",IF((A116+55)&gt;Model!$B$4,0,MAX(0,Model!$B$6-IF((A116+55)&gt;=Model!$B$11,Model!$B$20,0)-IF(55&lt;Model!$B$15,Model!$B$22,0))/(1-Model!$B$9)/(1+Model!$B$18)^55))</f>
        <v/>
      </c>
      <c r="BR116" s="7">
        <f>IF(A116="","",IF((A116+56)&gt;Model!$B$4,0,MAX(0,Model!$B$6-IF((A116+56)&gt;=Model!$B$11,Model!$B$20,0)-IF(56&lt;Model!$B$15,Model!$B$22,0))/(1-Model!$B$9)/(1+Model!$B$18)^56))</f>
        <v/>
      </c>
      <c r="BS116" s="7">
        <f>IF(A116="","",IF((A116+57)&gt;Model!$B$4,0,MAX(0,Model!$B$6-IF((A116+57)&gt;=Model!$B$11,Model!$B$20,0)-IF(57&lt;Model!$B$15,Model!$B$22,0))/(1-Model!$B$9)/(1+Model!$B$18)^57))</f>
        <v/>
      </c>
      <c r="BT116" s="7">
        <f>IF(A116="","",IF((A116+58)&gt;Model!$B$4,0,MAX(0,Model!$B$6-IF((A116+58)&gt;=Model!$B$11,Model!$B$20,0)-IF(58&lt;Model!$B$15,Model!$B$22,0))/(1-Model!$B$9)/(1+Model!$B$18)^58))</f>
        <v/>
      </c>
      <c r="BU116" s="7">
        <f>IF(A116="","",IF((A116+59)&gt;Model!$B$4,0,MAX(0,Model!$B$6-IF((A116+59)&gt;=Model!$B$11,Model!$B$20,0)-IF(59&lt;Model!$B$15,Model!$B$22,0))/(1-Model!$B$9)/(1+Model!$B$18)^59))</f>
        <v/>
      </c>
      <c r="BV116" s="7">
        <f>IF(A116="","",IF((A116+60)&gt;Model!$B$4,0,MAX(0,Model!$B$6-IF((A116+60)&gt;=Model!$B$11,Model!$B$20,0)-IF(60&lt;Model!$B$15,Model!$B$22,0))/(1-Model!$B$9)/(1+Model!$B$18)^60))</f>
        <v/>
      </c>
      <c r="BW116" s="7">
        <f>IF(A116="","",IF((A116+61)&gt;Model!$B$4,0,MAX(0,Model!$B$6-IF((A116+61)&gt;=Model!$B$11,Model!$B$20,0)-IF(61&lt;Model!$B$15,Model!$B$22,0))/(1-Model!$B$9)/(1+Model!$B$18)^61))</f>
        <v/>
      </c>
      <c r="BX116" s="7">
        <f>IF(A116="","",IF((A116+62)&gt;Model!$B$4,0,MAX(0,Model!$B$6-IF((A116+62)&gt;=Model!$B$11,Model!$B$20,0)-IF(62&lt;Model!$B$15,Model!$B$22,0))/(1-Model!$B$9)/(1+Model!$B$18)^62))</f>
        <v/>
      </c>
      <c r="BY116" s="7">
        <f>IF(A116="","",IF((A116+63)&gt;Model!$B$4,0,MAX(0,Model!$B$6-IF((A116+63)&gt;=Model!$B$11,Model!$B$20,0)-IF(63&lt;Model!$B$15,Model!$B$22,0))/(1-Model!$B$9)/(1+Model!$B$18)^63))</f>
        <v/>
      </c>
      <c r="BZ116" s="7">
        <f>IF(A116="","",IF((A116+64)&gt;Model!$B$4,0,MAX(0,Model!$B$6-IF((A116+64)&gt;=Model!$B$11,Model!$B$20,0)-IF(64&lt;Model!$B$15,Model!$B$22,0))/(1-Model!$B$9)/(1+Model!$B$18)^64))</f>
        <v/>
      </c>
      <c r="CA116" s="7">
        <f>IF(A116="","",IF((A116+65)&gt;Model!$B$4,0,MAX(0,Model!$B$6-IF((A116+65)&gt;=Model!$B$11,Model!$B$20,0)-IF(65&lt;Model!$B$15,Model!$B$22,0))/(1-Model!$B$9)/(1+Model!$B$18)^65))</f>
        <v/>
      </c>
      <c r="CB116" s="7">
        <f>IF(A116="","",IF((A116+66)&gt;Model!$B$4,0,MAX(0,Model!$B$6-IF((A116+66)&gt;=Model!$B$11,Model!$B$20,0)-IF(66&lt;Model!$B$15,Model!$B$22,0))/(1-Model!$B$9)/(1+Model!$B$18)^66))</f>
        <v/>
      </c>
      <c r="CC116" s="7">
        <f>IF(A116="","",IF((A116+67)&gt;Model!$B$4,0,MAX(0,Model!$B$6-IF((A116+67)&gt;=Model!$B$11,Model!$B$20,0)-IF(67&lt;Model!$B$15,Model!$B$22,0))/(1-Model!$B$9)/(1+Model!$B$18)^67))</f>
        <v/>
      </c>
      <c r="CD116" s="7">
        <f>IF(A116="","",IF((A116+68)&gt;Model!$B$4,0,MAX(0,Model!$B$6-IF((A116+68)&gt;=Model!$B$11,Model!$B$20,0)-IF(68&lt;Model!$B$15,Model!$B$22,0))/(1-Model!$B$9)/(1+Model!$B$18)^68))</f>
        <v/>
      </c>
      <c r="CE116" s="7">
        <f>IF(A116="","",IF((A116+69)&gt;Model!$B$4,0,MAX(0,Model!$B$6-IF((A116+69)&gt;=Model!$B$11,Model!$B$20,0)-IF(69&lt;Model!$B$15,Model!$B$22,0))/(1-Model!$B$9)/(1+Model!$B$18)^69))</f>
        <v/>
      </c>
      <c r="CF116" s="7">
        <f>IF(A116="","",IF((A116+70)&gt;Model!$B$4,0,MAX(0,Model!$B$6-IF((A116+70)&gt;=Model!$B$11,Model!$B$20,0)-IF(70&lt;Model!$B$15,Model!$B$22,0))/(1-Model!$B$9)/(1+Model!$B$18)^70))</f>
        <v/>
      </c>
      <c r="CG116" s="7">
        <f>IF(A116="","",IF((A116+71)&gt;Model!$B$4,0,MAX(0,Model!$B$6-IF((A116+71)&gt;=Model!$B$11,Model!$B$20,0)-IF(71&lt;Model!$B$15,Model!$B$22,0))/(1-Model!$B$9)/(1+Model!$B$18)^71))</f>
        <v/>
      </c>
      <c r="CH116" s="7">
        <f>IF(A116="","",IF((A116+72)&gt;Model!$B$4,0,MAX(0,Model!$B$6-IF((A116+72)&gt;=Model!$B$11,Model!$B$20,0)-IF(72&lt;Model!$B$15,Model!$B$22,0))/(1-Model!$B$9)/(1+Model!$B$18)^72))</f>
        <v/>
      </c>
      <c r="CI116" s="7">
        <f>IF(A116="","",IF((A116+73)&gt;Model!$B$4,0,MAX(0,Model!$B$6-IF((A116+73)&gt;=Model!$B$11,Model!$B$20,0)-IF(73&lt;Model!$B$15,Model!$B$22,0))/(1-Model!$B$9)/(1+Model!$B$18)^73))</f>
        <v/>
      </c>
      <c r="CJ116" s="7">
        <f>IF(A116="","",IF((A116+74)&gt;Model!$B$4,0,MAX(0,Model!$B$6-IF((A116+74)&gt;=Model!$B$11,Model!$B$20,0)-IF(74&lt;Model!$B$15,Model!$B$22,0))/(1-Model!$B$9)/(1+Model!$B$18)^74))</f>
        <v/>
      </c>
      <c r="CK116" s="7">
        <f>IF(A116="","",IF((A116+75)&gt;Model!$B$4,0,MAX(0,Model!$B$6-IF((A116+75)&gt;=Model!$B$11,Model!$B$20,0)-IF(75&lt;Model!$B$15,Model!$B$22,0))/(1-Model!$B$9)/(1+Model!$B$18)^75))</f>
        <v/>
      </c>
      <c r="CL116" s="7">
        <f>IF(A116="","",IF((A116+76)&gt;Model!$B$4,0,MAX(0,Model!$B$6-IF((A116+76)&gt;=Model!$B$11,Model!$B$20,0)-IF(76&lt;Model!$B$15,Model!$B$22,0))/(1-Model!$B$9)/(1+Model!$B$18)^76))</f>
        <v/>
      </c>
      <c r="CM116" s="7">
        <f>IF(A116="","",IF((A116+77)&gt;Model!$B$4,0,MAX(0,Model!$B$6-IF((A116+77)&gt;=Model!$B$11,Model!$B$20,0)-IF(77&lt;Model!$B$15,Model!$B$22,0))/(1-Model!$B$9)/(1+Model!$B$18)^77))</f>
        <v/>
      </c>
      <c r="CN116" s="7">
        <f>IF(A116="","",IF((A116+78)&gt;Model!$B$4,0,MAX(0,Model!$B$6-IF((A116+78)&gt;=Model!$B$11,Model!$B$20,0)-IF(78&lt;Model!$B$15,Model!$B$22,0))/(1-Model!$B$9)/(1+Model!$B$18)^78))</f>
        <v/>
      </c>
      <c r="CO116" s="7">
        <f>IF(A116="","",IF((A116+79)&gt;Model!$B$4,0,MAX(0,Model!$B$6-IF((A116+79)&gt;=Model!$B$11,Model!$B$20,0)-IF(79&lt;Model!$B$15,Model!$B$22,0))/(1-Model!$B$9)/(1+Model!$B$18)^79))</f>
        <v/>
      </c>
      <c r="CP116" s="7">
        <f>IF(A116="","",IF((A116+80)&gt;Model!$B$4,0,MAX(0,Model!$B$6-IF((A116+80)&gt;=Model!$B$11,Model!$B$20,0)-IF(80&lt;Model!$B$15,Model!$B$22,0))/(1-Model!$B$9)/(1+Model!$B$18)^80))</f>
        <v/>
      </c>
      <c r="CQ116" s="7">
        <f>IF(A116="","",IF((A116+81)&gt;Model!$B$4,0,MAX(0,Model!$B$6-IF((A116+81)&gt;=Model!$B$11,Model!$B$20,0)-IF(81&lt;Model!$B$15,Model!$B$22,0))/(1-Model!$B$9)/(1+Model!$B$18)^81))</f>
        <v/>
      </c>
      <c r="CR116" s="7">
        <f>IF(A116="","",IF((A116+82)&gt;Model!$B$4,0,MAX(0,Model!$B$6-IF((A116+82)&gt;=Model!$B$11,Model!$B$20,0)-IF(82&lt;Model!$B$15,Model!$B$22,0))/(1-Model!$B$9)/(1+Model!$B$18)^82))</f>
        <v/>
      </c>
      <c r="CS116" s="7">
        <f>IF(A116="","",IF((A116+83)&gt;Model!$B$4,0,MAX(0,Model!$B$6-IF((A116+83)&gt;=Model!$B$11,Model!$B$20,0)-IF(83&lt;Model!$B$15,Model!$B$22,0))/(1-Model!$B$9)/(1+Model!$B$18)^83))</f>
        <v/>
      </c>
      <c r="CT116" s="7">
        <f>IF(A116="","",IF((A116+84)&gt;Model!$B$4,0,MAX(0,Model!$B$6-IF((A116+84)&gt;=Model!$B$11,Model!$B$20,0)-IF(84&lt;Model!$B$15,Model!$B$22,0))/(1-Model!$B$9)/(1+Model!$B$18)^84))</f>
        <v/>
      </c>
      <c r="CU116" s="7">
        <f>IF(A116="","",IF((A116+85)&gt;Model!$B$4,0,MAX(0,Model!$B$6-IF((A116+85)&gt;=Model!$B$11,Model!$B$20,0)-IF(85&lt;Model!$B$15,Model!$B$22,0))/(1-Model!$B$9)/(1+Model!$B$18)^85))</f>
        <v/>
      </c>
      <c r="CV116" s="7">
        <f>IF(A116="","",IF((A116+86)&gt;Model!$B$4,0,MAX(0,Model!$B$6-IF((A116+86)&gt;=Model!$B$11,Model!$B$20,0)-IF(86&lt;Model!$B$15,Model!$B$22,0))/(1-Model!$B$9)/(1+Model!$B$18)^86))</f>
        <v/>
      </c>
      <c r="CW116" s="7">
        <f>IF(A116="","",IF((A116+87)&gt;Model!$B$4,0,MAX(0,Model!$B$6-IF((A116+87)&gt;=Model!$B$11,Model!$B$20,0)-IF(87&lt;Model!$B$15,Model!$B$22,0))/(1-Model!$B$9)/(1+Model!$B$18)^87))</f>
        <v/>
      </c>
      <c r="CX116" s="7">
        <f>IF(A116="","",IF((A116+88)&gt;Model!$B$4,0,MAX(0,Model!$B$6-IF((A116+88)&gt;=Model!$B$11,Model!$B$20,0)-IF(88&lt;Model!$B$15,Model!$B$22,0))/(1-Model!$B$9)/(1+Model!$B$18)^88))</f>
        <v/>
      </c>
      <c r="CY116" s="7">
        <f>IF(A116="","",IF((A116+89)&gt;Model!$B$4,0,MAX(0,Model!$B$6-IF((A116+89)&gt;=Model!$B$11,Model!$B$20,0)-IF(89&lt;Model!$B$15,Model!$B$22,0))/(1-Model!$B$9)/(1+Model!$B$18)^89))</f>
        <v/>
      </c>
      <c r="CZ116" s="7">
        <f>IF(A116="","",IF((A116+90)&gt;Model!$B$4,0,MAX(0,Model!$B$6-IF((A116+90)&gt;=Model!$B$11,Model!$B$20,0)-IF(90&lt;Model!$B$15,Model!$B$22,0))/(1-Model!$B$9)/(1+Model!$B$18)^90))</f>
        <v/>
      </c>
      <c r="DA116" s="7">
        <f>IF(A116="","",IF((A116+91)&gt;Model!$B$4,0,MAX(0,Model!$B$6-IF((A116+91)&gt;=Model!$B$11,Model!$B$20,0)-IF(91&lt;Model!$B$15,Model!$B$22,0))/(1-Model!$B$9)/(1+Model!$B$18)^91))</f>
        <v/>
      </c>
      <c r="DB116" s="7">
        <f>IF(A116="","",IF((A116+92)&gt;Model!$B$4,0,MAX(0,Model!$B$6-IF((A116+92)&gt;=Model!$B$11,Model!$B$20,0)-IF(92&lt;Model!$B$15,Model!$B$22,0))/(1-Model!$B$9)/(1+Model!$B$18)^92))</f>
        <v/>
      </c>
      <c r="DC116" s="7">
        <f>IF(A116="","",IF((A116+93)&gt;Model!$B$4,0,MAX(0,Model!$B$6-IF((A116+93)&gt;=Model!$B$11,Model!$B$20,0)-IF(93&lt;Model!$B$15,Model!$B$22,0))/(1-Model!$B$9)/(1+Model!$B$18)^93))</f>
        <v/>
      </c>
      <c r="DD116" s="7">
        <f>IF(A116="","",IF((A116+94)&gt;Model!$B$4,0,MAX(0,Model!$B$6-IF((A116+94)&gt;=Model!$B$11,Model!$B$20,0)-IF(94&lt;Model!$B$15,Model!$B$22,0))/(1-Model!$B$9)/(1+Model!$B$18)^94))</f>
        <v/>
      </c>
      <c r="DE116" s="7">
        <f>IF(A116="","",IF((A116+95)&gt;Model!$B$4,0,MAX(0,Model!$B$6-IF((A116+95)&gt;=Model!$B$11,Model!$B$20,0)-IF(95&lt;Model!$B$15,Model!$B$22,0))/(1-Model!$B$9)/(1+Model!$B$18)^95))</f>
        <v/>
      </c>
      <c r="DF116" s="7">
        <f>IF(A116="","",IF((A116+96)&gt;Model!$B$4,0,MAX(0,Model!$B$6-IF((A116+96)&gt;=Model!$B$11,Model!$B$20,0)-IF(96&lt;Model!$B$15,Model!$B$22,0))/(1-Model!$B$9)/(1+Model!$B$18)^96))</f>
        <v/>
      </c>
      <c r="DG116" s="7">
        <f>IF(A116="","",IF((A116+97)&gt;Model!$B$4,0,MAX(0,Model!$B$6-IF((A116+97)&gt;=Model!$B$11,Model!$B$20,0)-IF(97&lt;Model!$B$15,Model!$B$22,0))/(1-Model!$B$9)/(1+Model!$B$18)^97))</f>
        <v/>
      </c>
      <c r="DH116" s="7">
        <f>IF(A116="","",IF((A116+98)&gt;Model!$B$4,0,MAX(0,Model!$B$6-IF((A116+98)&gt;=Model!$B$11,Model!$B$20,0)-IF(98&lt;Model!$B$15,Model!$B$22,0))/(1-Model!$B$9)/(1+Model!$B$18)^98))</f>
        <v/>
      </c>
      <c r="DI116" s="7">
        <f>IF(A116="","",IF((A116+99)&gt;Model!$B$4,0,MAX(0,Model!$B$6-IF((A116+99)&gt;=Model!$B$11,Model!$B$20,0)-IF(99&lt;Model!$B$15,Model!$B$22,0))/(1-Model!$B$9)/(1+Model!$B$18)^99))</f>
        <v/>
      </c>
      <c r="DJ116" s="7">
        <f>IF(A116="","",IF((A116+100)&gt;Model!$B$4,0,MAX(0,Model!$B$6-IF((A116+100)&gt;=Model!$B$11,Model!$B$20,0)-IF(100&lt;Model!$B$15,Model!$B$22,0))/(1-Model!$B$9)/(1+Model!$B$18)^100))</f>
        <v/>
      </c>
      <c r="DK116" s="7">
        <f>IF(A116="","",IF((A116+101)&gt;Model!$B$4,0,MAX(0,Model!$B$6-IF((A116+101)&gt;=Model!$B$11,Model!$B$20,0)-IF(101&lt;Model!$B$15,Model!$B$22,0))/(1-Model!$B$9)/(1+Model!$B$18)^101))</f>
        <v/>
      </c>
      <c r="DL116" s="7">
        <f>IF(A116="","",IF((A116+102)&gt;Model!$B$4,0,MAX(0,Model!$B$6-IF((A116+102)&gt;=Model!$B$11,Model!$B$20,0)-IF(102&lt;Model!$B$15,Model!$B$22,0))/(1-Model!$B$9)/(1+Model!$B$18)^102))</f>
        <v/>
      </c>
      <c r="DM116" s="7">
        <f>IF(A116="","",IF((A116+103)&gt;Model!$B$4,0,MAX(0,Model!$B$6-IF((A116+103)&gt;=Model!$B$11,Model!$B$20,0)-IF(103&lt;Model!$B$15,Model!$B$22,0))/(1-Model!$B$9)/(1+Model!$B$18)^103))</f>
        <v/>
      </c>
      <c r="DN116" s="7">
        <f>IF(A116="","",IF((A116+104)&gt;Model!$B$4,0,MAX(0,Model!$B$6-IF((A116+104)&gt;=Model!$B$11,Model!$B$20,0)-IF(104&lt;Model!$B$15,Model!$B$22,0))/(1-Model!$B$9)/(1+Model!$B$18)^104))</f>
        <v/>
      </c>
      <c r="DO116" s="7">
        <f>IF(A116="","",IF((A116+105)&gt;Model!$B$4,0,MAX(0,Model!$B$6-IF((A116+105)&gt;=Model!$B$11,Model!$B$20,0)-IF(105&lt;Model!$B$15,Model!$B$22,0))/(1-Model!$B$9)/(1+Model!$B$18)^105))</f>
        <v/>
      </c>
      <c r="DP116" s="7">
        <f>IF(A116="","",IF((A116+106)&gt;Model!$B$4,0,MAX(0,Model!$B$6-IF((A116+106)&gt;=Model!$B$11,Model!$B$20,0)-IF(106&lt;Model!$B$15,Model!$B$22,0))/(1-Model!$B$9)/(1+Model!$B$18)^106))</f>
        <v/>
      </c>
      <c r="DQ116" s="7">
        <f>IF(A116="","",IF((A116+107)&gt;Model!$B$4,0,MAX(0,Model!$B$6-IF((A116+107)&gt;=Model!$B$11,Model!$B$20,0)-IF(107&lt;Model!$B$15,Model!$B$22,0))/(1-Model!$B$9)/(1+Model!$B$18)^107))</f>
        <v/>
      </c>
      <c r="DR116" s="7">
        <f>IF(A116="","",IF((A116+108)&gt;Model!$B$4,0,MAX(0,Model!$B$6-IF((A116+108)&gt;=Model!$B$11,Model!$B$20,0)-IF(108&lt;Model!$B$15,Model!$B$22,0))/(1-Model!$B$9)/(1+Model!$B$18)^108))</f>
        <v/>
      </c>
      <c r="DS116" s="7">
        <f>IF(A116="","",IF((A116+109)&gt;Model!$B$4,0,MAX(0,Model!$B$6-IF((A116+109)&gt;=Model!$B$11,Model!$B$20,0)-IF(109&lt;Model!$B$15,Model!$B$22,0))/(1-Model!$B$9)/(1+Model!$B$18)^109))</f>
        <v/>
      </c>
      <c r="DT116" s="7">
        <f>IF(A116="","",IF((A116+110)&gt;Model!$B$4,0,MAX(0,Model!$B$6-IF((A116+110)&gt;=Model!$B$11,Model!$B$20,0)-IF(110&lt;Model!$B$15,Model!$B$22,0))/(1-Model!$B$9)/(1+Model!$B$18)^110))</f>
        <v/>
      </c>
      <c r="DU116" s="7">
        <f>IF(A116="","",IF((A116+111)&gt;Model!$B$4,0,MAX(0,Model!$B$6-IF((A116+111)&gt;=Model!$B$11,Model!$B$20,0)-IF(111&lt;Model!$B$15,Model!$B$22,0))/(1-Model!$B$9)/(1+Model!$B$18)^111))</f>
        <v/>
      </c>
      <c r="DV116" s="7">
        <f>IF(A116="","",IF((A116+112)&gt;Model!$B$4,0,MAX(0,Model!$B$6-IF((A116+112)&gt;=Model!$B$11,Model!$B$20,0)-IF(112&lt;Model!$B$15,Model!$B$22,0))/(1-Model!$B$9)/(1+Model!$B$18)^112))</f>
        <v/>
      </c>
      <c r="DW116" s="7">
        <f>IF(A116="","",IF((A116+113)&gt;Model!$B$4,0,MAX(0,Model!$B$6-IF((A116+113)&gt;=Model!$B$11,Model!$B$20,0)-IF(113&lt;Model!$B$15,Model!$B$22,0))/(1-Model!$B$9)/(1+Model!$B$18)^113))</f>
        <v/>
      </c>
      <c r="DX116" s="7">
        <f>IF(A116="","",IF((A116+114)&gt;Model!$B$4,0,MAX(0,Model!$B$6-IF((A116+114)&gt;=Model!$B$11,Model!$B$20,0)-IF(114&lt;Model!$B$15,Model!$B$22,0))/(1-Model!$B$9)/(1+Model!$B$18)^114))</f>
        <v/>
      </c>
      <c r="DY116" s="7">
        <f>IF(A116="","",IF((A116+115)&gt;Model!$B$4,0,MAX(0,Model!$B$6-IF((A116+115)&gt;=Model!$B$11,Model!$B$20,0)-IF(115&lt;Model!$B$15,Model!$B$22,0))/(1-Model!$B$9)/(1+Model!$B$18)^115))</f>
        <v/>
      </c>
      <c r="DZ116" s="7">
        <f>IF(A116="","",IF((A116+116)&gt;Model!$B$4,0,MAX(0,Model!$B$6-IF((A116+116)&gt;=Model!$B$11,Model!$B$20,0)-IF(116&lt;Model!$B$15,Model!$B$22,0))/(1-Model!$B$9)/(1+Model!$B$18)^116))</f>
        <v/>
      </c>
      <c r="EA116" s="7">
        <f>IF(A116="","",IF((A116+117)&gt;Model!$B$4,0,MAX(0,Model!$B$6-IF((A116+117)&gt;=Model!$B$11,Model!$B$20,0)-IF(117&lt;Model!$B$15,Model!$B$22,0))/(1-Model!$B$9)/(1+Model!$B$18)^117))</f>
        <v/>
      </c>
      <c r="EB116" s="7">
        <f>IF(A116="","",IF((A116+118)&gt;Model!$B$4,0,MAX(0,Model!$B$6-IF((A116+118)&gt;=Model!$B$11,Model!$B$20,0)-IF(118&lt;Model!$B$15,Model!$B$22,0))/(1-Model!$B$9)/(1+Model!$B$18)^118))</f>
        <v/>
      </c>
      <c r="EC116" s="7">
        <f>IF(A116="","",IF((A116+119)&gt;Model!$B$4,0,MAX(0,Model!$B$6-IF((A116+119)&gt;=Model!$B$11,Model!$B$20,0)-IF(119&lt;Model!$B$15,Model!$B$22,0))/(1-Model!$B$9)/(1+Model!$B$18)^119))</f>
        <v/>
      </c>
      <c r="ED116" s="7">
        <f>IF(A116="","",IF((A116+120)&gt;Model!$B$4,0,MAX(0,Model!$B$6-IF((A116+120)&gt;=Model!$B$11,Model!$B$20,0)-IF(120&lt;Model!$B$15,Model!$B$22,0))/(1-Model!$B$9)/(1+Model!$B$18)^120))</f>
        <v/>
      </c>
    </row>
    <row r="117">
      <c r="A117">
        <f>IF(Model!$B$10+ROW()-2&lt;=Model!$B$4,Model!$B$10+ROW()-2,"")</f>
        <v/>
      </c>
      <c r="B117">
        <f>IF(A117="","",A117-Model!$B$10)</f>
        <v/>
      </c>
      <c r="C117" s="7">
        <f>IF(A117="","",Model!$B$5*(1+Model!$B$18)^B117)</f>
        <v/>
      </c>
      <c r="D117" s="7">
        <f>IF(A117="","",SUM(N117:ED117))</f>
        <v/>
      </c>
      <c r="E117" s="7">
        <f>IF(A117="","",IF(A117&gt;=Model!$B$11,Model!$B$20,0))</f>
        <v/>
      </c>
      <c r="F117" s="7">
        <f>IF(A117="","",IF(Model!$B$15&gt;0,Model!$B$22,0))</f>
        <v/>
      </c>
      <c r="G117" s="7">
        <f>IF(A117="","",E117+F117)</f>
        <v/>
      </c>
      <c r="H117" s="7">
        <f>IF(A117="","",MAX(0,Model!$B$6-G117))</f>
        <v/>
      </c>
      <c r="I117" s="7">
        <f>IF(A117="","",H117/(1-Model!$B$9))</f>
        <v/>
      </c>
      <c r="J117" s="7">
        <f>IF(A117="","",C117-D117)</f>
        <v/>
      </c>
      <c r="K117">
        <f>IF(A117="","",C117&gt;=D117)</f>
        <v/>
      </c>
      <c r="L117" s="7">
        <f>IF(A117="","",IF(A117&gt;=Model!$B$11,Model!$B$19*(1+Model!$B$13)^B117,0))</f>
        <v/>
      </c>
      <c r="M117" s="7">
        <f>IF(A117="","",IF(Model!$B$15&gt;0,Model!$B$21*(1+Model!$B$13)^B117,0))</f>
        <v/>
      </c>
      <c r="N117" s="7">
        <f>IF(A117="","",IF((A117+0)&gt;Model!$B$4,0,MAX(0,Model!$B$6-IF((A117+0)&gt;=Model!$B$11,Model!$B$20,0)-IF(0&lt;Model!$B$15,Model!$B$22,0))/(1-Model!$B$9)/(1+Model!$B$18)^0))</f>
        <v/>
      </c>
      <c r="O117" s="7">
        <f>IF(A117="","",IF((A117+1)&gt;Model!$B$4,0,MAX(0,Model!$B$6-IF((A117+1)&gt;=Model!$B$11,Model!$B$20,0)-IF(1&lt;Model!$B$15,Model!$B$22,0))/(1-Model!$B$9)/(1+Model!$B$18)^1))</f>
        <v/>
      </c>
      <c r="P117" s="7">
        <f>IF(A117="","",IF((A117+2)&gt;Model!$B$4,0,MAX(0,Model!$B$6-IF((A117+2)&gt;=Model!$B$11,Model!$B$20,0)-IF(2&lt;Model!$B$15,Model!$B$22,0))/(1-Model!$B$9)/(1+Model!$B$18)^2))</f>
        <v/>
      </c>
      <c r="Q117" s="7">
        <f>IF(A117="","",IF((A117+3)&gt;Model!$B$4,0,MAX(0,Model!$B$6-IF((A117+3)&gt;=Model!$B$11,Model!$B$20,0)-IF(3&lt;Model!$B$15,Model!$B$22,0))/(1-Model!$B$9)/(1+Model!$B$18)^3))</f>
        <v/>
      </c>
      <c r="R117" s="7">
        <f>IF(A117="","",IF((A117+4)&gt;Model!$B$4,0,MAX(0,Model!$B$6-IF((A117+4)&gt;=Model!$B$11,Model!$B$20,0)-IF(4&lt;Model!$B$15,Model!$B$22,0))/(1-Model!$B$9)/(1+Model!$B$18)^4))</f>
        <v/>
      </c>
      <c r="S117" s="7">
        <f>IF(A117="","",IF((A117+5)&gt;Model!$B$4,0,MAX(0,Model!$B$6-IF((A117+5)&gt;=Model!$B$11,Model!$B$20,0)-IF(5&lt;Model!$B$15,Model!$B$22,0))/(1-Model!$B$9)/(1+Model!$B$18)^5))</f>
        <v/>
      </c>
      <c r="T117" s="7">
        <f>IF(A117="","",IF((A117+6)&gt;Model!$B$4,0,MAX(0,Model!$B$6-IF((A117+6)&gt;=Model!$B$11,Model!$B$20,0)-IF(6&lt;Model!$B$15,Model!$B$22,0))/(1-Model!$B$9)/(1+Model!$B$18)^6))</f>
        <v/>
      </c>
      <c r="U117" s="7">
        <f>IF(A117="","",IF((A117+7)&gt;Model!$B$4,0,MAX(0,Model!$B$6-IF((A117+7)&gt;=Model!$B$11,Model!$B$20,0)-IF(7&lt;Model!$B$15,Model!$B$22,0))/(1-Model!$B$9)/(1+Model!$B$18)^7))</f>
        <v/>
      </c>
      <c r="V117" s="7">
        <f>IF(A117="","",IF((A117+8)&gt;Model!$B$4,0,MAX(0,Model!$B$6-IF((A117+8)&gt;=Model!$B$11,Model!$B$20,0)-IF(8&lt;Model!$B$15,Model!$B$22,0))/(1-Model!$B$9)/(1+Model!$B$18)^8))</f>
        <v/>
      </c>
      <c r="W117" s="7">
        <f>IF(A117="","",IF((A117+9)&gt;Model!$B$4,0,MAX(0,Model!$B$6-IF((A117+9)&gt;=Model!$B$11,Model!$B$20,0)-IF(9&lt;Model!$B$15,Model!$B$22,0))/(1-Model!$B$9)/(1+Model!$B$18)^9))</f>
        <v/>
      </c>
      <c r="X117" s="7">
        <f>IF(A117="","",IF((A117+10)&gt;Model!$B$4,0,MAX(0,Model!$B$6-IF((A117+10)&gt;=Model!$B$11,Model!$B$20,0)-IF(10&lt;Model!$B$15,Model!$B$22,0))/(1-Model!$B$9)/(1+Model!$B$18)^10))</f>
        <v/>
      </c>
      <c r="Y117" s="7">
        <f>IF(A117="","",IF((A117+11)&gt;Model!$B$4,0,MAX(0,Model!$B$6-IF((A117+11)&gt;=Model!$B$11,Model!$B$20,0)-IF(11&lt;Model!$B$15,Model!$B$22,0))/(1-Model!$B$9)/(1+Model!$B$18)^11))</f>
        <v/>
      </c>
      <c r="Z117" s="7">
        <f>IF(A117="","",IF((A117+12)&gt;Model!$B$4,0,MAX(0,Model!$B$6-IF((A117+12)&gt;=Model!$B$11,Model!$B$20,0)-IF(12&lt;Model!$B$15,Model!$B$22,0))/(1-Model!$B$9)/(1+Model!$B$18)^12))</f>
        <v/>
      </c>
      <c r="AA117" s="7">
        <f>IF(A117="","",IF((A117+13)&gt;Model!$B$4,0,MAX(0,Model!$B$6-IF((A117+13)&gt;=Model!$B$11,Model!$B$20,0)-IF(13&lt;Model!$B$15,Model!$B$22,0))/(1-Model!$B$9)/(1+Model!$B$18)^13))</f>
        <v/>
      </c>
      <c r="AB117" s="7">
        <f>IF(A117="","",IF((A117+14)&gt;Model!$B$4,0,MAX(0,Model!$B$6-IF((A117+14)&gt;=Model!$B$11,Model!$B$20,0)-IF(14&lt;Model!$B$15,Model!$B$22,0))/(1-Model!$B$9)/(1+Model!$B$18)^14))</f>
        <v/>
      </c>
      <c r="AC117" s="7">
        <f>IF(A117="","",IF((A117+15)&gt;Model!$B$4,0,MAX(0,Model!$B$6-IF((A117+15)&gt;=Model!$B$11,Model!$B$20,0)-IF(15&lt;Model!$B$15,Model!$B$22,0))/(1-Model!$B$9)/(1+Model!$B$18)^15))</f>
        <v/>
      </c>
      <c r="AD117" s="7">
        <f>IF(A117="","",IF((A117+16)&gt;Model!$B$4,0,MAX(0,Model!$B$6-IF((A117+16)&gt;=Model!$B$11,Model!$B$20,0)-IF(16&lt;Model!$B$15,Model!$B$22,0))/(1-Model!$B$9)/(1+Model!$B$18)^16))</f>
        <v/>
      </c>
      <c r="AE117" s="7">
        <f>IF(A117="","",IF((A117+17)&gt;Model!$B$4,0,MAX(0,Model!$B$6-IF((A117+17)&gt;=Model!$B$11,Model!$B$20,0)-IF(17&lt;Model!$B$15,Model!$B$22,0))/(1-Model!$B$9)/(1+Model!$B$18)^17))</f>
        <v/>
      </c>
      <c r="AF117" s="7">
        <f>IF(A117="","",IF((A117+18)&gt;Model!$B$4,0,MAX(0,Model!$B$6-IF((A117+18)&gt;=Model!$B$11,Model!$B$20,0)-IF(18&lt;Model!$B$15,Model!$B$22,0))/(1-Model!$B$9)/(1+Model!$B$18)^18))</f>
        <v/>
      </c>
      <c r="AG117" s="7">
        <f>IF(A117="","",IF((A117+19)&gt;Model!$B$4,0,MAX(0,Model!$B$6-IF((A117+19)&gt;=Model!$B$11,Model!$B$20,0)-IF(19&lt;Model!$B$15,Model!$B$22,0))/(1-Model!$B$9)/(1+Model!$B$18)^19))</f>
        <v/>
      </c>
      <c r="AH117" s="7">
        <f>IF(A117="","",IF((A117+20)&gt;Model!$B$4,0,MAX(0,Model!$B$6-IF((A117+20)&gt;=Model!$B$11,Model!$B$20,0)-IF(20&lt;Model!$B$15,Model!$B$22,0))/(1-Model!$B$9)/(1+Model!$B$18)^20))</f>
        <v/>
      </c>
      <c r="AI117" s="7">
        <f>IF(A117="","",IF((A117+21)&gt;Model!$B$4,0,MAX(0,Model!$B$6-IF((A117+21)&gt;=Model!$B$11,Model!$B$20,0)-IF(21&lt;Model!$B$15,Model!$B$22,0))/(1-Model!$B$9)/(1+Model!$B$18)^21))</f>
        <v/>
      </c>
      <c r="AJ117" s="7">
        <f>IF(A117="","",IF((A117+22)&gt;Model!$B$4,0,MAX(0,Model!$B$6-IF((A117+22)&gt;=Model!$B$11,Model!$B$20,0)-IF(22&lt;Model!$B$15,Model!$B$22,0))/(1-Model!$B$9)/(1+Model!$B$18)^22))</f>
        <v/>
      </c>
      <c r="AK117" s="7">
        <f>IF(A117="","",IF((A117+23)&gt;Model!$B$4,0,MAX(0,Model!$B$6-IF((A117+23)&gt;=Model!$B$11,Model!$B$20,0)-IF(23&lt;Model!$B$15,Model!$B$22,0))/(1-Model!$B$9)/(1+Model!$B$18)^23))</f>
        <v/>
      </c>
      <c r="AL117" s="7">
        <f>IF(A117="","",IF((A117+24)&gt;Model!$B$4,0,MAX(0,Model!$B$6-IF((A117+24)&gt;=Model!$B$11,Model!$B$20,0)-IF(24&lt;Model!$B$15,Model!$B$22,0))/(1-Model!$B$9)/(1+Model!$B$18)^24))</f>
        <v/>
      </c>
      <c r="AM117" s="7">
        <f>IF(A117="","",IF((A117+25)&gt;Model!$B$4,0,MAX(0,Model!$B$6-IF((A117+25)&gt;=Model!$B$11,Model!$B$20,0)-IF(25&lt;Model!$B$15,Model!$B$22,0))/(1-Model!$B$9)/(1+Model!$B$18)^25))</f>
        <v/>
      </c>
      <c r="AN117" s="7">
        <f>IF(A117="","",IF((A117+26)&gt;Model!$B$4,0,MAX(0,Model!$B$6-IF((A117+26)&gt;=Model!$B$11,Model!$B$20,0)-IF(26&lt;Model!$B$15,Model!$B$22,0))/(1-Model!$B$9)/(1+Model!$B$18)^26))</f>
        <v/>
      </c>
      <c r="AO117" s="7">
        <f>IF(A117="","",IF((A117+27)&gt;Model!$B$4,0,MAX(0,Model!$B$6-IF((A117+27)&gt;=Model!$B$11,Model!$B$20,0)-IF(27&lt;Model!$B$15,Model!$B$22,0))/(1-Model!$B$9)/(1+Model!$B$18)^27))</f>
        <v/>
      </c>
      <c r="AP117" s="7">
        <f>IF(A117="","",IF((A117+28)&gt;Model!$B$4,0,MAX(0,Model!$B$6-IF((A117+28)&gt;=Model!$B$11,Model!$B$20,0)-IF(28&lt;Model!$B$15,Model!$B$22,0))/(1-Model!$B$9)/(1+Model!$B$18)^28))</f>
        <v/>
      </c>
      <c r="AQ117" s="7">
        <f>IF(A117="","",IF((A117+29)&gt;Model!$B$4,0,MAX(0,Model!$B$6-IF((A117+29)&gt;=Model!$B$11,Model!$B$20,0)-IF(29&lt;Model!$B$15,Model!$B$22,0))/(1-Model!$B$9)/(1+Model!$B$18)^29))</f>
        <v/>
      </c>
      <c r="AR117" s="7">
        <f>IF(A117="","",IF((A117+30)&gt;Model!$B$4,0,MAX(0,Model!$B$6-IF((A117+30)&gt;=Model!$B$11,Model!$B$20,0)-IF(30&lt;Model!$B$15,Model!$B$22,0))/(1-Model!$B$9)/(1+Model!$B$18)^30))</f>
        <v/>
      </c>
      <c r="AS117" s="7">
        <f>IF(A117="","",IF((A117+31)&gt;Model!$B$4,0,MAX(0,Model!$B$6-IF((A117+31)&gt;=Model!$B$11,Model!$B$20,0)-IF(31&lt;Model!$B$15,Model!$B$22,0))/(1-Model!$B$9)/(1+Model!$B$18)^31))</f>
        <v/>
      </c>
      <c r="AT117" s="7">
        <f>IF(A117="","",IF((A117+32)&gt;Model!$B$4,0,MAX(0,Model!$B$6-IF((A117+32)&gt;=Model!$B$11,Model!$B$20,0)-IF(32&lt;Model!$B$15,Model!$B$22,0))/(1-Model!$B$9)/(1+Model!$B$18)^32))</f>
        <v/>
      </c>
      <c r="AU117" s="7">
        <f>IF(A117="","",IF((A117+33)&gt;Model!$B$4,0,MAX(0,Model!$B$6-IF((A117+33)&gt;=Model!$B$11,Model!$B$20,0)-IF(33&lt;Model!$B$15,Model!$B$22,0))/(1-Model!$B$9)/(1+Model!$B$18)^33))</f>
        <v/>
      </c>
      <c r="AV117" s="7">
        <f>IF(A117="","",IF((A117+34)&gt;Model!$B$4,0,MAX(0,Model!$B$6-IF((A117+34)&gt;=Model!$B$11,Model!$B$20,0)-IF(34&lt;Model!$B$15,Model!$B$22,0))/(1-Model!$B$9)/(1+Model!$B$18)^34))</f>
        <v/>
      </c>
      <c r="AW117" s="7">
        <f>IF(A117="","",IF((A117+35)&gt;Model!$B$4,0,MAX(0,Model!$B$6-IF((A117+35)&gt;=Model!$B$11,Model!$B$20,0)-IF(35&lt;Model!$B$15,Model!$B$22,0))/(1-Model!$B$9)/(1+Model!$B$18)^35))</f>
        <v/>
      </c>
      <c r="AX117" s="7">
        <f>IF(A117="","",IF((A117+36)&gt;Model!$B$4,0,MAX(0,Model!$B$6-IF((A117+36)&gt;=Model!$B$11,Model!$B$20,0)-IF(36&lt;Model!$B$15,Model!$B$22,0))/(1-Model!$B$9)/(1+Model!$B$18)^36))</f>
        <v/>
      </c>
      <c r="AY117" s="7">
        <f>IF(A117="","",IF((A117+37)&gt;Model!$B$4,0,MAX(0,Model!$B$6-IF((A117+37)&gt;=Model!$B$11,Model!$B$20,0)-IF(37&lt;Model!$B$15,Model!$B$22,0))/(1-Model!$B$9)/(1+Model!$B$18)^37))</f>
        <v/>
      </c>
      <c r="AZ117" s="7">
        <f>IF(A117="","",IF((A117+38)&gt;Model!$B$4,0,MAX(0,Model!$B$6-IF((A117+38)&gt;=Model!$B$11,Model!$B$20,0)-IF(38&lt;Model!$B$15,Model!$B$22,0))/(1-Model!$B$9)/(1+Model!$B$18)^38))</f>
        <v/>
      </c>
      <c r="BA117" s="7">
        <f>IF(A117="","",IF((A117+39)&gt;Model!$B$4,0,MAX(0,Model!$B$6-IF((A117+39)&gt;=Model!$B$11,Model!$B$20,0)-IF(39&lt;Model!$B$15,Model!$B$22,0))/(1-Model!$B$9)/(1+Model!$B$18)^39))</f>
        <v/>
      </c>
      <c r="BB117" s="7">
        <f>IF(A117="","",IF((A117+40)&gt;Model!$B$4,0,MAX(0,Model!$B$6-IF((A117+40)&gt;=Model!$B$11,Model!$B$20,0)-IF(40&lt;Model!$B$15,Model!$B$22,0))/(1-Model!$B$9)/(1+Model!$B$18)^40))</f>
        <v/>
      </c>
      <c r="BC117" s="7">
        <f>IF(A117="","",IF((A117+41)&gt;Model!$B$4,0,MAX(0,Model!$B$6-IF((A117+41)&gt;=Model!$B$11,Model!$B$20,0)-IF(41&lt;Model!$B$15,Model!$B$22,0))/(1-Model!$B$9)/(1+Model!$B$18)^41))</f>
        <v/>
      </c>
      <c r="BD117" s="7">
        <f>IF(A117="","",IF((A117+42)&gt;Model!$B$4,0,MAX(0,Model!$B$6-IF((A117+42)&gt;=Model!$B$11,Model!$B$20,0)-IF(42&lt;Model!$B$15,Model!$B$22,0))/(1-Model!$B$9)/(1+Model!$B$18)^42))</f>
        <v/>
      </c>
      <c r="BE117" s="7">
        <f>IF(A117="","",IF((A117+43)&gt;Model!$B$4,0,MAX(0,Model!$B$6-IF((A117+43)&gt;=Model!$B$11,Model!$B$20,0)-IF(43&lt;Model!$B$15,Model!$B$22,0))/(1-Model!$B$9)/(1+Model!$B$18)^43))</f>
        <v/>
      </c>
      <c r="BF117" s="7">
        <f>IF(A117="","",IF((A117+44)&gt;Model!$B$4,0,MAX(0,Model!$B$6-IF((A117+44)&gt;=Model!$B$11,Model!$B$20,0)-IF(44&lt;Model!$B$15,Model!$B$22,0))/(1-Model!$B$9)/(1+Model!$B$18)^44))</f>
        <v/>
      </c>
      <c r="BG117" s="7">
        <f>IF(A117="","",IF((A117+45)&gt;Model!$B$4,0,MAX(0,Model!$B$6-IF((A117+45)&gt;=Model!$B$11,Model!$B$20,0)-IF(45&lt;Model!$B$15,Model!$B$22,0))/(1-Model!$B$9)/(1+Model!$B$18)^45))</f>
        <v/>
      </c>
      <c r="BH117" s="7">
        <f>IF(A117="","",IF((A117+46)&gt;Model!$B$4,0,MAX(0,Model!$B$6-IF((A117+46)&gt;=Model!$B$11,Model!$B$20,0)-IF(46&lt;Model!$B$15,Model!$B$22,0))/(1-Model!$B$9)/(1+Model!$B$18)^46))</f>
        <v/>
      </c>
      <c r="BI117" s="7">
        <f>IF(A117="","",IF((A117+47)&gt;Model!$B$4,0,MAX(0,Model!$B$6-IF((A117+47)&gt;=Model!$B$11,Model!$B$20,0)-IF(47&lt;Model!$B$15,Model!$B$22,0))/(1-Model!$B$9)/(1+Model!$B$18)^47))</f>
        <v/>
      </c>
      <c r="BJ117" s="7">
        <f>IF(A117="","",IF((A117+48)&gt;Model!$B$4,0,MAX(0,Model!$B$6-IF((A117+48)&gt;=Model!$B$11,Model!$B$20,0)-IF(48&lt;Model!$B$15,Model!$B$22,0))/(1-Model!$B$9)/(1+Model!$B$18)^48))</f>
        <v/>
      </c>
      <c r="BK117" s="7">
        <f>IF(A117="","",IF((A117+49)&gt;Model!$B$4,0,MAX(0,Model!$B$6-IF((A117+49)&gt;=Model!$B$11,Model!$B$20,0)-IF(49&lt;Model!$B$15,Model!$B$22,0))/(1-Model!$B$9)/(1+Model!$B$18)^49))</f>
        <v/>
      </c>
      <c r="BL117" s="7">
        <f>IF(A117="","",IF((A117+50)&gt;Model!$B$4,0,MAX(0,Model!$B$6-IF((A117+50)&gt;=Model!$B$11,Model!$B$20,0)-IF(50&lt;Model!$B$15,Model!$B$22,0))/(1-Model!$B$9)/(1+Model!$B$18)^50))</f>
        <v/>
      </c>
      <c r="BM117" s="7">
        <f>IF(A117="","",IF((A117+51)&gt;Model!$B$4,0,MAX(0,Model!$B$6-IF((A117+51)&gt;=Model!$B$11,Model!$B$20,0)-IF(51&lt;Model!$B$15,Model!$B$22,0))/(1-Model!$B$9)/(1+Model!$B$18)^51))</f>
        <v/>
      </c>
      <c r="BN117" s="7">
        <f>IF(A117="","",IF((A117+52)&gt;Model!$B$4,0,MAX(0,Model!$B$6-IF((A117+52)&gt;=Model!$B$11,Model!$B$20,0)-IF(52&lt;Model!$B$15,Model!$B$22,0))/(1-Model!$B$9)/(1+Model!$B$18)^52))</f>
        <v/>
      </c>
      <c r="BO117" s="7">
        <f>IF(A117="","",IF((A117+53)&gt;Model!$B$4,0,MAX(0,Model!$B$6-IF((A117+53)&gt;=Model!$B$11,Model!$B$20,0)-IF(53&lt;Model!$B$15,Model!$B$22,0))/(1-Model!$B$9)/(1+Model!$B$18)^53))</f>
        <v/>
      </c>
      <c r="BP117" s="7">
        <f>IF(A117="","",IF((A117+54)&gt;Model!$B$4,0,MAX(0,Model!$B$6-IF((A117+54)&gt;=Model!$B$11,Model!$B$20,0)-IF(54&lt;Model!$B$15,Model!$B$22,0))/(1-Model!$B$9)/(1+Model!$B$18)^54))</f>
        <v/>
      </c>
      <c r="BQ117" s="7">
        <f>IF(A117="","",IF((A117+55)&gt;Model!$B$4,0,MAX(0,Model!$B$6-IF((A117+55)&gt;=Model!$B$11,Model!$B$20,0)-IF(55&lt;Model!$B$15,Model!$B$22,0))/(1-Model!$B$9)/(1+Model!$B$18)^55))</f>
        <v/>
      </c>
      <c r="BR117" s="7">
        <f>IF(A117="","",IF((A117+56)&gt;Model!$B$4,0,MAX(0,Model!$B$6-IF((A117+56)&gt;=Model!$B$11,Model!$B$20,0)-IF(56&lt;Model!$B$15,Model!$B$22,0))/(1-Model!$B$9)/(1+Model!$B$18)^56))</f>
        <v/>
      </c>
      <c r="BS117" s="7">
        <f>IF(A117="","",IF((A117+57)&gt;Model!$B$4,0,MAX(0,Model!$B$6-IF((A117+57)&gt;=Model!$B$11,Model!$B$20,0)-IF(57&lt;Model!$B$15,Model!$B$22,0))/(1-Model!$B$9)/(1+Model!$B$18)^57))</f>
        <v/>
      </c>
      <c r="BT117" s="7">
        <f>IF(A117="","",IF((A117+58)&gt;Model!$B$4,0,MAX(0,Model!$B$6-IF((A117+58)&gt;=Model!$B$11,Model!$B$20,0)-IF(58&lt;Model!$B$15,Model!$B$22,0))/(1-Model!$B$9)/(1+Model!$B$18)^58))</f>
        <v/>
      </c>
      <c r="BU117" s="7">
        <f>IF(A117="","",IF((A117+59)&gt;Model!$B$4,0,MAX(0,Model!$B$6-IF((A117+59)&gt;=Model!$B$11,Model!$B$20,0)-IF(59&lt;Model!$B$15,Model!$B$22,0))/(1-Model!$B$9)/(1+Model!$B$18)^59))</f>
        <v/>
      </c>
      <c r="BV117" s="7">
        <f>IF(A117="","",IF((A117+60)&gt;Model!$B$4,0,MAX(0,Model!$B$6-IF((A117+60)&gt;=Model!$B$11,Model!$B$20,0)-IF(60&lt;Model!$B$15,Model!$B$22,0))/(1-Model!$B$9)/(1+Model!$B$18)^60))</f>
        <v/>
      </c>
      <c r="BW117" s="7">
        <f>IF(A117="","",IF((A117+61)&gt;Model!$B$4,0,MAX(0,Model!$B$6-IF((A117+61)&gt;=Model!$B$11,Model!$B$20,0)-IF(61&lt;Model!$B$15,Model!$B$22,0))/(1-Model!$B$9)/(1+Model!$B$18)^61))</f>
        <v/>
      </c>
      <c r="BX117" s="7">
        <f>IF(A117="","",IF((A117+62)&gt;Model!$B$4,0,MAX(0,Model!$B$6-IF((A117+62)&gt;=Model!$B$11,Model!$B$20,0)-IF(62&lt;Model!$B$15,Model!$B$22,0))/(1-Model!$B$9)/(1+Model!$B$18)^62))</f>
        <v/>
      </c>
      <c r="BY117" s="7">
        <f>IF(A117="","",IF((A117+63)&gt;Model!$B$4,0,MAX(0,Model!$B$6-IF((A117+63)&gt;=Model!$B$11,Model!$B$20,0)-IF(63&lt;Model!$B$15,Model!$B$22,0))/(1-Model!$B$9)/(1+Model!$B$18)^63))</f>
        <v/>
      </c>
      <c r="BZ117" s="7">
        <f>IF(A117="","",IF((A117+64)&gt;Model!$B$4,0,MAX(0,Model!$B$6-IF((A117+64)&gt;=Model!$B$11,Model!$B$20,0)-IF(64&lt;Model!$B$15,Model!$B$22,0))/(1-Model!$B$9)/(1+Model!$B$18)^64))</f>
        <v/>
      </c>
      <c r="CA117" s="7">
        <f>IF(A117="","",IF((A117+65)&gt;Model!$B$4,0,MAX(0,Model!$B$6-IF((A117+65)&gt;=Model!$B$11,Model!$B$20,0)-IF(65&lt;Model!$B$15,Model!$B$22,0))/(1-Model!$B$9)/(1+Model!$B$18)^65))</f>
        <v/>
      </c>
      <c r="CB117" s="7">
        <f>IF(A117="","",IF((A117+66)&gt;Model!$B$4,0,MAX(0,Model!$B$6-IF((A117+66)&gt;=Model!$B$11,Model!$B$20,0)-IF(66&lt;Model!$B$15,Model!$B$22,0))/(1-Model!$B$9)/(1+Model!$B$18)^66))</f>
        <v/>
      </c>
      <c r="CC117" s="7">
        <f>IF(A117="","",IF((A117+67)&gt;Model!$B$4,0,MAX(0,Model!$B$6-IF((A117+67)&gt;=Model!$B$11,Model!$B$20,0)-IF(67&lt;Model!$B$15,Model!$B$22,0))/(1-Model!$B$9)/(1+Model!$B$18)^67))</f>
        <v/>
      </c>
      <c r="CD117" s="7">
        <f>IF(A117="","",IF((A117+68)&gt;Model!$B$4,0,MAX(0,Model!$B$6-IF((A117+68)&gt;=Model!$B$11,Model!$B$20,0)-IF(68&lt;Model!$B$15,Model!$B$22,0))/(1-Model!$B$9)/(1+Model!$B$18)^68))</f>
        <v/>
      </c>
      <c r="CE117" s="7">
        <f>IF(A117="","",IF((A117+69)&gt;Model!$B$4,0,MAX(0,Model!$B$6-IF((A117+69)&gt;=Model!$B$11,Model!$B$20,0)-IF(69&lt;Model!$B$15,Model!$B$22,0))/(1-Model!$B$9)/(1+Model!$B$18)^69))</f>
        <v/>
      </c>
      <c r="CF117" s="7">
        <f>IF(A117="","",IF((A117+70)&gt;Model!$B$4,0,MAX(0,Model!$B$6-IF((A117+70)&gt;=Model!$B$11,Model!$B$20,0)-IF(70&lt;Model!$B$15,Model!$B$22,0))/(1-Model!$B$9)/(1+Model!$B$18)^70))</f>
        <v/>
      </c>
      <c r="CG117" s="7">
        <f>IF(A117="","",IF((A117+71)&gt;Model!$B$4,0,MAX(0,Model!$B$6-IF((A117+71)&gt;=Model!$B$11,Model!$B$20,0)-IF(71&lt;Model!$B$15,Model!$B$22,0))/(1-Model!$B$9)/(1+Model!$B$18)^71))</f>
        <v/>
      </c>
      <c r="CH117" s="7">
        <f>IF(A117="","",IF((A117+72)&gt;Model!$B$4,0,MAX(0,Model!$B$6-IF((A117+72)&gt;=Model!$B$11,Model!$B$20,0)-IF(72&lt;Model!$B$15,Model!$B$22,0))/(1-Model!$B$9)/(1+Model!$B$18)^72))</f>
        <v/>
      </c>
      <c r="CI117" s="7">
        <f>IF(A117="","",IF((A117+73)&gt;Model!$B$4,0,MAX(0,Model!$B$6-IF((A117+73)&gt;=Model!$B$11,Model!$B$20,0)-IF(73&lt;Model!$B$15,Model!$B$22,0))/(1-Model!$B$9)/(1+Model!$B$18)^73))</f>
        <v/>
      </c>
      <c r="CJ117" s="7">
        <f>IF(A117="","",IF((A117+74)&gt;Model!$B$4,0,MAX(0,Model!$B$6-IF((A117+74)&gt;=Model!$B$11,Model!$B$20,0)-IF(74&lt;Model!$B$15,Model!$B$22,0))/(1-Model!$B$9)/(1+Model!$B$18)^74))</f>
        <v/>
      </c>
      <c r="CK117" s="7">
        <f>IF(A117="","",IF((A117+75)&gt;Model!$B$4,0,MAX(0,Model!$B$6-IF((A117+75)&gt;=Model!$B$11,Model!$B$20,0)-IF(75&lt;Model!$B$15,Model!$B$22,0))/(1-Model!$B$9)/(1+Model!$B$18)^75))</f>
        <v/>
      </c>
      <c r="CL117" s="7">
        <f>IF(A117="","",IF((A117+76)&gt;Model!$B$4,0,MAX(0,Model!$B$6-IF((A117+76)&gt;=Model!$B$11,Model!$B$20,0)-IF(76&lt;Model!$B$15,Model!$B$22,0))/(1-Model!$B$9)/(1+Model!$B$18)^76))</f>
        <v/>
      </c>
      <c r="CM117" s="7">
        <f>IF(A117="","",IF((A117+77)&gt;Model!$B$4,0,MAX(0,Model!$B$6-IF((A117+77)&gt;=Model!$B$11,Model!$B$20,0)-IF(77&lt;Model!$B$15,Model!$B$22,0))/(1-Model!$B$9)/(1+Model!$B$18)^77))</f>
        <v/>
      </c>
      <c r="CN117" s="7">
        <f>IF(A117="","",IF((A117+78)&gt;Model!$B$4,0,MAX(0,Model!$B$6-IF((A117+78)&gt;=Model!$B$11,Model!$B$20,0)-IF(78&lt;Model!$B$15,Model!$B$22,0))/(1-Model!$B$9)/(1+Model!$B$18)^78))</f>
        <v/>
      </c>
      <c r="CO117" s="7">
        <f>IF(A117="","",IF((A117+79)&gt;Model!$B$4,0,MAX(0,Model!$B$6-IF((A117+79)&gt;=Model!$B$11,Model!$B$20,0)-IF(79&lt;Model!$B$15,Model!$B$22,0))/(1-Model!$B$9)/(1+Model!$B$18)^79))</f>
        <v/>
      </c>
      <c r="CP117" s="7">
        <f>IF(A117="","",IF((A117+80)&gt;Model!$B$4,0,MAX(0,Model!$B$6-IF((A117+80)&gt;=Model!$B$11,Model!$B$20,0)-IF(80&lt;Model!$B$15,Model!$B$22,0))/(1-Model!$B$9)/(1+Model!$B$18)^80))</f>
        <v/>
      </c>
      <c r="CQ117" s="7">
        <f>IF(A117="","",IF((A117+81)&gt;Model!$B$4,0,MAX(0,Model!$B$6-IF((A117+81)&gt;=Model!$B$11,Model!$B$20,0)-IF(81&lt;Model!$B$15,Model!$B$22,0))/(1-Model!$B$9)/(1+Model!$B$18)^81))</f>
        <v/>
      </c>
      <c r="CR117" s="7">
        <f>IF(A117="","",IF((A117+82)&gt;Model!$B$4,0,MAX(0,Model!$B$6-IF((A117+82)&gt;=Model!$B$11,Model!$B$20,0)-IF(82&lt;Model!$B$15,Model!$B$22,0))/(1-Model!$B$9)/(1+Model!$B$18)^82))</f>
        <v/>
      </c>
      <c r="CS117" s="7">
        <f>IF(A117="","",IF((A117+83)&gt;Model!$B$4,0,MAX(0,Model!$B$6-IF((A117+83)&gt;=Model!$B$11,Model!$B$20,0)-IF(83&lt;Model!$B$15,Model!$B$22,0))/(1-Model!$B$9)/(1+Model!$B$18)^83))</f>
        <v/>
      </c>
      <c r="CT117" s="7">
        <f>IF(A117="","",IF((A117+84)&gt;Model!$B$4,0,MAX(0,Model!$B$6-IF((A117+84)&gt;=Model!$B$11,Model!$B$20,0)-IF(84&lt;Model!$B$15,Model!$B$22,0))/(1-Model!$B$9)/(1+Model!$B$18)^84))</f>
        <v/>
      </c>
      <c r="CU117" s="7">
        <f>IF(A117="","",IF((A117+85)&gt;Model!$B$4,0,MAX(0,Model!$B$6-IF((A117+85)&gt;=Model!$B$11,Model!$B$20,0)-IF(85&lt;Model!$B$15,Model!$B$22,0))/(1-Model!$B$9)/(1+Model!$B$18)^85))</f>
        <v/>
      </c>
      <c r="CV117" s="7">
        <f>IF(A117="","",IF((A117+86)&gt;Model!$B$4,0,MAX(0,Model!$B$6-IF((A117+86)&gt;=Model!$B$11,Model!$B$20,0)-IF(86&lt;Model!$B$15,Model!$B$22,0))/(1-Model!$B$9)/(1+Model!$B$18)^86))</f>
        <v/>
      </c>
      <c r="CW117" s="7">
        <f>IF(A117="","",IF((A117+87)&gt;Model!$B$4,0,MAX(0,Model!$B$6-IF((A117+87)&gt;=Model!$B$11,Model!$B$20,0)-IF(87&lt;Model!$B$15,Model!$B$22,0))/(1-Model!$B$9)/(1+Model!$B$18)^87))</f>
        <v/>
      </c>
      <c r="CX117" s="7">
        <f>IF(A117="","",IF((A117+88)&gt;Model!$B$4,0,MAX(0,Model!$B$6-IF((A117+88)&gt;=Model!$B$11,Model!$B$20,0)-IF(88&lt;Model!$B$15,Model!$B$22,0))/(1-Model!$B$9)/(1+Model!$B$18)^88))</f>
        <v/>
      </c>
      <c r="CY117" s="7">
        <f>IF(A117="","",IF((A117+89)&gt;Model!$B$4,0,MAX(0,Model!$B$6-IF((A117+89)&gt;=Model!$B$11,Model!$B$20,0)-IF(89&lt;Model!$B$15,Model!$B$22,0))/(1-Model!$B$9)/(1+Model!$B$18)^89))</f>
        <v/>
      </c>
      <c r="CZ117" s="7">
        <f>IF(A117="","",IF((A117+90)&gt;Model!$B$4,0,MAX(0,Model!$B$6-IF((A117+90)&gt;=Model!$B$11,Model!$B$20,0)-IF(90&lt;Model!$B$15,Model!$B$22,0))/(1-Model!$B$9)/(1+Model!$B$18)^90))</f>
        <v/>
      </c>
      <c r="DA117" s="7">
        <f>IF(A117="","",IF((A117+91)&gt;Model!$B$4,0,MAX(0,Model!$B$6-IF((A117+91)&gt;=Model!$B$11,Model!$B$20,0)-IF(91&lt;Model!$B$15,Model!$B$22,0))/(1-Model!$B$9)/(1+Model!$B$18)^91))</f>
        <v/>
      </c>
      <c r="DB117" s="7">
        <f>IF(A117="","",IF((A117+92)&gt;Model!$B$4,0,MAX(0,Model!$B$6-IF((A117+92)&gt;=Model!$B$11,Model!$B$20,0)-IF(92&lt;Model!$B$15,Model!$B$22,0))/(1-Model!$B$9)/(1+Model!$B$18)^92))</f>
        <v/>
      </c>
      <c r="DC117" s="7">
        <f>IF(A117="","",IF((A117+93)&gt;Model!$B$4,0,MAX(0,Model!$B$6-IF((A117+93)&gt;=Model!$B$11,Model!$B$20,0)-IF(93&lt;Model!$B$15,Model!$B$22,0))/(1-Model!$B$9)/(1+Model!$B$18)^93))</f>
        <v/>
      </c>
      <c r="DD117" s="7">
        <f>IF(A117="","",IF((A117+94)&gt;Model!$B$4,0,MAX(0,Model!$B$6-IF((A117+94)&gt;=Model!$B$11,Model!$B$20,0)-IF(94&lt;Model!$B$15,Model!$B$22,0))/(1-Model!$B$9)/(1+Model!$B$18)^94))</f>
        <v/>
      </c>
      <c r="DE117" s="7">
        <f>IF(A117="","",IF((A117+95)&gt;Model!$B$4,0,MAX(0,Model!$B$6-IF((A117+95)&gt;=Model!$B$11,Model!$B$20,0)-IF(95&lt;Model!$B$15,Model!$B$22,0))/(1-Model!$B$9)/(1+Model!$B$18)^95))</f>
        <v/>
      </c>
      <c r="DF117" s="7">
        <f>IF(A117="","",IF((A117+96)&gt;Model!$B$4,0,MAX(0,Model!$B$6-IF((A117+96)&gt;=Model!$B$11,Model!$B$20,0)-IF(96&lt;Model!$B$15,Model!$B$22,0))/(1-Model!$B$9)/(1+Model!$B$18)^96))</f>
        <v/>
      </c>
      <c r="DG117" s="7">
        <f>IF(A117="","",IF((A117+97)&gt;Model!$B$4,0,MAX(0,Model!$B$6-IF((A117+97)&gt;=Model!$B$11,Model!$B$20,0)-IF(97&lt;Model!$B$15,Model!$B$22,0))/(1-Model!$B$9)/(1+Model!$B$18)^97))</f>
        <v/>
      </c>
      <c r="DH117" s="7">
        <f>IF(A117="","",IF((A117+98)&gt;Model!$B$4,0,MAX(0,Model!$B$6-IF((A117+98)&gt;=Model!$B$11,Model!$B$20,0)-IF(98&lt;Model!$B$15,Model!$B$22,0))/(1-Model!$B$9)/(1+Model!$B$18)^98))</f>
        <v/>
      </c>
      <c r="DI117" s="7">
        <f>IF(A117="","",IF((A117+99)&gt;Model!$B$4,0,MAX(0,Model!$B$6-IF((A117+99)&gt;=Model!$B$11,Model!$B$20,0)-IF(99&lt;Model!$B$15,Model!$B$22,0))/(1-Model!$B$9)/(1+Model!$B$18)^99))</f>
        <v/>
      </c>
      <c r="DJ117" s="7">
        <f>IF(A117="","",IF((A117+100)&gt;Model!$B$4,0,MAX(0,Model!$B$6-IF((A117+100)&gt;=Model!$B$11,Model!$B$20,0)-IF(100&lt;Model!$B$15,Model!$B$22,0))/(1-Model!$B$9)/(1+Model!$B$18)^100))</f>
        <v/>
      </c>
      <c r="DK117" s="7">
        <f>IF(A117="","",IF((A117+101)&gt;Model!$B$4,0,MAX(0,Model!$B$6-IF((A117+101)&gt;=Model!$B$11,Model!$B$20,0)-IF(101&lt;Model!$B$15,Model!$B$22,0))/(1-Model!$B$9)/(1+Model!$B$18)^101))</f>
        <v/>
      </c>
      <c r="DL117" s="7">
        <f>IF(A117="","",IF((A117+102)&gt;Model!$B$4,0,MAX(0,Model!$B$6-IF((A117+102)&gt;=Model!$B$11,Model!$B$20,0)-IF(102&lt;Model!$B$15,Model!$B$22,0))/(1-Model!$B$9)/(1+Model!$B$18)^102))</f>
        <v/>
      </c>
      <c r="DM117" s="7">
        <f>IF(A117="","",IF((A117+103)&gt;Model!$B$4,0,MAX(0,Model!$B$6-IF((A117+103)&gt;=Model!$B$11,Model!$B$20,0)-IF(103&lt;Model!$B$15,Model!$B$22,0))/(1-Model!$B$9)/(1+Model!$B$18)^103))</f>
        <v/>
      </c>
      <c r="DN117" s="7">
        <f>IF(A117="","",IF((A117+104)&gt;Model!$B$4,0,MAX(0,Model!$B$6-IF((A117+104)&gt;=Model!$B$11,Model!$B$20,0)-IF(104&lt;Model!$B$15,Model!$B$22,0))/(1-Model!$B$9)/(1+Model!$B$18)^104))</f>
        <v/>
      </c>
      <c r="DO117" s="7">
        <f>IF(A117="","",IF((A117+105)&gt;Model!$B$4,0,MAX(0,Model!$B$6-IF((A117+105)&gt;=Model!$B$11,Model!$B$20,0)-IF(105&lt;Model!$B$15,Model!$B$22,0))/(1-Model!$B$9)/(1+Model!$B$18)^105))</f>
        <v/>
      </c>
      <c r="DP117" s="7">
        <f>IF(A117="","",IF((A117+106)&gt;Model!$B$4,0,MAX(0,Model!$B$6-IF((A117+106)&gt;=Model!$B$11,Model!$B$20,0)-IF(106&lt;Model!$B$15,Model!$B$22,0))/(1-Model!$B$9)/(1+Model!$B$18)^106))</f>
        <v/>
      </c>
      <c r="DQ117" s="7">
        <f>IF(A117="","",IF((A117+107)&gt;Model!$B$4,0,MAX(0,Model!$B$6-IF((A117+107)&gt;=Model!$B$11,Model!$B$20,0)-IF(107&lt;Model!$B$15,Model!$B$22,0))/(1-Model!$B$9)/(1+Model!$B$18)^107))</f>
        <v/>
      </c>
      <c r="DR117" s="7">
        <f>IF(A117="","",IF((A117+108)&gt;Model!$B$4,0,MAX(0,Model!$B$6-IF((A117+108)&gt;=Model!$B$11,Model!$B$20,0)-IF(108&lt;Model!$B$15,Model!$B$22,0))/(1-Model!$B$9)/(1+Model!$B$18)^108))</f>
        <v/>
      </c>
      <c r="DS117" s="7">
        <f>IF(A117="","",IF((A117+109)&gt;Model!$B$4,0,MAX(0,Model!$B$6-IF((A117+109)&gt;=Model!$B$11,Model!$B$20,0)-IF(109&lt;Model!$B$15,Model!$B$22,0))/(1-Model!$B$9)/(1+Model!$B$18)^109))</f>
        <v/>
      </c>
      <c r="DT117" s="7">
        <f>IF(A117="","",IF((A117+110)&gt;Model!$B$4,0,MAX(0,Model!$B$6-IF((A117+110)&gt;=Model!$B$11,Model!$B$20,0)-IF(110&lt;Model!$B$15,Model!$B$22,0))/(1-Model!$B$9)/(1+Model!$B$18)^110))</f>
        <v/>
      </c>
      <c r="DU117" s="7">
        <f>IF(A117="","",IF((A117+111)&gt;Model!$B$4,0,MAX(0,Model!$B$6-IF((A117+111)&gt;=Model!$B$11,Model!$B$20,0)-IF(111&lt;Model!$B$15,Model!$B$22,0))/(1-Model!$B$9)/(1+Model!$B$18)^111))</f>
        <v/>
      </c>
      <c r="DV117" s="7">
        <f>IF(A117="","",IF((A117+112)&gt;Model!$B$4,0,MAX(0,Model!$B$6-IF((A117+112)&gt;=Model!$B$11,Model!$B$20,0)-IF(112&lt;Model!$B$15,Model!$B$22,0))/(1-Model!$B$9)/(1+Model!$B$18)^112))</f>
        <v/>
      </c>
      <c r="DW117" s="7">
        <f>IF(A117="","",IF((A117+113)&gt;Model!$B$4,0,MAX(0,Model!$B$6-IF((A117+113)&gt;=Model!$B$11,Model!$B$20,0)-IF(113&lt;Model!$B$15,Model!$B$22,0))/(1-Model!$B$9)/(1+Model!$B$18)^113))</f>
        <v/>
      </c>
      <c r="DX117" s="7">
        <f>IF(A117="","",IF((A117+114)&gt;Model!$B$4,0,MAX(0,Model!$B$6-IF((A117+114)&gt;=Model!$B$11,Model!$B$20,0)-IF(114&lt;Model!$B$15,Model!$B$22,0))/(1-Model!$B$9)/(1+Model!$B$18)^114))</f>
        <v/>
      </c>
      <c r="DY117" s="7">
        <f>IF(A117="","",IF((A117+115)&gt;Model!$B$4,0,MAX(0,Model!$B$6-IF((A117+115)&gt;=Model!$B$11,Model!$B$20,0)-IF(115&lt;Model!$B$15,Model!$B$22,0))/(1-Model!$B$9)/(1+Model!$B$18)^115))</f>
        <v/>
      </c>
      <c r="DZ117" s="7">
        <f>IF(A117="","",IF((A117+116)&gt;Model!$B$4,0,MAX(0,Model!$B$6-IF((A117+116)&gt;=Model!$B$11,Model!$B$20,0)-IF(116&lt;Model!$B$15,Model!$B$22,0))/(1-Model!$B$9)/(1+Model!$B$18)^116))</f>
        <v/>
      </c>
      <c r="EA117" s="7">
        <f>IF(A117="","",IF((A117+117)&gt;Model!$B$4,0,MAX(0,Model!$B$6-IF((A117+117)&gt;=Model!$B$11,Model!$B$20,0)-IF(117&lt;Model!$B$15,Model!$B$22,0))/(1-Model!$B$9)/(1+Model!$B$18)^117))</f>
        <v/>
      </c>
      <c r="EB117" s="7">
        <f>IF(A117="","",IF((A117+118)&gt;Model!$B$4,0,MAX(0,Model!$B$6-IF((A117+118)&gt;=Model!$B$11,Model!$B$20,0)-IF(118&lt;Model!$B$15,Model!$B$22,0))/(1-Model!$B$9)/(1+Model!$B$18)^118))</f>
        <v/>
      </c>
      <c r="EC117" s="7">
        <f>IF(A117="","",IF((A117+119)&gt;Model!$B$4,0,MAX(0,Model!$B$6-IF((A117+119)&gt;=Model!$B$11,Model!$B$20,0)-IF(119&lt;Model!$B$15,Model!$B$22,0))/(1-Model!$B$9)/(1+Model!$B$18)^119))</f>
        <v/>
      </c>
      <c r="ED117" s="7">
        <f>IF(A117="","",IF((A117+120)&gt;Model!$B$4,0,MAX(0,Model!$B$6-IF((A117+120)&gt;=Model!$B$11,Model!$B$20,0)-IF(120&lt;Model!$B$15,Model!$B$22,0))/(1-Model!$B$9)/(1+Model!$B$18)^120))</f>
        <v/>
      </c>
    </row>
    <row r="118">
      <c r="A118">
        <f>IF(Model!$B$10+ROW()-2&lt;=Model!$B$4,Model!$B$10+ROW()-2,"")</f>
        <v/>
      </c>
      <c r="B118">
        <f>IF(A118="","",A118-Model!$B$10)</f>
        <v/>
      </c>
      <c r="C118" s="7">
        <f>IF(A118="","",Model!$B$5*(1+Model!$B$18)^B118)</f>
        <v/>
      </c>
      <c r="D118" s="7">
        <f>IF(A118="","",SUM(N118:ED118))</f>
        <v/>
      </c>
      <c r="E118" s="7">
        <f>IF(A118="","",IF(A118&gt;=Model!$B$11,Model!$B$20,0))</f>
        <v/>
      </c>
      <c r="F118" s="7">
        <f>IF(A118="","",IF(Model!$B$15&gt;0,Model!$B$22,0))</f>
        <v/>
      </c>
      <c r="G118" s="7">
        <f>IF(A118="","",E118+F118)</f>
        <v/>
      </c>
      <c r="H118" s="7">
        <f>IF(A118="","",MAX(0,Model!$B$6-G118))</f>
        <v/>
      </c>
      <c r="I118" s="7">
        <f>IF(A118="","",H118/(1-Model!$B$9))</f>
        <v/>
      </c>
      <c r="J118" s="7">
        <f>IF(A118="","",C118-D118)</f>
        <v/>
      </c>
      <c r="K118">
        <f>IF(A118="","",C118&gt;=D118)</f>
        <v/>
      </c>
      <c r="L118" s="7">
        <f>IF(A118="","",IF(A118&gt;=Model!$B$11,Model!$B$19*(1+Model!$B$13)^B118,0))</f>
        <v/>
      </c>
      <c r="M118" s="7">
        <f>IF(A118="","",IF(Model!$B$15&gt;0,Model!$B$21*(1+Model!$B$13)^B118,0))</f>
        <v/>
      </c>
      <c r="N118" s="7">
        <f>IF(A118="","",IF((A118+0)&gt;Model!$B$4,0,MAX(0,Model!$B$6-IF((A118+0)&gt;=Model!$B$11,Model!$B$20,0)-IF(0&lt;Model!$B$15,Model!$B$22,0))/(1-Model!$B$9)/(1+Model!$B$18)^0))</f>
        <v/>
      </c>
      <c r="O118" s="7">
        <f>IF(A118="","",IF((A118+1)&gt;Model!$B$4,0,MAX(0,Model!$B$6-IF((A118+1)&gt;=Model!$B$11,Model!$B$20,0)-IF(1&lt;Model!$B$15,Model!$B$22,0))/(1-Model!$B$9)/(1+Model!$B$18)^1))</f>
        <v/>
      </c>
      <c r="P118" s="7">
        <f>IF(A118="","",IF((A118+2)&gt;Model!$B$4,0,MAX(0,Model!$B$6-IF((A118+2)&gt;=Model!$B$11,Model!$B$20,0)-IF(2&lt;Model!$B$15,Model!$B$22,0))/(1-Model!$B$9)/(1+Model!$B$18)^2))</f>
        <v/>
      </c>
      <c r="Q118" s="7">
        <f>IF(A118="","",IF((A118+3)&gt;Model!$B$4,0,MAX(0,Model!$B$6-IF((A118+3)&gt;=Model!$B$11,Model!$B$20,0)-IF(3&lt;Model!$B$15,Model!$B$22,0))/(1-Model!$B$9)/(1+Model!$B$18)^3))</f>
        <v/>
      </c>
      <c r="R118" s="7">
        <f>IF(A118="","",IF((A118+4)&gt;Model!$B$4,0,MAX(0,Model!$B$6-IF((A118+4)&gt;=Model!$B$11,Model!$B$20,0)-IF(4&lt;Model!$B$15,Model!$B$22,0))/(1-Model!$B$9)/(1+Model!$B$18)^4))</f>
        <v/>
      </c>
      <c r="S118" s="7">
        <f>IF(A118="","",IF((A118+5)&gt;Model!$B$4,0,MAX(0,Model!$B$6-IF((A118+5)&gt;=Model!$B$11,Model!$B$20,0)-IF(5&lt;Model!$B$15,Model!$B$22,0))/(1-Model!$B$9)/(1+Model!$B$18)^5))</f>
        <v/>
      </c>
      <c r="T118" s="7">
        <f>IF(A118="","",IF((A118+6)&gt;Model!$B$4,0,MAX(0,Model!$B$6-IF((A118+6)&gt;=Model!$B$11,Model!$B$20,0)-IF(6&lt;Model!$B$15,Model!$B$22,0))/(1-Model!$B$9)/(1+Model!$B$18)^6))</f>
        <v/>
      </c>
      <c r="U118" s="7">
        <f>IF(A118="","",IF((A118+7)&gt;Model!$B$4,0,MAX(0,Model!$B$6-IF((A118+7)&gt;=Model!$B$11,Model!$B$20,0)-IF(7&lt;Model!$B$15,Model!$B$22,0))/(1-Model!$B$9)/(1+Model!$B$18)^7))</f>
        <v/>
      </c>
      <c r="V118" s="7">
        <f>IF(A118="","",IF((A118+8)&gt;Model!$B$4,0,MAX(0,Model!$B$6-IF((A118+8)&gt;=Model!$B$11,Model!$B$20,0)-IF(8&lt;Model!$B$15,Model!$B$22,0))/(1-Model!$B$9)/(1+Model!$B$18)^8))</f>
        <v/>
      </c>
      <c r="W118" s="7">
        <f>IF(A118="","",IF((A118+9)&gt;Model!$B$4,0,MAX(0,Model!$B$6-IF((A118+9)&gt;=Model!$B$11,Model!$B$20,0)-IF(9&lt;Model!$B$15,Model!$B$22,0))/(1-Model!$B$9)/(1+Model!$B$18)^9))</f>
        <v/>
      </c>
      <c r="X118" s="7">
        <f>IF(A118="","",IF((A118+10)&gt;Model!$B$4,0,MAX(0,Model!$B$6-IF((A118+10)&gt;=Model!$B$11,Model!$B$20,0)-IF(10&lt;Model!$B$15,Model!$B$22,0))/(1-Model!$B$9)/(1+Model!$B$18)^10))</f>
        <v/>
      </c>
      <c r="Y118" s="7">
        <f>IF(A118="","",IF((A118+11)&gt;Model!$B$4,0,MAX(0,Model!$B$6-IF((A118+11)&gt;=Model!$B$11,Model!$B$20,0)-IF(11&lt;Model!$B$15,Model!$B$22,0))/(1-Model!$B$9)/(1+Model!$B$18)^11))</f>
        <v/>
      </c>
      <c r="Z118" s="7">
        <f>IF(A118="","",IF((A118+12)&gt;Model!$B$4,0,MAX(0,Model!$B$6-IF((A118+12)&gt;=Model!$B$11,Model!$B$20,0)-IF(12&lt;Model!$B$15,Model!$B$22,0))/(1-Model!$B$9)/(1+Model!$B$18)^12))</f>
        <v/>
      </c>
      <c r="AA118" s="7">
        <f>IF(A118="","",IF((A118+13)&gt;Model!$B$4,0,MAX(0,Model!$B$6-IF((A118+13)&gt;=Model!$B$11,Model!$B$20,0)-IF(13&lt;Model!$B$15,Model!$B$22,0))/(1-Model!$B$9)/(1+Model!$B$18)^13))</f>
        <v/>
      </c>
      <c r="AB118" s="7">
        <f>IF(A118="","",IF((A118+14)&gt;Model!$B$4,0,MAX(0,Model!$B$6-IF((A118+14)&gt;=Model!$B$11,Model!$B$20,0)-IF(14&lt;Model!$B$15,Model!$B$22,0))/(1-Model!$B$9)/(1+Model!$B$18)^14))</f>
        <v/>
      </c>
      <c r="AC118" s="7">
        <f>IF(A118="","",IF((A118+15)&gt;Model!$B$4,0,MAX(0,Model!$B$6-IF((A118+15)&gt;=Model!$B$11,Model!$B$20,0)-IF(15&lt;Model!$B$15,Model!$B$22,0))/(1-Model!$B$9)/(1+Model!$B$18)^15))</f>
        <v/>
      </c>
      <c r="AD118" s="7">
        <f>IF(A118="","",IF((A118+16)&gt;Model!$B$4,0,MAX(0,Model!$B$6-IF((A118+16)&gt;=Model!$B$11,Model!$B$20,0)-IF(16&lt;Model!$B$15,Model!$B$22,0))/(1-Model!$B$9)/(1+Model!$B$18)^16))</f>
        <v/>
      </c>
      <c r="AE118" s="7">
        <f>IF(A118="","",IF((A118+17)&gt;Model!$B$4,0,MAX(0,Model!$B$6-IF((A118+17)&gt;=Model!$B$11,Model!$B$20,0)-IF(17&lt;Model!$B$15,Model!$B$22,0))/(1-Model!$B$9)/(1+Model!$B$18)^17))</f>
        <v/>
      </c>
      <c r="AF118" s="7">
        <f>IF(A118="","",IF((A118+18)&gt;Model!$B$4,0,MAX(0,Model!$B$6-IF((A118+18)&gt;=Model!$B$11,Model!$B$20,0)-IF(18&lt;Model!$B$15,Model!$B$22,0))/(1-Model!$B$9)/(1+Model!$B$18)^18))</f>
        <v/>
      </c>
      <c r="AG118" s="7">
        <f>IF(A118="","",IF((A118+19)&gt;Model!$B$4,0,MAX(0,Model!$B$6-IF((A118+19)&gt;=Model!$B$11,Model!$B$20,0)-IF(19&lt;Model!$B$15,Model!$B$22,0))/(1-Model!$B$9)/(1+Model!$B$18)^19))</f>
        <v/>
      </c>
      <c r="AH118" s="7">
        <f>IF(A118="","",IF((A118+20)&gt;Model!$B$4,0,MAX(0,Model!$B$6-IF((A118+20)&gt;=Model!$B$11,Model!$B$20,0)-IF(20&lt;Model!$B$15,Model!$B$22,0))/(1-Model!$B$9)/(1+Model!$B$18)^20))</f>
        <v/>
      </c>
      <c r="AI118" s="7">
        <f>IF(A118="","",IF((A118+21)&gt;Model!$B$4,0,MAX(0,Model!$B$6-IF((A118+21)&gt;=Model!$B$11,Model!$B$20,0)-IF(21&lt;Model!$B$15,Model!$B$22,0))/(1-Model!$B$9)/(1+Model!$B$18)^21))</f>
        <v/>
      </c>
      <c r="AJ118" s="7">
        <f>IF(A118="","",IF((A118+22)&gt;Model!$B$4,0,MAX(0,Model!$B$6-IF((A118+22)&gt;=Model!$B$11,Model!$B$20,0)-IF(22&lt;Model!$B$15,Model!$B$22,0))/(1-Model!$B$9)/(1+Model!$B$18)^22))</f>
        <v/>
      </c>
      <c r="AK118" s="7">
        <f>IF(A118="","",IF((A118+23)&gt;Model!$B$4,0,MAX(0,Model!$B$6-IF((A118+23)&gt;=Model!$B$11,Model!$B$20,0)-IF(23&lt;Model!$B$15,Model!$B$22,0))/(1-Model!$B$9)/(1+Model!$B$18)^23))</f>
        <v/>
      </c>
      <c r="AL118" s="7">
        <f>IF(A118="","",IF((A118+24)&gt;Model!$B$4,0,MAX(0,Model!$B$6-IF((A118+24)&gt;=Model!$B$11,Model!$B$20,0)-IF(24&lt;Model!$B$15,Model!$B$22,0))/(1-Model!$B$9)/(1+Model!$B$18)^24))</f>
        <v/>
      </c>
      <c r="AM118" s="7">
        <f>IF(A118="","",IF((A118+25)&gt;Model!$B$4,0,MAX(0,Model!$B$6-IF((A118+25)&gt;=Model!$B$11,Model!$B$20,0)-IF(25&lt;Model!$B$15,Model!$B$22,0))/(1-Model!$B$9)/(1+Model!$B$18)^25))</f>
        <v/>
      </c>
      <c r="AN118" s="7">
        <f>IF(A118="","",IF((A118+26)&gt;Model!$B$4,0,MAX(0,Model!$B$6-IF((A118+26)&gt;=Model!$B$11,Model!$B$20,0)-IF(26&lt;Model!$B$15,Model!$B$22,0))/(1-Model!$B$9)/(1+Model!$B$18)^26))</f>
        <v/>
      </c>
      <c r="AO118" s="7">
        <f>IF(A118="","",IF((A118+27)&gt;Model!$B$4,0,MAX(0,Model!$B$6-IF((A118+27)&gt;=Model!$B$11,Model!$B$20,0)-IF(27&lt;Model!$B$15,Model!$B$22,0))/(1-Model!$B$9)/(1+Model!$B$18)^27))</f>
        <v/>
      </c>
      <c r="AP118" s="7">
        <f>IF(A118="","",IF((A118+28)&gt;Model!$B$4,0,MAX(0,Model!$B$6-IF((A118+28)&gt;=Model!$B$11,Model!$B$20,0)-IF(28&lt;Model!$B$15,Model!$B$22,0))/(1-Model!$B$9)/(1+Model!$B$18)^28))</f>
        <v/>
      </c>
      <c r="AQ118" s="7">
        <f>IF(A118="","",IF((A118+29)&gt;Model!$B$4,0,MAX(0,Model!$B$6-IF((A118+29)&gt;=Model!$B$11,Model!$B$20,0)-IF(29&lt;Model!$B$15,Model!$B$22,0))/(1-Model!$B$9)/(1+Model!$B$18)^29))</f>
        <v/>
      </c>
      <c r="AR118" s="7">
        <f>IF(A118="","",IF((A118+30)&gt;Model!$B$4,0,MAX(0,Model!$B$6-IF((A118+30)&gt;=Model!$B$11,Model!$B$20,0)-IF(30&lt;Model!$B$15,Model!$B$22,0))/(1-Model!$B$9)/(1+Model!$B$18)^30))</f>
        <v/>
      </c>
      <c r="AS118" s="7">
        <f>IF(A118="","",IF((A118+31)&gt;Model!$B$4,0,MAX(0,Model!$B$6-IF((A118+31)&gt;=Model!$B$11,Model!$B$20,0)-IF(31&lt;Model!$B$15,Model!$B$22,0))/(1-Model!$B$9)/(1+Model!$B$18)^31))</f>
        <v/>
      </c>
      <c r="AT118" s="7">
        <f>IF(A118="","",IF((A118+32)&gt;Model!$B$4,0,MAX(0,Model!$B$6-IF((A118+32)&gt;=Model!$B$11,Model!$B$20,0)-IF(32&lt;Model!$B$15,Model!$B$22,0))/(1-Model!$B$9)/(1+Model!$B$18)^32))</f>
        <v/>
      </c>
      <c r="AU118" s="7">
        <f>IF(A118="","",IF((A118+33)&gt;Model!$B$4,0,MAX(0,Model!$B$6-IF((A118+33)&gt;=Model!$B$11,Model!$B$20,0)-IF(33&lt;Model!$B$15,Model!$B$22,0))/(1-Model!$B$9)/(1+Model!$B$18)^33))</f>
        <v/>
      </c>
      <c r="AV118" s="7">
        <f>IF(A118="","",IF((A118+34)&gt;Model!$B$4,0,MAX(0,Model!$B$6-IF((A118+34)&gt;=Model!$B$11,Model!$B$20,0)-IF(34&lt;Model!$B$15,Model!$B$22,0))/(1-Model!$B$9)/(1+Model!$B$18)^34))</f>
        <v/>
      </c>
      <c r="AW118" s="7">
        <f>IF(A118="","",IF((A118+35)&gt;Model!$B$4,0,MAX(0,Model!$B$6-IF((A118+35)&gt;=Model!$B$11,Model!$B$20,0)-IF(35&lt;Model!$B$15,Model!$B$22,0))/(1-Model!$B$9)/(1+Model!$B$18)^35))</f>
        <v/>
      </c>
      <c r="AX118" s="7">
        <f>IF(A118="","",IF((A118+36)&gt;Model!$B$4,0,MAX(0,Model!$B$6-IF((A118+36)&gt;=Model!$B$11,Model!$B$20,0)-IF(36&lt;Model!$B$15,Model!$B$22,0))/(1-Model!$B$9)/(1+Model!$B$18)^36))</f>
        <v/>
      </c>
      <c r="AY118" s="7">
        <f>IF(A118="","",IF((A118+37)&gt;Model!$B$4,0,MAX(0,Model!$B$6-IF((A118+37)&gt;=Model!$B$11,Model!$B$20,0)-IF(37&lt;Model!$B$15,Model!$B$22,0))/(1-Model!$B$9)/(1+Model!$B$18)^37))</f>
        <v/>
      </c>
      <c r="AZ118" s="7">
        <f>IF(A118="","",IF((A118+38)&gt;Model!$B$4,0,MAX(0,Model!$B$6-IF((A118+38)&gt;=Model!$B$11,Model!$B$20,0)-IF(38&lt;Model!$B$15,Model!$B$22,0))/(1-Model!$B$9)/(1+Model!$B$18)^38))</f>
        <v/>
      </c>
      <c r="BA118" s="7">
        <f>IF(A118="","",IF((A118+39)&gt;Model!$B$4,0,MAX(0,Model!$B$6-IF((A118+39)&gt;=Model!$B$11,Model!$B$20,0)-IF(39&lt;Model!$B$15,Model!$B$22,0))/(1-Model!$B$9)/(1+Model!$B$18)^39))</f>
        <v/>
      </c>
      <c r="BB118" s="7">
        <f>IF(A118="","",IF((A118+40)&gt;Model!$B$4,0,MAX(0,Model!$B$6-IF((A118+40)&gt;=Model!$B$11,Model!$B$20,0)-IF(40&lt;Model!$B$15,Model!$B$22,0))/(1-Model!$B$9)/(1+Model!$B$18)^40))</f>
        <v/>
      </c>
      <c r="BC118" s="7">
        <f>IF(A118="","",IF((A118+41)&gt;Model!$B$4,0,MAX(0,Model!$B$6-IF((A118+41)&gt;=Model!$B$11,Model!$B$20,0)-IF(41&lt;Model!$B$15,Model!$B$22,0))/(1-Model!$B$9)/(1+Model!$B$18)^41))</f>
        <v/>
      </c>
      <c r="BD118" s="7">
        <f>IF(A118="","",IF((A118+42)&gt;Model!$B$4,0,MAX(0,Model!$B$6-IF((A118+42)&gt;=Model!$B$11,Model!$B$20,0)-IF(42&lt;Model!$B$15,Model!$B$22,0))/(1-Model!$B$9)/(1+Model!$B$18)^42))</f>
        <v/>
      </c>
      <c r="BE118" s="7">
        <f>IF(A118="","",IF((A118+43)&gt;Model!$B$4,0,MAX(0,Model!$B$6-IF((A118+43)&gt;=Model!$B$11,Model!$B$20,0)-IF(43&lt;Model!$B$15,Model!$B$22,0))/(1-Model!$B$9)/(1+Model!$B$18)^43))</f>
        <v/>
      </c>
      <c r="BF118" s="7">
        <f>IF(A118="","",IF((A118+44)&gt;Model!$B$4,0,MAX(0,Model!$B$6-IF((A118+44)&gt;=Model!$B$11,Model!$B$20,0)-IF(44&lt;Model!$B$15,Model!$B$22,0))/(1-Model!$B$9)/(1+Model!$B$18)^44))</f>
        <v/>
      </c>
      <c r="BG118" s="7">
        <f>IF(A118="","",IF((A118+45)&gt;Model!$B$4,0,MAX(0,Model!$B$6-IF((A118+45)&gt;=Model!$B$11,Model!$B$20,0)-IF(45&lt;Model!$B$15,Model!$B$22,0))/(1-Model!$B$9)/(1+Model!$B$18)^45))</f>
        <v/>
      </c>
      <c r="BH118" s="7">
        <f>IF(A118="","",IF((A118+46)&gt;Model!$B$4,0,MAX(0,Model!$B$6-IF((A118+46)&gt;=Model!$B$11,Model!$B$20,0)-IF(46&lt;Model!$B$15,Model!$B$22,0))/(1-Model!$B$9)/(1+Model!$B$18)^46))</f>
        <v/>
      </c>
      <c r="BI118" s="7">
        <f>IF(A118="","",IF((A118+47)&gt;Model!$B$4,0,MAX(0,Model!$B$6-IF((A118+47)&gt;=Model!$B$11,Model!$B$20,0)-IF(47&lt;Model!$B$15,Model!$B$22,0))/(1-Model!$B$9)/(1+Model!$B$18)^47))</f>
        <v/>
      </c>
      <c r="BJ118" s="7">
        <f>IF(A118="","",IF((A118+48)&gt;Model!$B$4,0,MAX(0,Model!$B$6-IF((A118+48)&gt;=Model!$B$11,Model!$B$20,0)-IF(48&lt;Model!$B$15,Model!$B$22,0))/(1-Model!$B$9)/(1+Model!$B$18)^48))</f>
        <v/>
      </c>
      <c r="BK118" s="7">
        <f>IF(A118="","",IF((A118+49)&gt;Model!$B$4,0,MAX(0,Model!$B$6-IF((A118+49)&gt;=Model!$B$11,Model!$B$20,0)-IF(49&lt;Model!$B$15,Model!$B$22,0))/(1-Model!$B$9)/(1+Model!$B$18)^49))</f>
        <v/>
      </c>
      <c r="BL118" s="7">
        <f>IF(A118="","",IF((A118+50)&gt;Model!$B$4,0,MAX(0,Model!$B$6-IF((A118+50)&gt;=Model!$B$11,Model!$B$20,0)-IF(50&lt;Model!$B$15,Model!$B$22,0))/(1-Model!$B$9)/(1+Model!$B$18)^50))</f>
        <v/>
      </c>
      <c r="BM118" s="7">
        <f>IF(A118="","",IF((A118+51)&gt;Model!$B$4,0,MAX(0,Model!$B$6-IF((A118+51)&gt;=Model!$B$11,Model!$B$20,0)-IF(51&lt;Model!$B$15,Model!$B$22,0))/(1-Model!$B$9)/(1+Model!$B$18)^51))</f>
        <v/>
      </c>
      <c r="BN118" s="7">
        <f>IF(A118="","",IF((A118+52)&gt;Model!$B$4,0,MAX(0,Model!$B$6-IF((A118+52)&gt;=Model!$B$11,Model!$B$20,0)-IF(52&lt;Model!$B$15,Model!$B$22,0))/(1-Model!$B$9)/(1+Model!$B$18)^52))</f>
        <v/>
      </c>
      <c r="BO118" s="7">
        <f>IF(A118="","",IF((A118+53)&gt;Model!$B$4,0,MAX(0,Model!$B$6-IF((A118+53)&gt;=Model!$B$11,Model!$B$20,0)-IF(53&lt;Model!$B$15,Model!$B$22,0))/(1-Model!$B$9)/(1+Model!$B$18)^53))</f>
        <v/>
      </c>
      <c r="BP118" s="7">
        <f>IF(A118="","",IF((A118+54)&gt;Model!$B$4,0,MAX(0,Model!$B$6-IF((A118+54)&gt;=Model!$B$11,Model!$B$20,0)-IF(54&lt;Model!$B$15,Model!$B$22,0))/(1-Model!$B$9)/(1+Model!$B$18)^54))</f>
        <v/>
      </c>
      <c r="BQ118" s="7">
        <f>IF(A118="","",IF((A118+55)&gt;Model!$B$4,0,MAX(0,Model!$B$6-IF((A118+55)&gt;=Model!$B$11,Model!$B$20,0)-IF(55&lt;Model!$B$15,Model!$B$22,0))/(1-Model!$B$9)/(1+Model!$B$18)^55))</f>
        <v/>
      </c>
      <c r="BR118" s="7">
        <f>IF(A118="","",IF((A118+56)&gt;Model!$B$4,0,MAX(0,Model!$B$6-IF((A118+56)&gt;=Model!$B$11,Model!$B$20,0)-IF(56&lt;Model!$B$15,Model!$B$22,0))/(1-Model!$B$9)/(1+Model!$B$18)^56))</f>
        <v/>
      </c>
      <c r="BS118" s="7">
        <f>IF(A118="","",IF((A118+57)&gt;Model!$B$4,0,MAX(0,Model!$B$6-IF((A118+57)&gt;=Model!$B$11,Model!$B$20,0)-IF(57&lt;Model!$B$15,Model!$B$22,0))/(1-Model!$B$9)/(1+Model!$B$18)^57))</f>
        <v/>
      </c>
      <c r="BT118" s="7">
        <f>IF(A118="","",IF((A118+58)&gt;Model!$B$4,0,MAX(0,Model!$B$6-IF((A118+58)&gt;=Model!$B$11,Model!$B$20,0)-IF(58&lt;Model!$B$15,Model!$B$22,0))/(1-Model!$B$9)/(1+Model!$B$18)^58))</f>
        <v/>
      </c>
      <c r="BU118" s="7">
        <f>IF(A118="","",IF((A118+59)&gt;Model!$B$4,0,MAX(0,Model!$B$6-IF((A118+59)&gt;=Model!$B$11,Model!$B$20,0)-IF(59&lt;Model!$B$15,Model!$B$22,0))/(1-Model!$B$9)/(1+Model!$B$18)^59))</f>
        <v/>
      </c>
      <c r="BV118" s="7">
        <f>IF(A118="","",IF((A118+60)&gt;Model!$B$4,0,MAX(0,Model!$B$6-IF((A118+60)&gt;=Model!$B$11,Model!$B$20,0)-IF(60&lt;Model!$B$15,Model!$B$22,0))/(1-Model!$B$9)/(1+Model!$B$18)^60))</f>
        <v/>
      </c>
      <c r="BW118" s="7">
        <f>IF(A118="","",IF((A118+61)&gt;Model!$B$4,0,MAX(0,Model!$B$6-IF((A118+61)&gt;=Model!$B$11,Model!$B$20,0)-IF(61&lt;Model!$B$15,Model!$B$22,0))/(1-Model!$B$9)/(1+Model!$B$18)^61))</f>
        <v/>
      </c>
      <c r="BX118" s="7">
        <f>IF(A118="","",IF((A118+62)&gt;Model!$B$4,0,MAX(0,Model!$B$6-IF((A118+62)&gt;=Model!$B$11,Model!$B$20,0)-IF(62&lt;Model!$B$15,Model!$B$22,0))/(1-Model!$B$9)/(1+Model!$B$18)^62))</f>
        <v/>
      </c>
      <c r="BY118" s="7">
        <f>IF(A118="","",IF((A118+63)&gt;Model!$B$4,0,MAX(0,Model!$B$6-IF((A118+63)&gt;=Model!$B$11,Model!$B$20,0)-IF(63&lt;Model!$B$15,Model!$B$22,0))/(1-Model!$B$9)/(1+Model!$B$18)^63))</f>
        <v/>
      </c>
      <c r="BZ118" s="7">
        <f>IF(A118="","",IF((A118+64)&gt;Model!$B$4,0,MAX(0,Model!$B$6-IF((A118+64)&gt;=Model!$B$11,Model!$B$20,0)-IF(64&lt;Model!$B$15,Model!$B$22,0))/(1-Model!$B$9)/(1+Model!$B$18)^64))</f>
        <v/>
      </c>
      <c r="CA118" s="7">
        <f>IF(A118="","",IF((A118+65)&gt;Model!$B$4,0,MAX(0,Model!$B$6-IF((A118+65)&gt;=Model!$B$11,Model!$B$20,0)-IF(65&lt;Model!$B$15,Model!$B$22,0))/(1-Model!$B$9)/(1+Model!$B$18)^65))</f>
        <v/>
      </c>
      <c r="CB118" s="7">
        <f>IF(A118="","",IF((A118+66)&gt;Model!$B$4,0,MAX(0,Model!$B$6-IF((A118+66)&gt;=Model!$B$11,Model!$B$20,0)-IF(66&lt;Model!$B$15,Model!$B$22,0))/(1-Model!$B$9)/(1+Model!$B$18)^66))</f>
        <v/>
      </c>
      <c r="CC118" s="7">
        <f>IF(A118="","",IF((A118+67)&gt;Model!$B$4,0,MAX(0,Model!$B$6-IF((A118+67)&gt;=Model!$B$11,Model!$B$20,0)-IF(67&lt;Model!$B$15,Model!$B$22,0))/(1-Model!$B$9)/(1+Model!$B$18)^67))</f>
        <v/>
      </c>
      <c r="CD118" s="7">
        <f>IF(A118="","",IF((A118+68)&gt;Model!$B$4,0,MAX(0,Model!$B$6-IF((A118+68)&gt;=Model!$B$11,Model!$B$20,0)-IF(68&lt;Model!$B$15,Model!$B$22,0))/(1-Model!$B$9)/(1+Model!$B$18)^68))</f>
        <v/>
      </c>
      <c r="CE118" s="7">
        <f>IF(A118="","",IF((A118+69)&gt;Model!$B$4,0,MAX(0,Model!$B$6-IF((A118+69)&gt;=Model!$B$11,Model!$B$20,0)-IF(69&lt;Model!$B$15,Model!$B$22,0))/(1-Model!$B$9)/(1+Model!$B$18)^69))</f>
        <v/>
      </c>
      <c r="CF118" s="7">
        <f>IF(A118="","",IF((A118+70)&gt;Model!$B$4,0,MAX(0,Model!$B$6-IF((A118+70)&gt;=Model!$B$11,Model!$B$20,0)-IF(70&lt;Model!$B$15,Model!$B$22,0))/(1-Model!$B$9)/(1+Model!$B$18)^70))</f>
        <v/>
      </c>
      <c r="CG118" s="7">
        <f>IF(A118="","",IF((A118+71)&gt;Model!$B$4,0,MAX(0,Model!$B$6-IF((A118+71)&gt;=Model!$B$11,Model!$B$20,0)-IF(71&lt;Model!$B$15,Model!$B$22,0))/(1-Model!$B$9)/(1+Model!$B$18)^71))</f>
        <v/>
      </c>
      <c r="CH118" s="7">
        <f>IF(A118="","",IF((A118+72)&gt;Model!$B$4,0,MAX(0,Model!$B$6-IF((A118+72)&gt;=Model!$B$11,Model!$B$20,0)-IF(72&lt;Model!$B$15,Model!$B$22,0))/(1-Model!$B$9)/(1+Model!$B$18)^72))</f>
        <v/>
      </c>
      <c r="CI118" s="7">
        <f>IF(A118="","",IF((A118+73)&gt;Model!$B$4,0,MAX(0,Model!$B$6-IF((A118+73)&gt;=Model!$B$11,Model!$B$20,0)-IF(73&lt;Model!$B$15,Model!$B$22,0))/(1-Model!$B$9)/(1+Model!$B$18)^73))</f>
        <v/>
      </c>
      <c r="CJ118" s="7">
        <f>IF(A118="","",IF((A118+74)&gt;Model!$B$4,0,MAX(0,Model!$B$6-IF((A118+74)&gt;=Model!$B$11,Model!$B$20,0)-IF(74&lt;Model!$B$15,Model!$B$22,0))/(1-Model!$B$9)/(1+Model!$B$18)^74))</f>
        <v/>
      </c>
      <c r="CK118" s="7">
        <f>IF(A118="","",IF((A118+75)&gt;Model!$B$4,0,MAX(0,Model!$B$6-IF((A118+75)&gt;=Model!$B$11,Model!$B$20,0)-IF(75&lt;Model!$B$15,Model!$B$22,0))/(1-Model!$B$9)/(1+Model!$B$18)^75))</f>
        <v/>
      </c>
      <c r="CL118" s="7">
        <f>IF(A118="","",IF((A118+76)&gt;Model!$B$4,0,MAX(0,Model!$B$6-IF((A118+76)&gt;=Model!$B$11,Model!$B$20,0)-IF(76&lt;Model!$B$15,Model!$B$22,0))/(1-Model!$B$9)/(1+Model!$B$18)^76))</f>
        <v/>
      </c>
      <c r="CM118" s="7">
        <f>IF(A118="","",IF((A118+77)&gt;Model!$B$4,0,MAX(0,Model!$B$6-IF((A118+77)&gt;=Model!$B$11,Model!$B$20,0)-IF(77&lt;Model!$B$15,Model!$B$22,0))/(1-Model!$B$9)/(1+Model!$B$18)^77))</f>
        <v/>
      </c>
      <c r="CN118" s="7">
        <f>IF(A118="","",IF((A118+78)&gt;Model!$B$4,0,MAX(0,Model!$B$6-IF((A118+78)&gt;=Model!$B$11,Model!$B$20,0)-IF(78&lt;Model!$B$15,Model!$B$22,0))/(1-Model!$B$9)/(1+Model!$B$18)^78))</f>
        <v/>
      </c>
      <c r="CO118" s="7">
        <f>IF(A118="","",IF((A118+79)&gt;Model!$B$4,0,MAX(0,Model!$B$6-IF((A118+79)&gt;=Model!$B$11,Model!$B$20,0)-IF(79&lt;Model!$B$15,Model!$B$22,0))/(1-Model!$B$9)/(1+Model!$B$18)^79))</f>
        <v/>
      </c>
      <c r="CP118" s="7">
        <f>IF(A118="","",IF((A118+80)&gt;Model!$B$4,0,MAX(0,Model!$B$6-IF((A118+80)&gt;=Model!$B$11,Model!$B$20,0)-IF(80&lt;Model!$B$15,Model!$B$22,0))/(1-Model!$B$9)/(1+Model!$B$18)^80))</f>
        <v/>
      </c>
      <c r="CQ118" s="7">
        <f>IF(A118="","",IF((A118+81)&gt;Model!$B$4,0,MAX(0,Model!$B$6-IF((A118+81)&gt;=Model!$B$11,Model!$B$20,0)-IF(81&lt;Model!$B$15,Model!$B$22,0))/(1-Model!$B$9)/(1+Model!$B$18)^81))</f>
        <v/>
      </c>
      <c r="CR118" s="7">
        <f>IF(A118="","",IF((A118+82)&gt;Model!$B$4,0,MAX(0,Model!$B$6-IF((A118+82)&gt;=Model!$B$11,Model!$B$20,0)-IF(82&lt;Model!$B$15,Model!$B$22,0))/(1-Model!$B$9)/(1+Model!$B$18)^82))</f>
        <v/>
      </c>
      <c r="CS118" s="7">
        <f>IF(A118="","",IF((A118+83)&gt;Model!$B$4,0,MAX(0,Model!$B$6-IF((A118+83)&gt;=Model!$B$11,Model!$B$20,0)-IF(83&lt;Model!$B$15,Model!$B$22,0))/(1-Model!$B$9)/(1+Model!$B$18)^83))</f>
        <v/>
      </c>
      <c r="CT118" s="7">
        <f>IF(A118="","",IF((A118+84)&gt;Model!$B$4,0,MAX(0,Model!$B$6-IF((A118+84)&gt;=Model!$B$11,Model!$B$20,0)-IF(84&lt;Model!$B$15,Model!$B$22,0))/(1-Model!$B$9)/(1+Model!$B$18)^84))</f>
        <v/>
      </c>
      <c r="CU118" s="7">
        <f>IF(A118="","",IF((A118+85)&gt;Model!$B$4,0,MAX(0,Model!$B$6-IF((A118+85)&gt;=Model!$B$11,Model!$B$20,0)-IF(85&lt;Model!$B$15,Model!$B$22,0))/(1-Model!$B$9)/(1+Model!$B$18)^85))</f>
        <v/>
      </c>
      <c r="CV118" s="7">
        <f>IF(A118="","",IF((A118+86)&gt;Model!$B$4,0,MAX(0,Model!$B$6-IF((A118+86)&gt;=Model!$B$11,Model!$B$20,0)-IF(86&lt;Model!$B$15,Model!$B$22,0))/(1-Model!$B$9)/(1+Model!$B$18)^86))</f>
        <v/>
      </c>
      <c r="CW118" s="7">
        <f>IF(A118="","",IF((A118+87)&gt;Model!$B$4,0,MAX(0,Model!$B$6-IF((A118+87)&gt;=Model!$B$11,Model!$B$20,0)-IF(87&lt;Model!$B$15,Model!$B$22,0))/(1-Model!$B$9)/(1+Model!$B$18)^87))</f>
        <v/>
      </c>
      <c r="CX118" s="7">
        <f>IF(A118="","",IF((A118+88)&gt;Model!$B$4,0,MAX(0,Model!$B$6-IF((A118+88)&gt;=Model!$B$11,Model!$B$20,0)-IF(88&lt;Model!$B$15,Model!$B$22,0))/(1-Model!$B$9)/(1+Model!$B$18)^88))</f>
        <v/>
      </c>
      <c r="CY118" s="7">
        <f>IF(A118="","",IF((A118+89)&gt;Model!$B$4,0,MAX(0,Model!$B$6-IF((A118+89)&gt;=Model!$B$11,Model!$B$20,0)-IF(89&lt;Model!$B$15,Model!$B$22,0))/(1-Model!$B$9)/(1+Model!$B$18)^89))</f>
        <v/>
      </c>
      <c r="CZ118" s="7">
        <f>IF(A118="","",IF((A118+90)&gt;Model!$B$4,0,MAX(0,Model!$B$6-IF((A118+90)&gt;=Model!$B$11,Model!$B$20,0)-IF(90&lt;Model!$B$15,Model!$B$22,0))/(1-Model!$B$9)/(1+Model!$B$18)^90))</f>
        <v/>
      </c>
      <c r="DA118" s="7">
        <f>IF(A118="","",IF((A118+91)&gt;Model!$B$4,0,MAX(0,Model!$B$6-IF((A118+91)&gt;=Model!$B$11,Model!$B$20,0)-IF(91&lt;Model!$B$15,Model!$B$22,0))/(1-Model!$B$9)/(1+Model!$B$18)^91))</f>
        <v/>
      </c>
      <c r="DB118" s="7">
        <f>IF(A118="","",IF((A118+92)&gt;Model!$B$4,0,MAX(0,Model!$B$6-IF((A118+92)&gt;=Model!$B$11,Model!$B$20,0)-IF(92&lt;Model!$B$15,Model!$B$22,0))/(1-Model!$B$9)/(1+Model!$B$18)^92))</f>
        <v/>
      </c>
      <c r="DC118" s="7">
        <f>IF(A118="","",IF((A118+93)&gt;Model!$B$4,0,MAX(0,Model!$B$6-IF((A118+93)&gt;=Model!$B$11,Model!$B$20,0)-IF(93&lt;Model!$B$15,Model!$B$22,0))/(1-Model!$B$9)/(1+Model!$B$18)^93))</f>
        <v/>
      </c>
      <c r="DD118" s="7">
        <f>IF(A118="","",IF((A118+94)&gt;Model!$B$4,0,MAX(0,Model!$B$6-IF((A118+94)&gt;=Model!$B$11,Model!$B$20,0)-IF(94&lt;Model!$B$15,Model!$B$22,0))/(1-Model!$B$9)/(1+Model!$B$18)^94))</f>
        <v/>
      </c>
      <c r="DE118" s="7">
        <f>IF(A118="","",IF((A118+95)&gt;Model!$B$4,0,MAX(0,Model!$B$6-IF((A118+95)&gt;=Model!$B$11,Model!$B$20,0)-IF(95&lt;Model!$B$15,Model!$B$22,0))/(1-Model!$B$9)/(1+Model!$B$18)^95))</f>
        <v/>
      </c>
      <c r="DF118" s="7">
        <f>IF(A118="","",IF((A118+96)&gt;Model!$B$4,0,MAX(0,Model!$B$6-IF((A118+96)&gt;=Model!$B$11,Model!$B$20,0)-IF(96&lt;Model!$B$15,Model!$B$22,0))/(1-Model!$B$9)/(1+Model!$B$18)^96))</f>
        <v/>
      </c>
      <c r="DG118" s="7">
        <f>IF(A118="","",IF((A118+97)&gt;Model!$B$4,0,MAX(0,Model!$B$6-IF((A118+97)&gt;=Model!$B$11,Model!$B$20,0)-IF(97&lt;Model!$B$15,Model!$B$22,0))/(1-Model!$B$9)/(1+Model!$B$18)^97))</f>
        <v/>
      </c>
      <c r="DH118" s="7">
        <f>IF(A118="","",IF((A118+98)&gt;Model!$B$4,0,MAX(0,Model!$B$6-IF((A118+98)&gt;=Model!$B$11,Model!$B$20,0)-IF(98&lt;Model!$B$15,Model!$B$22,0))/(1-Model!$B$9)/(1+Model!$B$18)^98))</f>
        <v/>
      </c>
      <c r="DI118" s="7">
        <f>IF(A118="","",IF((A118+99)&gt;Model!$B$4,0,MAX(0,Model!$B$6-IF((A118+99)&gt;=Model!$B$11,Model!$B$20,0)-IF(99&lt;Model!$B$15,Model!$B$22,0))/(1-Model!$B$9)/(1+Model!$B$18)^99))</f>
        <v/>
      </c>
      <c r="DJ118" s="7">
        <f>IF(A118="","",IF((A118+100)&gt;Model!$B$4,0,MAX(0,Model!$B$6-IF((A118+100)&gt;=Model!$B$11,Model!$B$20,0)-IF(100&lt;Model!$B$15,Model!$B$22,0))/(1-Model!$B$9)/(1+Model!$B$18)^100))</f>
        <v/>
      </c>
      <c r="DK118" s="7">
        <f>IF(A118="","",IF((A118+101)&gt;Model!$B$4,0,MAX(0,Model!$B$6-IF((A118+101)&gt;=Model!$B$11,Model!$B$20,0)-IF(101&lt;Model!$B$15,Model!$B$22,0))/(1-Model!$B$9)/(1+Model!$B$18)^101))</f>
        <v/>
      </c>
      <c r="DL118" s="7">
        <f>IF(A118="","",IF((A118+102)&gt;Model!$B$4,0,MAX(0,Model!$B$6-IF((A118+102)&gt;=Model!$B$11,Model!$B$20,0)-IF(102&lt;Model!$B$15,Model!$B$22,0))/(1-Model!$B$9)/(1+Model!$B$18)^102))</f>
        <v/>
      </c>
      <c r="DM118" s="7">
        <f>IF(A118="","",IF((A118+103)&gt;Model!$B$4,0,MAX(0,Model!$B$6-IF((A118+103)&gt;=Model!$B$11,Model!$B$20,0)-IF(103&lt;Model!$B$15,Model!$B$22,0))/(1-Model!$B$9)/(1+Model!$B$18)^103))</f>
        <v/>
      </c>
      <c r="DN118" s="7">
        <f>IF(A118="","",IF((A118+104)&gt;Model!$B$4,0,MAX(0,Model!$B$6-IF((A118+104)&gt;=Model!$B$11,Model!$B$20,0)-IF(104&lt;Model!$B$15,Model!$B$22,0))/(1-Model!$B$9)/(1+Model!$B$18)^104))</f>
        <v/>
      </c>
      <c r="DO118" s="7">
        <f>IF(A118="","",IF((A118+105)&gt;Model!$B$4,0,MAX(0,Model!$B$6-IF((A118+105)&gt;=Model!$B$11,Model!$B$20,0)-IF(105&lt;Model!$B$15,Model!$B$22,0))/(1-Model!$B$9)/(1+Model!$B$18)^105))</f>
        <v/>
      </c>
      <c r="DP118" s="7">
        <f>IF(A118="","",IF((A118+106)&gt;Model!$B$4,0,MAX(0,Model!$B$6-IF((A118+106)&gt;=Model!$B$11,Model!$B$20,0)-IF(106&lt;Model!$B$15,Model!$B$22,0))/(1-Model!$B$9)/(1+Model!$B$18)^106))</f>
        <v/>
      </c>
      <c r="DQ118" s="7">
        <f>IF(A118="","",IF((A118+107)&gt;Model!$B$4,0,MAX(0,Model!$B$6-IF((A118+107)&gt;=Model!$B$11,Model!$B$20,0)-IF(107&lt;Model!$B$15,Model!$B$22,0))/(1-Model!$B$9)/(1+Model!$B$18)^107))</f>
        <v/>
      </c>
      <c r="DR118" s="7">
        <f>IF(A118="","",IF((A118+108)&gt;Model!$B$4,0,MAX(0,Model!$B$6-IF((A118+108)&gt;=Model!$B$11,Model!$B$20,0)-IF(108&lt;Model!$B$15,Model!$B$22,0))/(1-Model!$B$9)/(1+Model!$B$18)^108))</f>
        <v/>
      </c>
      <c r="DS118" s="7">
        <f>IF(A118="","",IF((A118+109)&gt;Model!$B$4,0,MAX(0,Model!$B$6-IF((A118+109)&gt;=Model!$B$11,Model!$B$20,0)-IF(109&lt;Model!$B$15,Model!$B$22,0))/(1-Model!$B$9)/(1+Model!$B$18)^109))</f>
        <v/>
      </c>
      <c r="DT118" s="7">
        <f>IF(A118="","",IF((A118+110)&gt;Model!$B$4,0,MAX(0,Model!$B$6-IF((A118+110)&gt;=Model!$B$11,Model!$B$20,0)-IF(110&lt;Model!$B$15,Model!$B$22,0))/(1-Model!$B$9)/(1+Model!$B$18)^110))</f>
        <v/>
      </c>
      <c r="DU118" s="7">
        <f>IF(A118="","",IF((A118+111)&gt;Model!$B$4,0,MAX(0,Model!$B$6-IF((A118+111)&gt;=Model!$B$11,Model!$B$20,0)-IF(111&lt;Model!$B$15,Model!$B$22,0))/(1-Model!$B$9)/(1+Model!$B$18)^111))</f>
        <v/>
      </c>
      <c r="DV118" s="7">
        <f>IF(A118="","",IF((A118+112)&gt;Model!$B$4,0,MAX(0,Model!$B$6-IF((A118+112)&gt;=Model!$B$11,Model!$B$20,0)-IF(112&lt;Model!$B$15,Model!$B$22,0))/(1-Model!$B$9)/(1+Model!$B$18)^112))</f>
        <v/>
      </c>
      <c r="DW118" s="7">
        <f>IF(A118="","",IF((A118+113)&gt;Model!$B$4,0,MAX(0,Model!$B$6-IF((A118+113)&gt;=Model!$B$11,Model!$B$20,0)-IF(113&lt;Model!$B$15,Model!$B$22,0))/(1-Model!$B$9)/(1+Model!$B$18)^113))</f>
        <v/>
      </c>
      <c r="DX118" s="7">
        <f>IF(A118="","",IF((A118+114)&gt;Model!$B$4,0,MAX(0,Model!$B$6-IF((A118+114)&gt;=Model!$B$11,Model!$B$20,0)-IF(114&lt;Model!$B$15,Model!$B$22,0))/(1-Model!$B$9)/(1+Model!$B$18)^114))</f>
        <v/>
      </c>
      <c r="DY118" s="7">
        <f>IF(A118="","",IF((A118+115)&gt;Model!$B$4,0,MAX(0,Model!$B$6-IF((A118+115)&gt;=Model!$B$11,Model!$B$20,0)-IF(115&lt;Model!$B$15,Model!$B$22,0))/(1-Model!$B$9)/(1+Model!$B$18)^115))</f>
        <v/>
      </c>
      <c r="DZ118" s="7">
        <f>IF(A118="","",IF((A118+116)&gt;Model!$B$4,0,MAX(0,Model!$B$6-IF((A118+116)&gt;=Model!$B$11,Model!$B$20,0)-IF(116&lt;Model!$B$15,Model!$B$22,0))/(1-Model!$B$9)/(1+Model!$B$18)^116))</f>
        <v/>
      </c>
      <c r="EA118" s="7">
        <f>IF(A118="","",IF((A118+117)&gt;Model!$B$4,0,MAX(0,Model!$B$6-IF((A118+117)&gt;=Model!$B$11,Model!$B$20,0)-IF(117&lt;Model!$B$15,Model!$B$22,0))/(1-Model!$B$9)/(1+Model!$B$18)^117))</f>
        <v/>
      </c>
      <c r="EB118" s="7">
        <f>IF(A118="","",IF((A118+118)&gt;Model!$B$4,0,MAX(0,Model!$B$6-IF((A118+118)&gt;=Model!$B$11,Model!$B$20,0)-IF(118&lt;Model!$B$15,Model!$B$22,0))/(1-Model!$B$9)/(1+Model!$B$18)^118))</f>
        <v/>
      </c>
      <c r="EC118" s="7">
        <f>IF(A118="","",IF((A118+119)&gt;Model!$B$4,0,MAX(0,Model!$B$6-IF((A118+119)&gt;=Model!$B$11,Model!$B$20,0)-IF(119&lt;Model!$B$15,Model!$B$22,0))/(1-Model!$B$9)/(1+Model!$B$18)^119))</f>
        <v/>
      </c>
      <c r="ED118" s="7">
        <f>IF(A118="","",IF((A118+120)&gt;Model!$B$4,0,MAX(0,Model!$B$6-IF((A118+120)&gt;=Model!$B$11,Model!$B$20,0)-IF(120&lt;Model!$B$15,Model!$B$22,0))/(1-Model!$B$9)/(1+Model!$B$18)^120))</f>
        <v/>
      </c>
    </row>
    <row r="119">
      <c r="A119">
        <f>IF(Model!$B$10+ROW()-2&lt;=Model!$B$4,Model!$B$10+ROW()-2,"")</f>
        <v/>
      </c>
      <c r="B119">
        <f>IF(A119="","",A119-Model!$B$10)</f>
        <v/>
      </c>
      <c r="C119" s="7">
        <f>IF(A119="","",Model!$B$5*(1+Model!$B$18)^B119)</f>
        <v/>
      </c>
      <c r="D119" s="7">
        <f>IF(A119="","",SUM(N119:ED119))</f>
        <v/>
      </c>
      <c r="E119" s="7">
        <f>IF(A119="","",IF(A119&gt;=Model!$B$11,Model!$B$20,0))</f>
        <v/>
      </c>
      <c r="F119" s="7">
        <f>IF(A119="","",IF(Model!$B$15&gt;0,Model!$B$22,0))</f>
        <v/>
      </c>
      <c r="G119" s="7">
        <f>IF(A119="","",E119+F119)</f>
        <v/>
      </c>
      <c r="H119" s="7">
        <f>IF(A119="","",MAX(0,Model!$B$6-G119))</f>
        <v/>
      </c>
      <c r="I119" s="7">
        <f>IF(A119="","",H119/(1-Model!$B$9))</f>
        <v/>
      </c>
      <c r="J119" s="7">
        <f>IF(A119="","",C119-D119)</f>
        <v/>
      </c>
      <c r="K119">
        <f>IF(A119="","",C119&gt;=D119)</f>
        <v/>
      </c>
      <c r="L119" s="7">
        <f>IF(A119="","",IF(A119&gt;=Model!$B$11,Model!$B$19*(1+Model!$B$13)^B119,0))</f>
        <v/>
      </c>
      <c r="M119" s="7">
        <f>IF(A119="","",IF(Model!$B$15&gt;0,Model!$B$21*(1+Model!$B$13)^B119,0))</f>
        <v/>
      </c>
      <c r="N119" s="7">
        <f>IF(A119="","",IF((A119+0)&gt;Model!$B$4,0,MAX(0,Model!$B$6-IF((A119+0)&gt;=Model!$B$11,Model!$B$20,0)-IF(0&lt;Model!$B$15,Model!$B$22,0))/(1-Model!$B$9)/(1+Model!$B$18)^0))</f>
        <v/>
      </c>
      <c r="O119" s="7">
        <f>IF(A119="","",IF((A119+1)&gt;Model!$B$4,0,MAX(0,Model!$B$6-IF((A119+1)&gt;=Model!$B$11,Model!$B$20,0)-IF(1&lt;Model!$B$15,Model!$B$22,0))/(1-Model!$B$9)/(1+Model!$B$18)^1))</f>
        <v/>
      </c>
      <c r="P119" s="7">
        <f>IF(A119="","",IF((A119+2)&gt;Model!$B$4,0,MAX(0,Model!$B$6-IF((A119+2)&gt;=Model!$B$11,Model!$B$20,0)-IF(2&lt;Model!$B$15,Model!$B$22,0))/(1-Model!$B$9)/(1+Model!$B$18)^2))</f>
        <v/>
      </c>
      <c r="Q119" s="7">
        <f>IF(A119="","",IF((A119+3)&gt;Model!$B$4,0,MAX(0,Model!$B$6-IF((A119+3)&gt;=Model!$B$11,Model!$B$20,0)-IF(3&lt;Model!$B$15,Model!$B$22,0))/(1-Model!$B$9)/(1+Model!$B$18)^3))</f>
        <v/>
      </c>
      <c r="R119" s="7">
        <f>IF(A119="","",IF((A119+4)&gt;Model!$B$4,0,MAX(0,Model!$B$6-IF((A119+4)&gt;=Model!$B$11,Model!$B$20,0)-IF(4&lt;Model!$B$15,Model!$B$22,0))/(1-Model!$B$9)/(1+Model!$B$18)^4))</f>
        <v/>
      </c>
      <c r="S119" s="7">
        <f>IF(A119="","",IF((A119+5)&gt;Model!$B$4,0,MAX(0,Model!$B$6-IF((A119+5)&gt;=Model!$B$11,Model!$B$20,0)-IF(5&lt;Model!$B$15,Model!$B$22,0))/(1-Model!$B$9)/(1+Model!$B$18)^5))</f>
        <v/>
      </c>
      <c r="T119" s="7">
        <f>IF(A119="","",IF((A119+6)&gt;Model!$B$4,0,MAX(0,Model!$B$6-IF((A119+6)&gt;=Model!$B$11,Model!$B$20,0)-IF(6&lt;Model!$B$15,Model!$B$22,0))/(1-Model!$B$9)/(1+Model!$B$18)^6))</f>
        <v/>
      </c>
      <c r="U119" s="7">
        <f>IF(A119="","",IF((A119+7)&gt;Model!$B$4,0,MAX(0,Model!$B$6-IF((A119+7)&gt;=Model!$B$11,Model!$B$20,0)-IF(7&lt;Model!$B$15,Model!$B$22,0))/(1-Model!$B$9)/(1+Model!$B$18)^7))</f>
        <v/>
      </c>
      <c r="V119" s="7">
        <f>IF(A119="","",IF((A119+8)&gt;Model!$B$4,0,MAX(0,Model!$B$6-IF((A119+8)&gt;=Model!$B$11,Model!$B$20,0)-IF(8&lt;Model!$B$15,Model!$B$22,0))/(1-Model!$B$9)/(1+Model!$B$18)^8))</f>
        <v/>
      </c>
      <c r="W119" s="7">
        <f>IF(A119="","",IF((A119+9)&gt;Model!$B$4,0,MAX(0,Model!$B$6-IF((A119+9)&gt;=Model!$B$11,Model!$B$20,0)-IF(9&lt;Model!$B$15,Model!$B$22,0))/(1-Model!$B$9)/(1+Model!$B$18)^9))</f>
        <v/>
      </c>
      <c r="X119" s="7">
        <f>IF(A119="","",IF((A119+10)&gt;Model!$B$4,0,MAX(0,Model!$B$6-IF((A119+10)&gt;=Model!$B$11,Model!$B$20,0)-IF(10&lt;Model!$B$15,Model!$B$22,0))/(1-Model!$B$9)/(1+Model!$B$18)^10))</f>
        <v/>
      </c>
      <c r="Y119" s="7">
        <f>IF(A119="","",IF((A119+11)&gt;Model!$B$4,0,MAX(0,Model!$B$6-IF((A119+11)&gt;=Model!$B$11,Model!$B$20,0)-IF(11&lt;Model!$B$15,Model!$B$22,0))/(1-Model!$B$9)/(1+Model!$B$18)^11))</f>
        <v/>
      </c>
      <c r="Z119" s="7">
        <f>IF(A119="","",IF((A119+12)&gt;Model!$B$4,0,MAX(0,Model!$B$6-IF((A119+12)&gt;=Model!$B$11,Model!$B$20,0)-IF(12&lt;Model!$B$15,Model!$B$22,0))/(1-Model!$B$9)/(1+Model!$B$18)^12))</f>
        <v/>
      </c>
      <c r="AA119" s="7">
        <f>IF(A119="","",IF((A119+13)&gt;Model!$B$4,0,MAX(0,Model!$B$6-IF((A119+13)&gt;=Model!$B$11,Model!$B$20,0)-IF(13&lt;Model!$B$15,Model!$B$22,0))/(1-Model!$B$9)/(1+Model!$B$18)^13))</f>
        <v/>
      </c>
      <c r="AB119" s="7">
        <f>IF(A119="","",IF((A119+14)&gt;Model!$B$4,0,MAX(0,Model!$B$6-IF((A119+14)&gt;=Model!$B$11,Model!$B$20,0)-IF(14&lt;Model!$B$15,Model!$B$22,0))/(1-Model!$B$9)/(1+Model!$B$18)^14))</f>
        <v/>
      </c>
      <c r="AC119" s="7">
        <f>IF(A119="","",IF((A119+15)&gt;Model!$B$4,0,MAX(0,Model!$B$6-IF((A119+15)&gt;=Model!$B$11,Model!$B$20,0)-IF(15&lt;Model!$B$15,Model!$B$22,0))/(1-Model!$B$9)/(1+Model!$B$18)^15))</f>
        <v/>
      </c>
      <c r="AD119" s="7">
        <f>IF(A119="","",IF((A119+16)&gt;Model!$B$4,0,MAX(0,Model!$B$6-IF((A119+16)&gt;=Model!$B$11,Model!$B$20,0)-IF(16&lt;Model!$B$15,Model!$B$22,0))/(1-Model!$B$9)/(1+Model!$B$18)^16))</f>
        <v/>
      </c>
      <c r="AE119" s="7">
        <f>IF(A119="","",IF((A119+17)&gt;Model!$B$4,0,MAX(0,Model!$B$6-IF((A119+17)&gt;=Model!$B$11,Model!$B$20,0)-IF(17&lt;Model!$B$15,Model!$B$22,0))/(1-Model!$B$9)/(1+Model!$B$18)^17))</f>
        <v/>
      </c>
      <c r="AF119" s="7">
        <f>IF(A119="","",IF((A119+18)&gt;Model!$B$4,0,MAX(0,Model!$B$6-IF((A119+18)&gt;=Model!$B$11,Model!$B$20,0)-IF(18&lt;Model!$B$15,Model!$B$22,0))/(1-Model!$B$9)/(1+Model!$B$18)^18))</f>
        <v/>
      </c>
      <c r="AG119" s="7">
        <f>IF(A119="","",IF((A119+19)&gt;Model!$B$4,0,MAX(0,Model!$B$6-IF((A119+19)&gt;=Model!$B$11,Model!$B$20,0)-IF(19&lt;Model!$B$15,Model!$B$22,0))/(1-Model!$B$9)/(1+Model!$B$18)^19))</f>
        <v/>
      </c>
      <c r="AH119" s="7">
        <f>IF(A119="","",IF((A119+20)&gt;Model!$B$4,0,MAX(0,Model!$B$6-IF((A119+20)&gt;=Model!$B$11,Model!$B$20,0)-IF(20&lt;Model!$B$15,Model!$B$22,0))/(1-Model!$B$9)/(1+Model!$B$18)^20))</f>
        <v/>
      </c>
      <c r="AI119" s="7">
        <f>IF(A119="","",IF((A119+21)&gt;Model!$B$4,0,MAX(0,Model!$B$6-IF((A119+21)&gt;=Model!$B$11,Model!$B$20,0)-IF(21&lt;Model!$B$15,Model!$B$22,0))/(1-Model!$B$9)/(1+Model!$B$18)^21))</f>
        <v/>
      </c>
      <c r="AJ119" s="7">
        <f>IF(A119="","",IF((A119+22)&gt;Model!$B$4,0,MAX(0,Model!$B$6-IF((A119+22)&gt;=Model!$B$11,Model!$B$20,0)-IF(22&lt;Model!$B$15,Model!$B$22,0))/(1-Model!$B$9)/(1+Model!$B$18)^22))</f>
        <v/>
      </c>
      <c r="AK119" s="7">
        <f>IF(A119="","",IF((A119+23)&gt;Model!$B$4,0,MAX(0,Model!$B$6-IF((A119+23)&gt;=Model!$B$11,Model!$B$20,0)-IF(23&lt;Model!$B$15,Model!$B$22,0))/(1-Model!$B$9)/(1+Model!$B$18)^23))</f>
        <v/>
      </c>
      <c r="AL119" s="7">
        <f>IF(A119="","",IF((A119+24)&gt;Model!$B$4,0,MAX(0,Model!$B$6-IF((A119+24)&gt;=Model!$B$11,Model!$B$20,0)-IF(24&lt;Model!$B$15,Model!$B$22,0))/(1-Model!$B$9)/(1+Model!$B$18)^24))</f>
        <v/>
      </c>
      <c r="AM119" s="7">
        <f>IF(A119="","",IF((A119+25)&gt;Model!$B$4,0,MAX(0,Model!$B$6-IF((A119+25)&gt;=Model!$B$11,Model!$B$20,0)-IF(25&lt;Model!$B$15,Model!$B$22,0))/(1-Model!$B$9)/(1+Model!$B$18)^25))</f>
        <v/>
      </c>
      <c r="AN119" s="7">
        <f>IF(A119="","",IF((A119+26)&gt;Model!$B$4,0,MAX(0,Model!$B$6-IF((A119+26)&gt;=Model!$B$11,Model!$B$20,0)-IF(26&lt;Model!$B$15,Model!$B$22,0))/(1-Model!$B$9)/(1+Model!$B$18)^26))</f>
        <v/>
      </c>
      <c r="AO119" s="7">
        <f>IF(A119="","",IF((A119+27)&gt;Model!$B$4,0,MAX(0,Model!$B$6-IF((A119+27)&gt;=Model!$B$11,Model!$B$20,0)-IF(27&lt;Model!$B$15,Model!$B$22,0))/(1-Model!$B$9)/(1+Model!$B$18)^27))</f>
        <v/>
      </c>
      <c r="AP119" s="7">
        <f>IF(A119="","",IF((A119+28)&gt;Model!$B$4,0,MAX(0,Model!$B$6-IF((A119+28)&gt;=Model!$B$11,Model!$B$20,0)-IF(28&lt;Model!$B$15,Model!$B$22,0))/(1-Model!$B$9)/(1+Model!$B$18)^28))</f>
        <v/>
      </c>
      <c r="AQ119" s="7">
        <f>IF(A119="","",IF((A119+29)&gt;Model!$B$4,0,MAX(0,Model!$B$6-IF((A119+29)&gt;=Model!$B$11,Model!$B$20,0)-IF(29&lt;Model!$B$15,Model!$B$22,0))/(1-Model!$B$9)/(1+Model!$B$18)^29))</f>
        <v/>
      </c>
      <c r="AR119" s="7">
        <f>IF(A119="","",IF((A119+30)&gt;Model!$B$4,0,MAX(0,Model!$B$6-IF((A119+30)&gt;=Model!$B$11,Model!$B$20,0)-IF(30&lt;Model!$B$15,Model!$B$22,0))/(1-Model!$B$9)/(1+Model!$B$18)^30))</f>
        <v/>
      </c>
      <c r="AS119" s="7">
        <f>IF(A119="","",IF((A119+31)&gt;Model!$B$4,0,MAX(0,Model!$B$6-IF((A119+31)&gt;=Model!$B$11,Model!$B$20,0)-IF(31&lt;Model!$B$15,Model!$B$22,0))/(1-Model!$B$9)/(1+Model!$B$18)^31))</f>
        <v/>
      </c>
      <c r="AT119" s="7">
        <f>IF(A119="","",IF((A119+32)&gt;Model!$B$4,0,MAX(0,Model!$B$6-IF((A119+32)&gt;=Model!$B$11,Model!$B$20,0)-IF(32&lt;Model!$B$15,Model!$B$22,0))/(1-Model!$B$9)/(1+Model!$B$18)^32))</f>
        <v/>
      </c>
      <c r="AU119" s="7">
        <f>IF(A119="","",IF((A119+33)&gt;Model!$B$4,0,MAX(0,Model!$B$6-IF((A119+33)&gt;=Model!$B$11,Model!$B$20,0)-IF(33&lt;Model!$B$15,Model!$B$22,0))/(1-Model!$B$9)/(1+Model!$B$18)^33))</f>
        <v/>
      </c>
      <c r="AV119" s="7">
        <f>IF(A119="","",IF((A119+34)&gt;Model!$B$4,0,MAX(0,Model!$B$6-IF((A119+34)&gt;=Model!$B$11,Model!$B$20,0)-IF(34&lt;Model!$B$15,Model!$B$22,0))/(1-Model!$B$9)/(1+Model!$B$18)^34))</f>
        <v/>
      </c>
      <c r="AW119" s="7">
        <f>IF(A119="","",IF((A119+35)&gt;Model!$B$4,0,MAX(0,Model!$B$6-IF((A119+35)&gt;=Model!$B$11,Model!$B$20,0)-IF(35&lt;Model!$B$15,Model!$B$22,0))/(1-Model!$B$9)/(1+Model!$B$18)^35))</f>
        <v/>
      </c>
      <c r="AX119" s="7">
        <f>IF(A119="","",IF((A119+36)&gt;Model!$B$4,0,MAX(0,Model!$B$6-IF((A119+36)&gt;=Model!$B$11,Model!$B$20,0)-IF(36&lt;Model!$B$15,Model!$B$22,0))/(1-Model!$B$9)/(1+Model!$B$18)^36))</f>
        <v/>
      </c>
      <c r="AY119" s="7">
        <f>IF(A119="","",IF((A119+37)&gt;Model!$B$4,0,MAX(0,Model!$B$6-IF((A119+37)&gt;=Model!$B$11,Model!$B$20,0)-IF(37&lt;Model!$B$15,Model!$B$22,0))/(1-Model!$B$9)/(1+Model!$B$18)^37))</f>
        <v/>
      </c>
      <c r="AZ119" s="7">
        <f>IF(A119="","",IF((A119+38)&gt;Model!$B$4,0,MAX(0,Model!$B$6-IF((A119+38)&gt;=Model!$B$11,Model!$B$20,0)-IF(38&lt;Model!$B$15,Model!$B$22,0))/(1-Model!$B$9)/(1+Model!$B$18)^38))</f>
        <v/>
      </c>
      <c r="BA119" s="7">
        <f>IF(A119="","",IF((A119+39)&gt;Model!$B$4,0,MAX(0,Model!$B$6-IF((A119+39)&gt;=Model!$B$11,Model!$B$20,0)-IF(39&lt;Model!$B$15,Model!$B$22,0))/(1-Model!$B$9)/(1+Model!$B$18)^39))</f>
        <v/>
      </c>
      <c r="BB119" s="7">
        <f>IF(A119="","",IF((A119+40)&gt;Model!$B$4,0,MAX(0,Model!$B$6-IF((A119+40)&gt;=Model!$B$11,Model!$B$20,0)-IF(40&lt;Model!$B$15,Model!$B$22,0))/(1-Model!$B$9)/(1+Model!$B$18)^40))</f>
        <v/>
      </c>
      <c r="BC119" s="7">
        <f>IF(A119="","",IF((A119+41)&gt;Model!$B$4,0,MAX(0,Model!$B$6-IF((A119+41)&gt;=Model!$B$11,Model!$B$20,0)-IF(41&lt;Model!$B$15,Model!$B$22,0))/(1-Model!$B$9)/(1+Model!$B$18)^41))</f>
        <v/>
      </c>
      <c r="BD119" s="7">
        <f>IF(A119="","",IF((A119+42)&gt;Model!$B$4,0,MAX(0,Model!$B$6-IF((A119+42)&gt;=Model!$B$11,Model!$B$20,0)-IF(42&lt;Model!$B$15,Model!$B$22,0))/(1-Model!$B$9)/(1+Model!$B$18)^42))</f>
        <v/>
      </c>
      <c r="BE119" s="7">
        <f>IF(A119="","",IF((A119+43)&gt;Model!$B$4,0,MAX(0,Model!$B$6-IF((A119+43)&gt;=Model!$B$11,Model!$B$20,0)-IF(43&lt;Model!$B$15,Model!$B$22,0))/(1-Model!$B$9)/(1+Model!$B$18)^43))</f>
        <v/>
      </c>
      <c r="BF119" s="7">
        <f>IF(A119="","",IF((A119+44)&gt;Model!$B$4,0,MAX(0,Model!$B$6-IF((A119+44)&gt;=Model!$B$11,Model!$B$20,0)-IF(44&lt;Model!$B$15,Model!$B$22,0))/(1-Model!$B$9)/(1+Model!$B$18)^44))</f>
        <v/>
      </c>
      <c r="BG119" s="7">
        <f>IF(A119="","",IF((A119+45)&gt;Model!$B$4,0,MAX(0,Model!$B$6-IF((A119+45)&gt;=Model!$B$11,Model!$B$20,0)-IF(45&lt;Model!$B$15,Model!$B$22,0))/(1-Model!$B$9)/(1+Model!$B$18)^45))</f>
        <v/>
      </c>
      <c r="BH119" s="7">
        <f>IF(A119="","",IF((A119+46)&gt;Model!$B$4,0,MAX(0,Model!$B$6-IF((A119+46)&gt;=Model!$B$11,Model!$B$20,0)-IF(46&lt;Model!$B$15,Model!$B$22,0))/(1-Model!$B$9)/(1+Model!$B$18)^46))</f>
        <v/>
      </c>
      <c r="BI119" s="7">
        <f>IF(A119="","",IF((A119+47)&gt;Model!$B$4,0,MAX(0,Model!$B$6-IF((A119+47)&gt;=Model!$B$11,Model!$B$20,0)-IF(47&lt;Model!$B$15,Model!$B$22,0))/(1-Model!$B$9)/(1+Model!$B$18)^47))</f>
        <v/>
      </c>
      <c r="BJ119" s="7">
        <f>IF(A119="","",IF((A119+48)&gt;Model!$B$4,0,MAX(0,Model!$B$6-IF((A119+48)&gt;=Model!$B$11,Model!$B$20,0)-IF(48&lt;Model!$B$15,Model!$B$22,0))/(1-Model!$B$9)/(1+Model!$B$18)^48))</f>
        <v/>
      </c>
      <c r="BK119" s="7">
        <f>IF(A119="","",IF((A119+49)&gt;Model!$B$4,0,MAX(0,Model!$B$6-IF((A119+49)&gt;=Model!$B$11,Model!$B$20,0)-IF(49&lt;Model!$B$15,Model!$B$22,0))/(1-Model!$B$9)/(1+Model!$B$18)^49))</f>
        <v/>
      </c>
      <c r="BL119" s="7">
        <f>IF(A119="","",IF((A119+50)&gt;Model!$B$4,0,MAX(0,Model!$B$6-IF((A119+50)&gt;=Model!$B$11,Model!$B$20,0)-IF(50&lt;Model!$B$15,Model!$B$22,0))/(1-Model!$B$9)/(1+Model!$B$18)^50))</f>
        <v/>
      </c>
      <c r="BM119" s="7">
        <f>IF(A119="","",IF((A119+51)&gt;Model!$B$4,0,MAX(0,Model!$B$6-IF((A119+51)&gt;=Model!$B$11,Model!$B$20,0)-IF(51&lt;Model!$B$15,Model!$B$22,0))/(1-Model!$B$9)/(1+Model!$B$18)^51))</f>
        <v/>
      </c>
      <c r="BN119" s="7">
        <f>IF(A119="","",IF((A119+52)&gt;Model!$B$4,0,MAX(0,Model!$B$6-IF((A119+52)&gt;=Model!$B$11,Model!$B$20,0)-IF(52&lt;Model!$B$15,Model!$B$22,0))/(1-Model!$B$9)/(1+Model!$B$18)^52))</f>
        <v/>
      </c>
      <c r="BO119" s="7">
        <f>IF(A119="","",IF((A119+53)&gt;Model!$B$4,0,MAX(0,Model!$B$6-IF((A119+53)&gt;=Model!$B$11,Model!$B$20,0)-IF(53&lt;Model!$B$15,Model!$B$22,0))/(1-Model!$B$9)/(1+Model!$B$18)^53))</f>
        <v/>
      </c>
      <c r="BP119" s="7">
        <f>IF(A119="","",IF((A119+54)&gt;Model!$B$4,0,MAX(0,Model!$B$6-IF((A119+54)&gt;=Model!$B$11,Model!$B$20,0)-IF(54&lt;Model!$B$15,Model!$B$22,0))/(1-Model!$B$9)/(1+Model!$B$18)^54))</f>
        <v/>
      </c>
      <c r="BQ119" s="7">
        <f>IF(A119="","",IF((A119+55)&gt;Model!$B$4,0,MAX(0,Model!$B$6-IF((A119+55)&gt;=Model!$B$11,Model!$B$20,0)-IF(55&lt;Model!$B$15,Model!$B$22,0))/(1-Model!$B$9)/(1+Model!$B$18)^55))</f>
        <v/>
      </c>
      <c r="BR119" s="7">
        <f>IF(A119="","",IF((A119+56)&gt;Model!$B$4,0,MAX(0,Model!$B$6-IF((A119+56)&gt;=Model!$B$11,Model!$B$20,0)-IF(56&lt;Model!$B$15,Model!$B$22,0))/(1-Model!$B$9)/(1+Model!$B$18)^56))</f>
        <v/>
      </c>
      <c r="BS119" s="7">
        <f>IF(A119="","",IF((A119+57)&gt;Model!$B$4,0,MAX(0,Model!$B$6-IF((A119+57)&gt;=Model!$B$11,Model!$B$20,0)-IF(57&lt;Model!$B$15,Model!$B$22,0))/(1-Model!$B$9)/(1+Model!$B$18)^57))</f>
        <v/>
      </c>
      <c r="BT119" s="7">
        <f>IF(A119="","",IF((A119+58)&gt;Model!$B$4,0,MAX(0,Model!$B$6-IF((A119+58)&gt;=Model!$B$11,Model!$B$20,0)-IF(58&lt;Model!$B$15,Model!$B$22,0))/(1-Model!$B$9)/(1+Model!$B$18)^58))</f>
        <v/>
      </c>
      <c r="BU119" s="7">
        <f>IF(A119="","",IF((A119+59)&gt;Model!$B$4,0,MAX(0,Model!$B$6-IF((A119+59)&gt;=Model!$B$11,Model!$B$20,0)-IF(59&lt;Model!$B$15,Model!$B$22,0))/(1-Model!$B$9)/(1+Model!$B$18)^59))</f>
        <v/>
      </c>
      <c r="BV119" s="7">
        <f>IF(A119="","",IF((A119+60)&gt;Model!$B$4,0,MAX(0,Model!$B$6-IF((A119+60)&gt;=Model!$B$11,Model!$B$20,0)-IF(60&lt;Model!$B$15,Model!$B$22,0))/(1-Model!$B$9)/(1+Model!$B$18)^60))</f>
        <v/>
      </c>
      <c r="BW119" s="7">
        <f>IF(A119="","",IF((A119+61)&gt;Model!$B$4,0,MAX(0,Model!$B$6-IF((A119+61)&gt;=Model!$B$11,Model!$B$20,0)-IF(61&lt;Model!$B$15,Model!$B$22,0))/(1-Model!$B$9)/(1+Model!$B$18)^61))</f>
        <v/>
      </c>
      <c r="BX119" s="7">
        <f>IF(A119="","",IF((A119+62)&gt;Model!$B$4,0,MAX(0,Model!$B$6-IF((A119+62)&gt;=Model!$B$11,Model!$B$20,0)-IF(62&lt;Model!$B$15,Model!$B$22,0))/(1-Model!$B$9)/(1+Model!$B$18)^62))</f>
        <v/>
      </c>
      <c r="BY119" s="7">
        <f>IF(A119="","",IF((A119+63)&gt;Model!$B$4,0,MAX(0,Model!$B$6-IF((A119+63)&gt;=Model!$B$11,Model!$B$20,0)-IF(63&lt;Model!$B$15,Model!$B$22,0))/(1-Model!$B$9)/(1+Model!$B$18)^63))</f>
        <v/>
      </c>
      <c r="BZ119" s="7">
        <f>IF(A119="","",IF((A119+64)&gt;Model!$B$4,0,MAX(0,Model!$B$6-IF((A119+64)&gt;=Model!$B$11,Model!$B$20,0)-IF(64&lt;Model!$B$15,Model!$B$22,0))/(1-Model!$B$9)/(1+Model!$B$18)^64))</f>
        <v/>
      </c>
      <c r="CA119" s="7">
        <f>IF(A119="","",IF((A119+65)&gt;Model!$B$4,0,MAX(0,Model!$B$6-IF((A119+65)&gt;=Model!$B$11,Model!$B$20,0)-IF(65&lt;Model!$B$15,Model!$B$22,0))/(1-Model!$B$9)/(1+Model!$B$18)^65))</f>
        <v/>
      </c>
      <c r="CB119" s="7">
        <f>IF(A119="","",IF((A119+66)&gt;Model!$B$4,0,MAX(0,Model!$B$6-IF((A119+66)&gt;=Model!$B$11,Model!$B$20,0)-IF(66&lt;Model!$B$15,Model!$B$22,0))/(1-Model!$B$9)/(1+Model!$B$18)^66))</f>
        <v/>
      </c>
      <c r="CC119" s="7">
        <f>IF(A119="","",IF((A119+67)&gt;Model!$B$4,0,MAX(0,Model!$B$6-IF((A119+67)&gt;=Model!$B$11,Model!$B$20,0)-IF(67&lt;Model!$B$15,Model!$B$22,0))/(1-Model!$B$9)/(1+Model!$B$18)^67))</f>
        <v/>
      </c>
      <c r="CD119" s="7">
        <f>IF(A119="","",IF((A119+68)&gt;Model!$B$4,0,MAX(0,Model!$B$6-IF((A119+68)&gt;=Model!$B$11,Model!$B$20,0)-IF(68&lt;Model!$B$15,Model!$B$22,0))/(1-Model!$B$9)/(1+Model!$B$18)^68))</f>
        <v/>
      </c>
      <c r="CE119" s="7">
        <f>IF(A119="","",IF((A119+69)&gt;Model!$B$4,0,MAX(0,Model!$B$6-IF((A119+69)&gt;=Model!$B$11,Model!$B$20,0)-IF(69&lt;Model!$B$15,Model!$B$22,0))/(1-Model!$B$9)/(1+Model!$B$18)^69))</f>
        <v/>
      </c>
      <c r="CF119" s="7">
        <f>IF(A119="","",IF((A119+70)&gt;Model!$B$4,0,MAX(0,Model!$B$6-IF((A119+70)&gt;=Model!$B$11,Model!$B$20,0)-IF(70&lt;Model!$B$15,Model!$B$22,0))/(1-Model!$B$9)/(1+Model!$B$18)^70))</f>
        <v/>
      </c>
      <c r="CG119" s="7">
        <f>IF(A119="","",IF((A119+71)&gt;Model!$B$4,0,MAX(0,Model!$B$6-IF((A119+71)&gt;=Model!$B$11,Model!$B$20,0)-IF(71&lt;Model!$B$15,Model!$B$22,0))/(1-Model!$B$9)/(1+Model!$B$18)^71))</f>
        <v/>
      </c>
      <c r="CH119" s="7">
        <f>IF(A119="","",IF((A119+72)&gt;Model!$B$4,0,MAX(0,Model!$B$6-IF((A119+72)&gt;=Model!$B$11,Model!$B$20,0)-IF(72&lt;Model!$B$15,Model!$B$22,0))/(1-Model!$B$9)/(1+Model!$B$18)^72))</f>
        <v/>
      </c>
      <c r="CI119" s="7">
        <f>IF(A119="","",IF((A119+73)&gt;Model!$B$4,0,MAX(0,Model!$B$6-IF((A119+73)&gt;=Model!$B$11,Model!$B$20,0)-IF(73&lt;Model!$B$15,Model!$B$22,0))/(1-Model!$B$9)/(1+Model!$B$18)^73))</f>
        <v/>
      </c>
      <c r="CJ119" s="7">
        <f>IF(A119="","",IF((A119+74)&gt;Model!$B$4,0,MAX(0,Model!$B$6-IF((A119+74)&gt;=Model!$B$11,Model!$B$20,0)-IF(74&lt;Model!$B$15,Model!$B$22,0))/(1-Model!$B$9)/(1+Model!$B$18)^74))</f>
        <v/>
      </c>
      <c r="CK119" s="7">
        <f>IF(A119="","",IF((A119+75)&gt;Model!$B$4,0,MAX(0,Model!$B$6-IF((A119+75)&gt;=Model!$B$11,Model!$B$20,0)-IF(75&lt;Model!$B$15,Model!$B$22,0))/(1-Model!$B$9)/(1+Model!$B$18)^75))</f>
        <v/>
      </c>
      <c r="CL119" s="7">
        <f>IF(A119="","",IF((A119+76)&gt;Model!$B$4,0,MAX(0,Model!$B$6-IF((A119+76)&gt;=Model!$B$11,Model!$B$20,0)-IF(76&lt;Model!$B$15,Model!$B$22,0))/(1-Model!$B$9)/(1+Model!$B$18)^76))</f>
        <v/>
      </c>
      <c r="CM119" s="7">
        <f>IF(A119="","",IF((A119+77)&gt;Model!$B$4,0,MAX(0,Model!$B$6-IF((A119+77)&gt;=Model!$B$11,Model!$B$20,0)-IF(77&lt;Model!$B$15,Model!$B$22,0))/(1-Model!$B$9)/(1+Model!$B$18)^77))</f>
        <v/>
      </c>
      <c r="CN119" s="7">
        <f>IF(A119="","",IF((A119+78)&gt;Model!$B$4,0,MAX(0,Model!$B$6-IF((A119+78)&gt;=Model!$B$11,Model!$B$20,0)-IF(78&lt;Model!$B$15,Model!$B$22,0))/(1-Model!$B$9)/(1+Model!$B$18)^78))</f>
        <v/>
      </c>
      <c r="CO119" s="7">
        <f>IF(A119="","",IF((A119+79)&gt;Model!$B$4,0,MAX(0,Model!$B$6-IF((A119+79)&gt;=Model!$B$11,Model!$B$20,0)-IF(79&lt;Model!$B$15,Model!$B$22,0))/(1-Model!$B$9)/(1+Model!$B$18)^79))</f>
        <v/>
      </c>
      <c r="CP119" s="7">
        <f>IF(A119="","",IF((A119+80)&gt;Model!$B$4,0,MAX(0,Model!$B$6-IF((A119+80)&gt;=Model!$B$11,Model!$B$20,0)-IF(80&lt;Model!$B$15,Model!$B$22,0))/(1-Model!$B$9)/(1+Model!$B$18)^80))</f>
        <v/>
      </c>
      <c r="CQ119" s="7">
        <f>IF(A119="","",IF((A119+81)&gt;Model!$B$4,0,MAX(0,Model!$B$6-IF((A119+81)&gt;=Model!$B$11,Model!$B$20,0)-IF(81&lt;Model!$B$15,Model!$B$22,0))/(1-Model!$B$9)/(1+Model!$B$18)^81))</f>
        <v/>
      </c>
      <c r="CR119" s="7">
        <f>IF(A119="","",IF((A119+82)&gt;Model!$B$4,0,MAX(0,Model!$B$6-IF((A119+82)&gt;=Model!$B$11,Model!$B$20,0)-IF(82&lt;Model!$B$15,Model!$B$22,0))/(1-Model!$B$9)/(1+Model!$B$18)^82))</f>
        <v/>
      </c>
      <c r="CS119" s="7">
        <f>IF(A119="","",IF((A119+83)&gt;Model!$B$4,0,MAX(0,Model!$B$6-IF((A119+83)&gt;=Model!$B$11,Model!$B$20,0)-IF(83&lt;Model!$B$15,Model!$B$22,0))/(1-Model!$B$9)/(1+Model!$B$18)^83))</f>
        <v/>
      </c>
      <c r="CT119" s="7">
        <f>IF(A119="","",IF((A119+84)&gt;Model!$B$4,0,MAX(0,Model!$B$6-IF((A119+84)&gt;=Model!$B$11,Model!$B$20,0)-IF(84&lt;Model!$B$15,Model!$B$22,0))/(1-Model!$B$9)/(1+Model!$B$18)^84))</f>
        <v/>
      </c>
      <c r="CU119" s="7">
        <f>IF(A119="","",IF((A119+85)&gt;Model!$B$4,0,MAX(0,Model!$B$6-IF((A119+85)&gt;=Model!$B$11,Model!$B$20,0)-IF(85&lt;Model!$B$15,Model!$B$22,0))/(1-Model!$B$9)/(1+Model!$B$18)^85))</f>
        <v/>
      </c>
      <c r="CV119" s="7">
        <f>IF(A119="","",IF((A119+86)&gt;Model!$B$4,0,MAX(0,Model!$B$6-IF((A119+86)&gt;=Model!$B$11,Model!$B$20,0)-IF(86&lt;Model!$B$15,Model!$B$22,0))/(1-Model!$B$9)/(1+Model!$B$18)^86))</f>
        <v/>
      </c>
      <c r="CW119" s="7">
        <f>IF(A119="","",IF((A119+87)&gt;Model!$B$4,0,MAX(0,Model!$B$6-IF((A119+87)&gt;=Model!$B$11,Model!$B$20,0)-IF(87&lt;Model!$B$15,Model!$B$22,0))/(1-Model!$B$9)/(1+Model!$B$18)^87))</f>
        <v/>
      </c>
      <c r="CX119" s="7">
        <f>IF(A119="","",IF((A119+88)&gt;Model!$B$4,0,MAX(0,Model!$B$6-IF((A119+88)&gt;=Model!$B$11,Model!$B$20,0)-IF(88&lt;Model!$B$15,Model!$B$22,0))/(1-Model!$B$9)/(1+Model!$B$18)^88))</f>
        <v/>
      </c>
      <c r="CY119" s="7">
        <f>IF(A119="","",IF((A119+89)&gt;Model!$B$4,0,MAX(0,Model!$B$6-IF((A119+89)&gt;=Model!$B$11,Model!$B$20,0)-IF(89&lt;Model!$B$15,Model!$B$22,0))/(1-Model!$B$9)/(1+Model!$B$18)^89))</f>
        <v/>
      </c>
      <c r="CZ119" s="7">
        <f>IF(A119="","",IF((A119+90)&gt;Model!$B$4,0,MAX(0,Model!$B$6-IF((A119+90)&gt;=Model!$B$11,Model!$B$20,0)-IF(90&lt;Model!$B$15,Model!$B$22,0))/(1-Model!$B$9)/(1+Model!$B$18)^90))</f>
        <v/>
      </c>
      <c r="DA119" s="7">
        <f>IF(A119="","",IF((A119+91)&gt;Model!$B$4,0,MAX(0,Model!$B$6-IF((A119+91)&gt;=Model!$B$11,Model!$B$20,0)-IF(91&lt;Model!$B$15,Model!$B$22,0))/(1-Model!$B$9)/(1+Model!$B$18)^91))</f>
        <v/>
      </c>
      <c r="DB119" s="7">
        <f>IF(A119="","",IF((A119+92)&gt;Model!$B$4,0,MAX(0,Model!$B$6-IF((A119+92)&gt;=Model!$B$11,Model!$B$20,0)-IF(92&lt;Model!$B$15,Model!$B$22,0))/(1-Model!$B$9)/(1+Model!$B$18)^92))</f>
        <v/>
      </c>
      <c r="DC119" s="7">
        <f>IF(A119="","",IF((A119+93)&gt;Model!$B$4,0,MAX(0,Model!$B$6-IF((A119+93)&gt;=Model!$B$11,Model!$B$20,0)-IF(93&lt;Model!$B$15,Model!$B$22,0))/(1-Model!$B$9)/(1+Model!$B$18)^93))</f>
        <v/>
      </c>
      <c r="DD119" s="7">
        <f>IF(A119="","",IF((A119+94)&gt;Model!$B$4,0,MAX(0,Model!$B$6-IF((A119+94)&gt;=Model!$B$11,Model!$B$20,0)-IF(94&lt;Model!$B$15,Model!$B$22,0))/(1-Model!$B$9)/(1+Model!$B$18)^94))</f>
        <v/>
      </c>
      <c r="DE119" s="7">
        <f>IF(A119="","",IF((A119+95)&gt;Model!$B$4,0,MAX(0,Model!$B$6-IF((A119+95)&gt;=Model!$B$11,Model!$B$20,0)-IF(95&lt;Model!$B$15,Model!$B$22,0))/(1-Model!$B$9)/(1+Model!$B$18)^95))</f>
        <v/>
      </c>
      <c r="DF119" s="7">
        <f>IF(A119="","",IF((A119+96)&gt;Model!$B$4,0,MAX(0,Model!$B$6-IF((A119+96)&gt;=Model!$B$11,Model!$B$20,0)-IF(96&lt;Model!$B$15,Model!$B$22,0))/(1-Model!$B$9)/(1+Model!$B$18)^96))</f>
        <v/>
      </c>
      <c r="DG119" s="7">
        <f>IF(A119="","",IF((A119+97)&gt;Model!$B$4,0,MAX(0,Model!$B$6-IF((A119+97)&gt;=Model!$B$11,Model!$B$20,0)-IF(97&lt;Model!$B$15,Model!$B$22,0))/(1-Model!$B$9)/(1+Model!$B$18)^97))</f>
        <v/>
      </c>
      <c r="DH119" s="7">
        <f>IF(A119="","",IF((A119+98)&gt;Model!$B$4,0,MAX(0,Model!$B$6-IF((A119+98)&gt;=Model!$B$11,Model!$B$20,0)-IF(98&lt;Model!$B$15,Model!$B$22,0))/(1-Model!$B$9)/(1+Model!$B$18)^98))</f>
        <v/>
      </c>
      <c r="DI119" s="7">
        <f>IF(A119="","",IF((A119+99)&gt;Model!$B$4,0,MAX(0,Model!$B$6-IF((A119+99)&gt;=Model!$B$11,Model!$B$20,0)-IF(99&lt;Model!$B$15,Model!$B$22,0))/(1-Model!$B$9)/(1+Model!$B$18)^99))</f>
        <v/>
      </c>
      <c r="DJ119" s="7">
        <f>IF(A119="","",IF((A119+100)&gt;Model!$B$4,0,MAX(0,Model!$B$6-IF((A119+100)&gt;=Model!$B$11,Model!$B$20,0)-IF(100&lt;Model!$B$15,Model!$B$22,0))/(1-Model!$B$9)/(1+Model!$B$18)^100))</f>
        <v/>
      </c>
      <c r="DK119" s="7">
        <f>IF(A119="","",IF((A119+101)&gt;Model!$B$4,0,MAX(0,Model!$B$6-IF((A119+101)&gt;=Model!$B$11,Model!$B$20,0)-IF(101&lt;Model!$B$15,Model!$B$22,0))/(1-Model!$B$9)/(1+Model!$B$18)^101))</f>
        <v/>
      </c>
      <c r="DL119" s="7">
        <f>IF(A119="","",IF((A119+102)&gt;Model!$B$4,0,MAX(0,Model!$B$6-IF((A119+102)&gt;=Model!$B$11,Model!$B$20,0)-IF(102&lt;Model!$B$15,Model!$B$22,0))/(1-Model!$B$9)/(1+Model!$B$18)^102))</f>
        <v/>
      </c>
      <c r="DM119" s="7">
        <f>IF(A119="","",IF((A119+103)&gt;Model!$B$4,0,MAX(0,Model!$B$6-IF((A119+103)&gt;=Model!$B$11,Model!$B$20,0)-IF(103&lt;Model!$B$15,Model!$B$22,0))/(1-Model!$B$9)/(1+Model!$B$18)^103))</f>
        <v/>
      </c>
      <c r="DN119" s="7">
        <f>IF(A119="","",IF((A119+104)&gt;Model!$B$4,0,MAX(0,Model!$B$6-IF((A119+104)&gt;=Model!$B$11,Model!$B$20,0)-IF(104&lt;Model!$B$15,Model!$B$22,0))/(1-Model!$B$9)/(1+Model!$B$18)^104))</f>
        <v/>
      </c>
      <c r="DO119" s="7">
        <f>IF(A119="","",IF((A119+105)&gt;Model!$B$4,0,MAX(0,Model!$B$6-IF((A119+105)&gt;=Model!$B$11,Model!$B$20,0)-IF(105&lt;Model!$B$15,Model!$B$22,0))/(1-Model!$B$9)/(1+Model!$B$18)^105))</f>
        <v/>
      </c>
      <c r="DP119" s="7">
        <f>IF(A119="","",IF((A119+106)&gt;Model!$B$4,0,MAX(0,Model!$B$6-IF((A119+106)&gt;=Model!$B$11,Model!$B$20,0)-IF(106&lt;Model!$B$15,Model!$B$22,0))/(1-Model!$B$9)/(1+Model!$B$18)^106))</f>
        <v/>
      </c>
      <c r="DQ119" s="7">
        <f>IF(A119="","",IF((A119+107)&gt;Model!$B$4,0,MAX(0,Model!$B$6-IF((A119+107)&gt;=Model!$B$11,Model!$B$20,0)-IF(107&lt;Model!$B$15,Model!$B$22,0))/(1-Model!$B$9)/(1+Model!$B$18)^107))</f>
        <v/>
      </c>
      <c r="DR119" s="7">
        <f>IF(A119="","",IF((A119+108)&gt;Model!$B$4,0,MAX(0,Model!$B$6-IF((A119+108)&gt;=Model!$B$11,Model!$B$20,0)-IF(108&lt;Model!$B$15,Model!$B$22,0))/(1-Model!$B$9)/(1+Model!$B$18)^108))</f>
        <v/>
      </c>
      <c r="DS119" s="7">
        <f>IF(A119="","",IF((A119+109)&gt;Model!$B$4,0,MAX(0,Model!$B$6-IF((A119+109)&gt;=Model!$B$11,Model!$B$20,0)-IF(109&lt;Model!$B$15,Model!$B$22,0))/(1-Model!$B$9)/(1+Model!$B$18)^109))</f>
        <v/>
      </c>
      <c r="DT119" s="7">
        <f>IF(A119="","",IF((A119+110)&gt;Model!$B$4,0,MAX(0,Model!$B$6-IF((A119+110)&gt;=Model!$B$11,Model!$B$20,0)-IF(110&lt;Model!$B$15,Model!$B$22,0))/(1-Model!$B$9)/(1+Model!$B$18)^110))</f>
        <v/>
      </c>
      <c r="DU119" s="7">
        <f>IF(A119="","",IF((A119+111)&gt;Model!$B$4,0,MAX(0,Model!$B$6-IF((A119+111)&gt;=Model!$B$11,Model!$B$20,0)-IF(111&lt;Model!$B$15,Model!$B$22,0))/(1-Model!$B$9)/(1+Model!$B$18)^111))</f>
        <v/>
      </c>
      <c r="DV119" s="7">
        <f>IF(A119="","",IF((A119+112)&gt;Model!$B$4,0,MAX(0,Model!$B$6-IF((A119+112)&gt;=Model!$B$11,Model!$B$20,0)-IF(112&lt;Model!$B$15,Model!$B$22,0))/(1-Model!$B$9)/(1+Model!$B$18)^112))</f>
        <v/>
      </c>
      <c r="DW119" s="7">
        <f>IF(A119="","",IF((A119+113)&gt;Model!$B$4,0,MAX(0,Model!$B$6-IF((A119+113)&gt;=Model!$B$11,Model!$B$20,0)-IF(113&lt;Model!$B$15,Model!$B$22,0))/(1-Model!$B$9)/(1+Model!$B$18)^113))</f>
        <v/>
      </c>
      <c r="DX119" s="7">
        <f>IF(A119="","",IF((A119+114)&gt;Model!$B$4,0,MAX(0,Model!$B$6-IF((A119+114)&gt;=Model!$B$11,Model!$B$20,0)-IF(114&lt;Model!$B$15,Model!$B$22,0))/(1-Model!$B$9)/(1+Model!$B$18)^114))</f>
        <v/>
      </c>
      <c r="DY119" s="7">
        <f>IF(A119="","",IF((A119+115)&gt;Model!$B$4,0,MAX(0,Model!$B$6-IF((A119+115)&gt;=Model!$B$11,Model!$B$20,0)-IF(115&lt;Model!$B$15,Model!$B$22,0))/(1-Model!$B$9)/(1+Model!$B$18)^115))</f>
        <v/>
      </c>
      <c r="DZ119" s="7">
        <f>IF(A119="","",IF((A119+116)&gt;Model!$B$4,0,MAX(0,Model!$B$6-IF((A119+116)&gt;=Model!$B$11,Model!$B$20,0)-IF(116&lt;Model!$B$15,Model!$B$22,0))/(1-Model!$B$9)/(1+Model!$B$18)^116))</f>
        <v/>
      </c>
      <c r="EA119" s="7">
        <f>IF(A119="","",IF((A119+117)&gt;Model!$B$4,0,MAX(0,Model!$B$6-IF((A119+117)&gt;=Model!$B$11,Model!$B$20,0)-IF(117&lt;Model!$B$15,Model!$B$22,0))/(1-Model!$B$9)/(1+Model!$B$18)^117))</f>
        <v/>
      </c>
      <c r="EB119" s="7">
        <f>IF(A119="","",IF((A119+118)&gt;Model!$B$4,0,MAX(0,Model!$B$6-IF((A119+118)&gt;=Model!$B$11,Model!$B$20,0)-IF(118&lt;Model!$B$15,Model!$B$22,0))/(1-Model!$B$9)/(1+Model!$B$18)^118))</f>
        <v/>
      </c>
      <c r="EC119" s="7">
        <f>IF(A119="","",IF((A119+119)&gt;Model!$B$4,0,MAX(0,Model!$B$6-IF((A119+119)&gt;=Model!$B$11,Model!$B$20,0)-IF(119&lt;Model!$B$15,Model!$B$22,0))/(1-Model!$B$9)/(1+Model!$B$18)^119))</f>
        <v/>
      </c>
      <c r="ED119" s="7">
        <f>IF(A119="","",IF((A119+120)&gt;Model!$B$4,0,MAX(0,Model!$B$6-IF((A119+120)&gt;=Model!$B$11,Model!$B$20,0)-IF(120&lt;Model!$B$15,Model!$B$22,0))/(1-Model!$B$9)/(1+Model!$B$18)^120))</f>
        <v/>
      </c>
    </row>
    <row r="120">
      <c r="A120">
        <f>IF(Model!$B$10+ROW()-2&lt;=Model!$B$4,Model!$B$10+ROW()-2,"")</f>
        <v/>
      </c>
      <c r="B120">
        <f>IF(A120="","",A120-Model!$B$10)</f>
        <v/>
      </c>
      <c r="C120" s="7">
        <f>IF(A120="","",Model!$B$5*(1+Model!$B$18)^B120)</f>
        <v/>
      </c>
      <c r="D120" s="7">
        <f>IF(A120="","",SUM(N120:ED120))</f>
        <v/>
      </c>
      <c r="E120" s="7">
        <f>IF(A120="","",IF(A120&gt;=Model!$B$11,Model!$B$20,0))</f>
        <v/>
      </c>
      <c r="F120" s="7">
        <f>IF(A120="","",IF(Model!$B$15&gt;0,Model!$B$22,0))</f>
        <v/>
      </c>
      <c r="G120" s="7">
        <f>IF(A120="","",E120+F120)</f>
        <v/>
      </c>
      <c r="H120" s="7">
        <f>IF(A120="","",MAX(0,Model!$B$6-G120))</f>
        <v/>
      </c>
      <c r="I120" s="7">
        <f>IF(A120="","",H120/(1-Model!$B$9))</f>
        <v/>
      </c>
      <c r="J120" s="7">
        <f>IF(A120="","",C120-D120)</f>
        <v/>
      </c>
      <c r="K120">
        <f>IF(A120="","",C120&gt;=D120)</f>
        <v/>
      </c>
      <c r="L120" s="7">
        <f>IF(A120="","",IF(A120&gt;=Model!$B$11,Model!$B$19*(1+Model!$B$13)^B120,0))</f>
        <v/>
      </c>
      <c r="M120" s="7">
        <f>IF(A120="","",IF(Model!$B$15&gt;0,Model!$B$21*(1+Model!$B$13)^B120,0))</f>
        <v/>
      </c>
      <c r="N120" s="7">
        <f>IF(A120="","",IF((A120+0)&gt;Model!$B$4,0,MAX(0,Model!$B$6-IF((A120+0)&gt;=Model!$B$11,Model!$B$20,0)-IF(0&lt;Model!$B$15,Model!$B$22,0))/(1-Model!$B$9)/(1+Model!$B$18)^0))</f>
        <v/>
      </c>
      <c r="O120" s="7">
        <f>IF(A120="","",IF((A120+1)&gt;Model!$B$4,0,MAX(0,Model!$B$6-IF((A120+1)&gt;=Model!$B$11,Model!$B$20,0)-IF(1&lt;Model!$B$15,Model!$B$22,0))/(1-Model!$B$9)/(1+Model!$B$18)^1))</f>
        <v/>
      </c>
      <c r="P120" s="7">
        <f>IF(A120="","",IF((A120+2)&gt;Model!$B$4,0,MAX(0,Model!$B$6-IF((A120+2)&gt;=Model!$B$11,Model!$B$20,0)-IF(2&lt;Model!$B$15,Model!$B$22,0))/(1-Model!$B$9)/(1+Model!$B$18)^2))</f>
        <v/>
      </c>
      <c r="Q120" s="7">
        <f>IF(A120="","",IF((A120+3)&gt;Model!$B$4,0,MAX(0,Model!$B$6-IF((A120+3)&gt;=Model!$B$11,Model!$B$20,0)-IF(3&lt;Model!$B$15,Model!$B$22,0))/(1-Model!$B$9)/(1+Model!$B$18)^3))</f>
        <v/>
      </c>
      <c r="R120" s="7">
        <f>IF(A120="","",IF((A120+4)&gt;Model!$B$4,0,MAX(0,Model!$B$6-IF((A120+4)&gt;=Model!$B$11,Model!$B$20,0)-IF(4&lt;Model!$B$15,Model!$B$22,0))/(1-Model!$B$9)/(1+Model!$B$18)^4))</f>
        <v/>
      </c>
      <c r="S120" s="7">
        <f>IF(A120="","",IF((A120+5)&gt;Model!$B$4,0,MAX(0,Model!$B$6-IF((A120+5)&gt;=Model!$B$11,Model!$B$20,0)-IF(5&lt;Model!$B$15,Model!$B$22,0))/(1-Model!$B$9)/(1+Model!$B$18)^5))</f>
        <v/>
      </c>
      <c r="T120" s="7">
        <f>IF(A120="","",IF((A120+6)&gt;Model!$B$4,0,MAX(0,Model!$B$6-IF((A120+6)&gt;=Model!$B$11,Model!$B$20,0)-IF(6&lt;Model!$B$15,Model!$B$22,0))/(1-Model!$B$9)/(1+Model!$B$18)^6))</f>
        <v/>
      </c>
      <c r="U120" s="7">
        <f>IF(A120="","",IF((A120+7)&gt;Model!$B$4,0,MAX(0,Model!$B$6-IF((A120+7)&gt;=Model!$B$11,Model!$B$20,0)-IF(7&lt;Model!$B$15,Model!$B$22,0))/(1-Model!$B$9)/(1+Model!$B$18)^7))</f>
        <v/>
      </c>
      <c r="V120" s="7">
        <f>IF(A120="","",IF((A120+8)&gt;Model!$B$4,0,MAX(0,Model!$B$6-IF((A120+8)&gt;=Model!$B$11,Model!$B$20,0)-IF(8&lt;Model!$B$15,Model!$B$22,0))/(1-Model!$B$9)/(1+Model!$B$18)^8))</f>
        <v/>
      </c>
      <c r="W120" s="7">
        <f>IF(A120="","",IF((A120+9)&gt;Model!$B$4,0,MAX(0,Model!$B$6-IF((A120+9)&gt;=Model!$B$11,Model!$B$20,0)-IF(9&lt;Model!$B$15,Model!$B$22,0))/(1-Model!$B$9)/(1+Model!$B$18)^9))</f>
        <v/>
      </c>
      <c r="X120" s="7">
        <f>IF(A120="","",IF((A120+10)&gt;Model!$B$4,0,MAX(0,Model!$B$6-IF((A120+10)&gt;=Model!$B$11,Model!$B$20,0)-IF(10&lt;Model!$B$15,Model!$B$22,0))/(1-Model!$B$9)/(1+Model!$B$18)^10))</f>
        <v/>
      </c>
      <c r="Y120" s="7">
        <f>IF(A120="","",IF((A120+11)&gt;Model!$B$4,0,MAX(0,Model!$B$6-IF((A120+11)&gt;=Model!$B$11,Model!$B$20,0)-IF(11&lt;Model!$B$15,Model!$B$22,0))/(1-Model!$B$9)/(1+Model!$B$18)^11))</f>
        <v/>
      </c>
      <c r="Z120" s="7">
        <f>IF(A120="","",IF((A120+12)&gt;Model!$B$4,0,MAX(0,Model!$B$6-IF((A120+12)&gt;=Model!$B$11,Model!$B$20,0)-IF(12&lt;Model!$B$15,Model!$B$22,0))/(1-Model!$B$9)/(1+Model!$B$18)^12))</f>
        <v/>
      </c>
      <c r="AA120" s="7">
        <f>IF(A120="","",IF((A120+13)&gt;Model!$B$4,0,MAX(0,Model!$B$6-IF((A120+13)&gt;=Model!$B$11,Model!$B$20,0)-IF(13&lt;Model!$B$15,Model!$B$22,0))/(1-Model!$B$9)/(1+Model!$B$18)^13))</f>
        <v/>
      </c>
      <c r="AB120" s="7">
        <f>IF(A120="","",IF((A120+14)&gt;Model!$B$4,0,MAX(0,Model!$B$6-IF((A120+14)&gt;=Model!$B$11,Model!$B$20,0)-IF(14&lt;Model!$B$15,Model!$B$22,0))/(1-Model!$B$9)/(1+Model!$B$18)^14))</f>
        <v/>
      </c>
      <c r="AC120" s="7">
        <f>IF(A120="","",IF((A120+15)&gt;Model!$B$4,0,MAX(0,Model!$B$6-IF((A120+15)&gt;=Model!$B$11,Model!$B$20,0)-IF(15&lt;Model!$B$15,Model!$B$22,0))/(1-Model!$B$9)/(1+Model!$B$18)^15))</f>
        <v/>
      </c>
      <c r="AD120" s="7">
        <f>IF(A120="","",IF((A120+16)&gt;Model!$B$4,0,MAX(0,Model!$B$6-IF((A120+16)&gt;=Model!$B$11,Model!$B$20,0)-IF(16&lt;Model!$B$15,Model!$B$22,0))/(1-Model!$B$9)/(1+Model!$B$18)^16))</f>
        <v/>
      </c>
      <c r="AE120" s="7">
        <f>IF(A120="","",IF((A120+17)&gt;Model!$B$4,0,MAX(0,Model!$B$6-IF((A120+17)&gt;=Model!$B$11,Model!$B$20,0)-IF(17&lt;Model!$B$15,Model!$B$22,0))/(1-Model!$B$9)/(1+Model!$B$18)^17))</f>
        <v/>
      </c>
      <c r="AF120" s="7">
        <f>IF(A120="","",IF((A120+18)&gt;Model!$B$4,0,MAX(0,Model!$B$6-IF((A120+18)&gt;=Model!$B$11,Model!$B$20,0)-IF(18&lt;Model!$B$15,Model!$B$22,0))/(1-Model!$B$9)/(1+Model!$B$18)^18))</f>
        <v/>
      </c>
      <c r="AG120" s="7">
        <f>IF(A120="","",IF((A120+19)&gt;Model!$B$4,0,MAX(0,Model!$B$6-IF((A120+19)&gt;=Model!$B$11,Model!$B$20,0)-IF(19&lt;Model!$B$15,Model!$B$22,0))/(1-Model!$B$9)/(1+Model!$B$18)^19))</f>
        <v/>
      </c>
      <c r="AH120" s="7">
        <f>IF(A120="","",IF((A120+20)&gt;Model!$B$4,0,MAX(0,Model!$B$6-IF((A120+20)&gt;=Model!$B$11,Model!$B$20,0)-IF(20&lt;Model!$B$15,Model!$B$22,0))/(1-Model!$B$9)/(1+Model!$B$18)^20))</f>
        <v/>
      </c>
      <c r="AI120" s="7">
        <f>IF(A120="","",IF((A120+21)&gt;Model!$B$4,0,MAX(0,Model!$B$6-IF((A120+21)&gt;=Model!$B$11,Model!$B$20,0)-IF(21&lt;Model!$B$15,Model!$B$22,0))/(1-Model!$B$9)/(1+Model!$B$18)^21))</f>
        <v/>
      </c>
      <c r="AJ120" s="7">
        <f>IF(A120="","",IF((A120+22)&gt;Model!$B$4,0,MAX(0,Model!$B$6-IF((A120+22)&gt;=Model!$B$11,Model!$B$20,0)-IF(22&lt;Model!$B$15,Model!$B$22,0))/(1-Model!$B$9)/(1+Model!$B$18)^22))</f>
        <v/>
      </c>
      <c r="AK120" s="7">
        <f>IF(A120="","",IF((A120+23)&gt;Model!$B$4,0,MAX(0,Model!$B$6-IF((A120+23)&gt;=Model!$B$11,Model!$B$20,0)-IF(23&lt;Model!$B$15,Model!$B$22,0))/(1-Model!$B$9)/(1+Model!$B$18)^23))</f>
        <v/>
      </c>
      <c r="AL120" s="7">
        <f>IF(A120="","",IF((A120+24)&gt;Model!$B$4,0,MAX(0,Model!$B$6-IF((A120+24)&gt;=Model!$B$11,Model!$B$20,0)-IF(24&lt;Model!$B$15,Model!$B$22,0))/(1-Model!$B$9)/(1+Model!$B$18)^24))</f>
        <v/>
      </c>
      <c r="AM120" s="7">
        <f>IF(A120="","",IF((A120+25)&gt;Model!$B$4,0,MAX(0,Model!$B$6-IF((A120+25)&gt;=Model!$B$11,Model!$B$20,0)-IF(25&lt;Model!$B$15,Model!$B$22,0))/(1-Model!$B$9)/(1+Model!$B$18)^25))</f>
        <v/>
      </c>
      <c r="AN120" s="7">
        <f>IF(A120="","",IF((A120+26)&gt;Model!$B$4,0,MAX(0,Model!$B$6-IF((A120+26)&gt;=Model!$B$11,Model!$B$20,0)-IF(26&lt;Model!$B$15,Model!$B$22,0))/(1-Model!$B$9)/(1+Model!$B$18)^26))</f>
        <v/>
      </c>
      <c r="AO120" s="7">
        <f>IF(A120="","",IF((A120+27)&gt;Model!$B$4,0,MAX(0,Model!$B$6-IF((A120+27)&gt;=Model!$B$11,Model!$B$20,0)-IF(27&lt;Model!$B$15,Model!$B$22,0))/(1-Model!$B$9)/(1+Model!$B$18)^27))</f>
        <v/>
      </c>
      <c r="AP120" s="7">
        <f>IF(A120="","",IF((A120+28)&gt;Model!$B$4,0,MAX(0,Model!$B$6-IF((A120+28)&gt;=Model!$B$11,Model!$B$20,0)-IF(28&lt;Model!$B$15,Model!$B$22,0))/(1-Model!$B$9)/(1+Model!$B$18)^28))</f>
        <v/>
      </c>
      <c r="AQ120" s="7">
        <f>IF(A120="","",IF((A120+29)&gt;Model!$B$4,0,MAX(0,Model!$B$6-IF((A120+29)&gt;=Model!$B$11,Model!$B$20,0)-IF(29&lt;Model!$B$15,Model!$B$22,0))/(1-Model!$B$9)/(1+Model!$B$18)^29))</f>
        <v/>
      </c>
      <c r="AR120" s="7">
        <f>IF(A120="","",IF((A120+30)&gt;Model!$B$4,0,MAX(0,Model!$B$6-IF((A120+30)&gt;=Model!$B$11,Model!$B$20,0)-IF(30&lt;Model!$B$15,Model!$B$22,0))/(1-Model!$B$9)/(1+Model!$B$18)^30))</f>
        <v/>
      </c>
      <c r="AS120" s="7">
        <f>IF(A120="","",IF((A120+31)&gt;Model!$B$4,0,MAX(0,Model!$B$6-IF((A120+31)&gt;=Model!$B$11,Model!$B$20,0)-IF(31&lt;Model!$B$15,Model!$B$22,0))/(1-Model!$B$9)/(1+Model!$B$18)^31))</f>
        <v/>
      </c>
      <c r="AT120" s="7">
        <f>IF(A120="","",IF((A120+32)&gt;Model!$B$4,0,MAX(0,Model!$B$6-IF((A120+32)&gt;=Model!$B$11,Model!$B$20,0)-IF(32&lt;Model!$B$15,Model!$B$22,0))/(1-Model!$B$9)/(1+Model!$B$18)^32))</f>
        <v/>
      </c>
      <c r="AU120" s="7">
        <f>IF(A120="","",IF((A120+33)&gt;Model!$B$4,0,MAX(0,Model!$B$6-IF((A120+33)&gt;=Model!$B$11,Model!$B$20,0)-IF(33&lt;Model!$B$15,Model!$B$22,0))/(1-Model!$B$9)/(1+Model!$B$18)^33))</f>
        <v/>
      </c>
      <c r="AV120" s="7">
        <f>IF(A120="","",IF((A120+34)&gt;Model!$B$4,0,MAX(0,Model!$B$6-IF((A120+34)&gt;=Model!$B$11,Model!$B$20,0)-IF(34&lt;Model!$B$15,Model!$B$22,0))/(1-Model!$B$9)/(1+Model!$B$18)^34))</f>
        <v/>
      </c>
      <c r="AW120" s="7">
        <f>IF(A120="","",IF((A120+35)&gt;Model!$B$4,0,MAX(0,Model!$B$6-IF((A120+35)&gt;=Model!$B$11,Model!$B$20,0)-IF(35&lt;Model!$B$15,Model!$B$22,0))/(1-Model!$B$9)/(1+Model!$B$18)^35))</f>
        <v/>
      </c>
      <c r="AX120" s="7">
        <f>IF(A120="","",IF((A120+36)&gt;Model!$B$4,0,MAX(0,Model!$B$6-IF((A120+36)&gt;=Model!$B$11,Model!$B$20,0)-IF(36&lt;Model!$B$15,Model!$B$22,0))/(1-Model!$B$9)/(1+Model!$B$18)^36))</f>
        <v/>
      </c>
      <c r="AY120" s="7">
        <f>IF(A120="","",IF((A120+37)&gt;Model!$B$4,0,MAX(0,Model!$B$6-IF((A120+37)&gt;=Model!$B$11,Model!$B$20,0)-IF(37&lt;Model!$B$15,Model!$B$22,0))/(1-Model!$B$9)/(1+Model!$B$18)^37))</f>
        <v/>
      </c>
      <c r="AZ120" s="7">
        <f>IF(A120="","",IF((A120+38)&gt;Model!$B$4,0,MAX(0,Model!$B$6-IF((A120+38)&gt;=Model!$B$11,Model!$B$20,0)-IF(38&lt;Model!$B$15,Model!$B$22,0))/(1-Model!$B$9)/(1+Model!$B$18)^38))</f>
        <v/>
      </c>
      <c r="BA120" s="7">
        <f>IF(A120="","",IF((A120+39)&gt;Model!$B$4,0,MAX(0,Model!$B$6-IF((A120+39)&gt;=Model!$B$11,Model!$B$20,0)-IF(39&lt;Model!$B$15,Model!$B$22,0))/(1-Model!$B$9)/(1+Model!$B$18)^39))</f>
        <v/>
      </c>
      <c r="BB120" s="7">
        <f>IF(A120="","",IF((A120+40)&gt;Model!$B$4,0,MAX(0,Model!$B$6-IF((A120+40)&gt;=Model!$B$11,Model!$B$20,0)-IF(40&lt;Model!$B$15,Model!$B$22,0))/(1-Model!$B$9)/(1+Model!$B$18)^40))</f>
        <v/>
      </c>
      <c r="BC120" s="7">
        <f>IF(A120="","",IF((A120+41)&gt;Model!$B$4,0,MAX(0,Model!$B$6-IF((A120+41)&gt;=Model!$B$11,Model!$B$20,0)-IF(41&lt;Model!$B$15,Model!$B$22,0))/(1-Model!$B$9)/(1+Model!$B$18)^41))</f>
        <v/>
      </c>
      <c r="BD120" s="7">
        <f>IF(A120="","",IF((A120+42)&gt;Model!$B$4,0,MAX(0,Model!$B$6-IF((A120+42)&gt;=Model!$B$11,Model!$B$20,0)-IF(42&lt;Model!$B$15,Model!$B$22,0))/(1-Model!$B$9)/(1+Model!$B$18)^42))</f>
        <v/>
      </c>
      <c r="BE120" s="7">
        <f>IF(A120="","",IF((A120+43)&gt;Model!$B$4,0,MAX(0,Model!$B$6-IF((A120+43)&gt;=Model!$B$11,Model!$B$20,0)-IF(43&lt;Model!$B$15,Model!$B$22,0))/(1-Model!$B$9)/(1+Model!$B$18)^43))</f>
        <v/>
      </c>
      <c r="BF120" s="7">
        <f>IF(A120="","",IF((A120+44)&gt;Model!$B$4,0,MAX(0,Model!$B$6-IF((A120+44)&gt;=Model!$B$11,Model!$B$20,0)-IF(44&lt;Model!$B$15,Model!$B$22,0))/(1-Model!$B$9)/(1+Model!$B$18)^44))</f>
        <v/>
      </c>
      <c r="BG120" s="7">
        <f>IF(A120="","",IF((A120+45)&gt;Model!$B$4,0,MAX(0,Model!$B$6-IF((A120+45)&gt;=Model!$B$11,Model!$B$20,0)-IF(45&lt;Model!$B$15,Model!$B$22,0))/(1-Model!$B$9)/(1+Model!$B$18)^45))</f>
        <v/>
      </c>
      <c r="BH120" s="7">
        <f>IF(A120="","",IF((A120+46)&gt;Model!$B$4,0,MAX(0,Model!$B$6-IF((A120+46)&gt;=Model!$B$11,Model!$B$20,0)-IF(46&lt;Model!$B$15,Model!$B$22,0))/(1-Model!$B$9)/(1+Model!$B$18)^46))</f>
        <v/>
      </c>
      <c r="BI120" s="7">
        <f>IF(A120="","",IF((A120+47)&gt;Model!$B$4,0,MAX(0,Model!$B$6-IF((A120+47)&gt;=Model!$B$11,Model!$B$20,0)-IF(47&lt;Model!$B$15,Model!$B$22,0))/(1-Model!$B$9)/(1+Model!$B$18)^47))</f>
        <v/>
      </c>
      <c r="BJ120" s="7">
        <f>IF(A120="","",IF((A120+48)&gt;Model!$B$4,0,MAX(0,Model!$B$6-IF((A120+48)&gt;=Model!$B$11,Model!$B$20,0)-IF(48&lt;Model!$B$15,Model!$B$22,0))/(1-Model!$B$9)/(1+Model!$B$18)^48))</f>
        <v/>
      </c>
      <c r="BK120" s="7">
        <f>IF(A120="","",IF((A120+49)&gt;Model!$B$4,0,MAX(0,Model!$B$6-IF((A120+49)&gt;=Model!$B$11,Model!$B$20,0)-IF(49&lt;Model!$B$15,Model!$B$22,0))/(1-Model!$B$9)/(1+Model!$B$18)^49))</f>
        <v/>
      </c>
      <c r="BL120" s="7">
        <f>IF(A120="","",IF((A120+50)&gt;Model!$B$4,0,MAX(0,Model!$B$6-IF((A120+50)&gt;=Model!$B$11,Model!$B$20,0)-IF(50&lt;Model!$B$15,Model!$B$22,0))/(1-Model!$B$9)/(1+Model!$B$18)^50))</f>
        <v/>
      </c>
      <c r="BM120" s="7">
        <f>IF(A120="","",IF((A120+51)&gt;Model!$B$4,0,MAX(0,Model!$B$6-IF((A120+51)&gt;=Model!$B$11,Model!$B$20,0)-IF(51&lt;Model!$B$15,Model!$B$22,0))/(1-Model!$B$9)/(1+Model!$B$18)^51))</f>
        <v/>
      </c>
      <c r="BN120" s="7">
        <f>IF(A120="","",IF((A120+52)&gt;Model!$B$4,0,MAX(0,Model!$B$6-IF((A120+52)&gt;=Model!$B$11,Model!$B$20,0)-IF(52&lt;Model!$B$15,Model!$B$22,0))/(1-Model!$B$9)/(1+Model!$B$18)^52))</f>
        <v/>
      </c>
      <c r="BO120" s="7">
        <f>IF(A120="","",IF((A120+53)&gt;Model!$B$4,0,MAX(0,Model!$B$6-IF((A120+53)&gt;=Model!$B$11,Model!$B$20,0)-IF(53&lt;Model!$B$15,Model!$B$22,0))/(1-Model!$B$9)/(1+Model!$B$18)^53))</f>
        <v/>
      </c>
      <c r="BP120" s="7">
        <f>IF(A120="","",IF((A120+54)&gt;Model!$B$4,0,MAX(0,Model!$B$6-IF((A120+54)&gt;=Model!$B$11,Model!$B$20,0)-IF(54&lt;Model!$B$15,Model!$B$22,0))/(1-Model!$B$9)/(1+Model!$B$18)^54))</f>
        <v/>
      </c>
      <c r="BQ120" s="7">
        <f>IF(A120="","",IF((A120+55)&gt;Model!$B$4,0,MAX(0,Model!$B$6-IF((A120+55)&gt;=Model!$B$11,Model!$B$20,0)-IF(55&lt;Model!$B$15,Model!$B$22,0))/(1-Model!$B$9)/(1+Model!$B$18)^55))</f>
        <v/>
      </c>
      <c r="BR120" s="7">
        <f>IF(A120="","",IF((A120+56)&gt;Model!$B$4,0,MAX(0,Model!$B$6-IF((A120+56)&gt;=Model!$B$11,Model!$B$20,0)-IF(56&lt;Model!$B$15,Model!$B$22,0))/(1-Model!$B$9)/(1+Model!$B$18)^56))</f>
        <v/>
      </c>
      <c r="BS120" s="7">
        <f>IF(A120="","",IF((A120+57)&gt;Model!$B$4,0,MAX(0,Model!$B$6-IF((A120+57)&gt;=Model!$B$11,Model!$B$20,0)-IF(57&lt;Model!$B$15,Model!$B$22,0))/(1-Model!$B$9)/(1+Model!$B$18)^57))</f>
        <v/>
      </c>
      <c r="BT120" s="7">
        <f>IF(A120="","",IF((A120+58)&gt;Model!$B$4,0,MAX(0,Model!$B$6-IF((A120+58)&gt;=Model!$B$11,Model!$B$20,0)-IF(58&lt;Model!$B$15,Model!$B$22,0))/(1-Model!$B$9)/(1+Model!$B$18)^58))</f>
        <v/>
      </c>
      <c r="BU120" s="7">
        <f>IF(A120="","",IF((A120+59)&gt;Model!$B$4,0,MAX(0,Model!$B$6-IF((A120+59)&gt;=Model!$B$11,Model!$B$20,0)-IF(59&lt;Model!$B$15,Model!$B$22,0))/(1-Model!$B$9)/(1+Model!$B$18)^59))</f>
        <v/>
      </c>
      <c r="BV120" s="7">
        <f>IF(A120="","",IF((A120+60)&gt;Model!$B$4,0,MAX(0,Model!$B$6-IF((A120+60)&gt;=Model!$B$11,Model!$B$20,0)-IF(60&lt;Model!$B$15,Model!$B$22,0))/(1-Model!$B$9)/(1+Model!$B$18)^60))</f>
        <v/>
      </c>
      <c r="BW120" s="7">
        <f>IF(A120="","",IF((A120+61)&gt;Model!$B$4,0,MAX(0,Model!$B$6-IF((A120+61)&gt;=Model!$B$11,Model!$B$20,0)-IF(61&lt;Model!$B$15,Model!$B$22,0))/(1-Model!$B$9)/(1+Model!$B$18)^61))</f>
        <v/>
      </c>
      <c r="BX120" s="7">
        <f>IF(A120="","",IF((A120+62)&gt;Model!$B$4,0,MAX(0,Model!$B$6-IF((A120+62)&gt;=Model!$B$11,Model!$B$20,0)-IF(62&lt;Model!$B$15,Model!$B$22,0))/(1-Model!$B$9)/(1+Model!$B$18)^62))</f>
        <v/>
      </c>
      <c r="BY120" s="7">
        <f>IF(A120="","",IF((A120+63)&gt;Model!$B$4,0,MAX(0,Model!$B$6-IF((A120+63)&gt;=Model!$B$11,Model!$B$20,0)-IF(63&lt;Model!$B$15,Model!$B$22,0))/(1-Model!$B$9)/(1+Model!$B$18)^63))</f>
        <v/>
      </c>
      <c r="BZ120" s="7">
        <f>IF(A120="","",IF((A120+64)&gt;Model!$B$4,0,MAX(0,Model!$B$6-IF((A120+64)&gt;=Model!$B$11,Model!$B$20,0)-IF(64&lt;Model!$B$15,Model!$B$22,0))/(1-Model!$B$9)/(1+Model!$B$18)^64))</f>
        <v/>
      </c>
      <c r="CA120" s="7">
        <f>IF(A120="","",IF((A120+65)&gt;Model!$B$4,0,MAX(0,Model!$B$6-IF((A120+65)&gt;=Model!$B$11,Model!$B$20,0)-IF(65&lt;Model!$B$15,Model!$B$22,0))/(1-Model!$B$9)/(1+Model!$B$18)^65))</f>
        <v/>
      </c>
      <c r="CB120" s="7">
        <f>IF(A120="","",IF((A120+66)&gt;Model!$B$4,0,MAX(0,Model!$B$6-IF((A120+66)&gt;=Model!$B$11,Model!$B$20,0)-IF(66&lt;Model!$B$15,Model!$B$22,0))/(1-Model!$B$9)/(1+Model!$B$18)^66))</f>
        <v/>
      </c>
      <c r="CC120" s="7">
        <f>IF(A120="","",IF((A120+67)&gt;Model!$B$4,0,MAX(0,Model!$B$6-IF((A120+67)&gt;=Model!$B$11,Model!$B$20,0)-IF(67&lt;Model!$B$15,Model!$B$22,0))/(1-Model!$B$9)/(1+Model!$B$18)^67))</f>
        <v/>
      </c>
      <c r="CD120" s="7">
        <f>IF(A120="","",IF((A120+68)&gt;Model!$B$4,0,MAX(0,Model!$B$6-IF((A120+68)&gt;=Model!$B$11,Model!$B$20,0)-IF(68&lt;Model!$B$15,Model!$B$22,0))/(1-Model!$B$9)/(1+Model!$B$18)^68))</f>
        <v/>
      </c>
      <c r="CE120" s="7">
        <f>IF(A120="","",IF((A120+69)&gt;Model!$B$4,0,MAX(0,Model!$B$6-IF((A120+69)&gt;=Model!$B$11,Model!$B$20,0)-IF(69&lt;Model!$B$15,Model!$B$22,0))/(1-Model!$B$9)/(1+Model!$B$18)^69))</f>
        <v/>
      </c>
      <c r="CF120" s="7">
        <f>IF(A120="","",IF((A120+70)&gt;Model!$B$4,0,MAX(0,Model!$B$6-IF((A120+70)&gt;=Model!$B$11,Model!$B$20,0)-IF(70&lt;Model!$B$15,Model!$B$22,0))/(1-Model!$B$9)/(1+Model!$B$18)^70))</f>
        <v/>
      </c>
      <c r="CG120" s="7">
        <f>IF(A120="","",IF((A120+71)&gt;Model!$B$4,0,MAX(0,Model!$B$6-IF((A120+71)&gt;=Model!$B$11,Model!$B$20,0)-IF(71&lt;Model!$B$15,Model!$B$22,0))/(1-Model!$B$9)/(1+Model!$B$18)^71))</f>
        <v/>
      </c>
      <c r="CH120" s="7">
        <f>IF(A120="","",IF((A120+72)&gt;Model!$B$4,0,MAX(0,Model!$B$6-IF((A120+72)&gt;=Model!$B$11,Model!$B$20,0)-IF(72&lt;Model!$B$15,Model!$B$22,0))/(1-Model!$B$9)/(1+Model!$B$18)^72))</f>
        <v/>
      </c>
      <c r="CI120" s="7">
        <f>IF(A120="","",IF((A120+73)&gt;Model!$B$4,0,MAX(0,Model!$B$6-IF((A120+73)&gt;=Model!$B$11,Model!$B$20,0)-IF(73&lt;Model!$B$15,Model!$B$22,0))/(1-Model!$B$9)/(1+Model!$B$18)^73))</f>
        <v/>
      </c>
      <c r="CJ120" s="7">
        <f>IF(A120="","",IF((A120+74)&gt;Model!$B$4,0,MAX(0,Model!$B$6-IF((A120+74)&gt;=Model!$B$11,Model!$B$20,0)-IF(74&lt;Model!$B$15,Model!$B$22,0))/(1-Model!$B$9)/(1+Model!$B$18)^74))</f>
        <v/>
      </c>
      <c r="CK120" s="7">
        <f>IF(A120="","",IF((A120+75)&gt;Model!$B$4,0,MAX(0,Model!$B$6-IF((A120+75)&gt;=Model!$B$11,Model!$B$20,0)-IF(75&lt;Model!$B$15,Model!$B$22,0))/(1-Model!$B$9)/(1+Model!$B$18)^75))</f>
        <v/>
      </c>
      <c r="CL120" s="7">
        <f>IF(A120="","",IF((A120+76)&gt;Model!$B$4,0,MAX(0,Model!$B$6-IF((A120+76)&gt;=Model!$B$11,Model!$B$20,0)-IF(76&lt;Model!$B$15,Model!$B$22,0))/(1-Model!$B$9)/(1+Model!$B$18)^76))</f>
        <v/>
      </c>
      <c r="CM120" s="7">
        <f>IF(A120="","",IF((A120+77)&gt;Model!$B$4,0,MAX(0,Model!$B$6-IF((A120+77)&gt;=Model!$B$11,Model!$B$20,0)-IF(77&lt;Model!$B$15,Model!$B$22,0))/(1-Model!$B$9)/(1+Model!$B$18)^77))</f>
        <v/>
      </c>
      <c r="CN120" s="7">
        <f>IF(A120="","",IF((A120+78)&gt;Model!$B$4,0,MAX(0,Model!$B$6-IF((A120+78)&gt;=Model!$B$11,Model!$B$20,0)-IF(78&lt;Model!$B$15,Model!$B$22,0))/(1-Model!$B$9)/(1+Model!$B$18)^78))</f>
        <v/>
      </c>
      <c r="CO120" s="7">
        <f>IF(A120="","",IF((A120+79)&gt;Model!$B$4,0,MAX(0,Model!$B$6-IF((A120+79)&gt;=Model!$B$11,Model!$B$20,0)-IF(79&lt;Model!$B$15,Model!$B$22,0))/(1-Model!$B$9)/(1+Model!$B$18)^79))</f>
        <v/>
      </c>
      <c r="CP120" s="7">
        <f>IF(A120="","",IF((A120+80)&gt;Model!$B$4,0,MAX(0,Model!$B$6-IF((A120+80)&gt;=Model!$B$11,Model!$B$20,0)-IF(80&lt;Model!$B$15,Model!$B$22,0))/(1-Model!$B$9)/(1+Model!$B$18)^80))</f>
        <v/>
      </c>
      <c r="CQ120" s="7">
        <f>IF(A120="","",IF((A120+81)&gt;Model!$B$4,0,MAX(0,Model!$B$6-IF((A120+81)&gt;=Model!$B$11,Model!$B$20,0)-IF(81&lt;Model!$B$15,Model!$B$22,0))/(1-Model!$B$9)/(1+Model!$B$18)^81))</f>
        <v/>
      </c>
      <c r="CR120" s="7">
        <f>IF(A120="","",IF((A120+82)&gt;Model!$B$4,0,MAX(0,Model!$B$6-IF((A120+82)&gt;=Model!$B$11,Model!$B$20,0)-IF(82&lt;Model!$B$15,Model!$B$22,0))/(1-Model!$B$9)/(1+Model!$B$18)^82))</f>
        <v/>
      </c>
      <c r="CS120" s="7">
        <f>IF(A120="","",IF((A120+83)&gt;Model!$B$4,0,MAX(0,Model!$B$6-IF((A120+83)&gt;=Model!$B$11,Model!$B$20,0)-IF(83&lt;Model!$B$15,Model!$B$22,0))/(1-Model!$B$9)/(1+Model!$B$18)^83))</f>
        <v/>
      </c>
      <c r="CT120" s="7">
        <f>IF(A120="","",IF((A120+84)&gt;Model!$B$4,0,MAX(0,Model!$B$6-IF((A120+84)&gt;=Model!$B$11,Model!$B$20,0)-IF(84&lt;Model!$B$15,Model!$B$22,0))/(1-Model!$B$9)/(1+Model!$B$18)^84))</f>
        <v/>
      </c>
      <c r="CU120" s="7">
        <f>IF(A120="","",IF((A120+85)&gt;Model!$B$4,0,MAX(0,Model!$B$6-IF((A120+85)&gt;=Model!$B$11,Model!$B$20,0)-IF(85&lt;Model!$B$15,Model!$B$22,0))/(1-Model!$B$9)/(1+Model!$B$18)^85))</f>
        <v/>
      </c>
      <c r="CV120" s="7">
        <f>IF(A120="","",IF((A120+86)&gt;Model!$B$4,0,MAX(0,Model!$B$6-IF((A120+86)&gt;=Model!$B$11,Model!$B$20,0)-IF(86&lt;Model!$B$15,Model!$B$22,0))/(1-Model!$B$9)/(1+Model!$B$18)^86))</f>
        <v/>
      </c>
      <c r="CW120" s="7">
        <f>IF(A120="","",IF((A120+87)&gt;Model!$B$4,0,MAX(0,Model!$B$6-IF((A120+87)&gt;=Model!$B$11,Model!$B$20,0)-IF(87&lt;Model!$B$15,Model!$B$22,0))/(1-Model!$B$9)/(1+Model!$B$18)^87))</f>
        <v/>
      </c>
      <c r="CX120" s="7">
        <f>IF(A120="","",IF((A120+88)&gt;Model!$B$4,0,MAX(0,Model!$B$6-IF((A120+88)&gt;=Model!$B$11,Model!$B$20,0)-IF(88&lt;Model!$B$15,Model!$B$22,0))/(1-Model!$B$9)/(1+Model!$B$18)^88))</f>
        <v/>
      </c>
      <c r="CY120" s="7">
        <f>IF(A120="","",IF((A120+89)&gt;Model!$B$4,0,MAX(0,Model!$B$6-IF((A120+89)&gt;=Model!$B$11,Model!$B$20,0)-IF(89&lt;Model!$B$15,Model!$B$22,0))/(1-Model!$B$9)/(1+Model!$B$18)^89))</f>
        <v/>
      </c>
      <c r="CZ120" s="7">
        <f>IF(A120="","",IF((A120+90)&gt;Model!$B$4,0,MAX(0,Model!$B$6-IF((A120+90)&gt;=Model!$B$11,Model!$B$20,0)-IF(90&lt;Model!$B$15,Model!$B$22,0))/(1-Model!$B$9)/(1+Model!$B$18)^90))</f>
        <v/>
      </c>
      <c r="DA120" s="7">
        <f>IF(A120="","",IF((A120+91)&gt;Model!$B$4,0,MAX(0,Model!$B$6-IF((A120+91)&gt;=Model!$B$11,Model!$B$20,0)-IF(91&lt;Model!$B$15,Model!$B$22,0))/(1-Model!$B$9)/(1+Model!$B$18)^91))</f>
        <v/>
      </c>
      <c r="DB120" s="7">
        <f>IF(A120="","",IF((A120+92)&gt;Model!$B$4,0,MAX(0,Model!$B$6-IF((A120+92)&gt;=Model!$B$11,Model!$B$20,0)-IF(92&lt;Model!$B$15,Model!$B$22,0))/(1-Model!$B$9)/(1+Model!$B$18)^92))</f>
        <v/>
      </c>
      <c r="DC120" s="7">
        <f>IF(A120="","",IF((A120+93)&gt;Model!$B$4,0,MAX(0,Model!$B$6-IF((A120+93)&gt;=Model!$B$11,Model!$B$20,0)-IF(93&lt;Model!$B$15,Model!$B$22,0))/(1-Model!$B$9)/(1+Model!$B$18)^93))</f>
        <v/>
      </c>
      <c r="DD120" s="7">
        <f>IF(A120="","",IF((A120+94)&gt;Model!$B$4,0,MAX(0,Model!$B$6-IF((A120+94)&gt;=Model!$B$11,Model!$B$20,0)-IF(94&lt;Model!$B$15,Model!$B$22,0))/(1-Model!$B$9)/(1+Model!$B$18)^94))</f>
        <v/>
      </c>
      <c r="DE120" s="7">
        <f>IF(A120="","",IF((A120+95)&gt;Model!$B$4,0,MAX(0,Model!$B$6-IF((A120+95)&gt;=Model!$B$11,Model!$B$20,0)-IF(95&lt;Model!$B$15,Model!$B$22,0))/(1-Model!$B$9)/(1+Model!$B$18)^95))</f>
        <v/>
      </c>
      <c r="DF120" s="7">
        <f>IF(A120="","",IF((A120+96)&gt;Model!$B$4,0,MAX(0,Model!$B$6-IF((A120+96)&gt;=Model!$B$11,Model!$B$20,0)-IF(96&lt;Model!$B$15,Model!$B$22,0))/(1-Model!$B$9)/(1+Model!$B$18)^96))</f>
        <v/>
      </c>
      <c r="DG120" s="7">
        <f>IF(A120="","",IF((A120+97)&gt;Model!$B$4,0,MAX(0,Model!$B$6-IF((A120+97)&gt;=Model!$B$11,Model!$B$20,0)-IF(97&lt;Model!$B$15,Model!$B$22,0))/(1-Model!$B$9)/(1+Model!$B$18)^97))</f>
        <v/>
      </c>
      <c r="DH120" s="7">
        <f>IF(A120="","",IF((A120+98)&gt;Model!$B$4,0,MAX(0,Model!$B$6-IF((A120+98)&gt;=Model!$B$11,Model!$B$20,0)-IF(98&lt;Model!$B$15,Model!$B$22,0))/(1-Model!$B$9)/(1+Model!$B$18)^98))</f>
        <v/>
      </c>
      <c r="DI120" s="7">
        <f>IF(A120="","",IF((A120+99)&gt;Model!$B$4,0,MAX(0,Model!$B$6-IF((A120+99)&gt;=Model!$B$11,Model!$B$20,0)-IF(99&lt;Model!$B$15,Model!$B$22,0))/(1-Model!$B$9)/(1+Model!$B$18)^99))</f>
        <v/>
      </c>
      <c r="DJ120" s="7">
        <f>IF(A120="","",IF((A120+100)&gt;Model!$B$4,0,MAX(0,Model!$B$6-IF((A120+100)&gt;=Model!$B$11,Model!$B$20,0)-IF(100&lt;Model!$B$15,Model!$B$22,0))/(1-Model!$B$9)/(1+Model!$B$18)^100))</f>
        <v/>
      </c>
      <c r="DK120" s="7">
        <f>IF(A120="","",IF((A120+101)&gt;Model!$B$4,0,MAX(0,Model!$B$6-IF((A120+101)&gt;=Model!$B$11,Model!$B$20,0)-IF(101&lt;Model!$B$15,Model!$B$22,0))/(1-Model!$B$9)/(1+Model!$B$18)^101))</f>
        <v/>
      </c>
      <c r="DL120" s="7">
        <f>IF(A120="","",IF((A120+102)&gt;Model!$B$4,0,MAX(0,Model!$B$6-IF((A120+102)&gt;=Model!$B$11,Model!$B$20,0)-IF(102&lt;Model!$B$15,Model!$B$22,0))/(1-Model!$B$9)/(1+Model!$B$18)^102))</f>
        <v/>
      </c>
      <c r="DM120" s="7">
        <f>IF(A120="","",IF((A120+103)&gt;Model!$B$4,0,MAX(0,Model!$B$6-IF((A120+103)&gt;=Model!$B$11,Model!$B$20,0)-IF(103&lt;Model!$B$15,Model!$B$22,0))/(1-Model!$B$9)/(1+Model!$B$18)^103))</f>
        <v/>
      </c>
      <c r="DN120" s="7">
        <f>IF(A120="","",IF((A120+104)&gt;Model!$B$4,0,MAX(0,Model!$B$6-IF((A120+104)&gt;=Model!$B$11,Model!$B$20,0)-IF(104&lt;Model!$B$15,Model!$B$22,0))/(1-Model!$B$9)/(1+Model!$B$18)^104))</f>
        <v/>
      </c>
      <c r="DO120" s="7">
        <f>IF(A120="","",IF((A120+105)&gt;Model!$B$4,0,MAX(0,Model!$B$6-IF((A120+105)&gt;=Model!$B$11,Model!$B$20,0)-IF(105&lt;Model!$B$15,Model!$B$22,0))/(1-Model!$B$9)/(1+Model!$B$18)^105))</f>
        <v/>
      </c>
      <c r="DP120" s="7">
        <f>IF(A120="","",IF((A120+106)&gt;Model!$B$4,0,MAX(0,Model!$B$6-IF((A120+106)&gt;=Model!$B$11,Model!$B$20,0)-IF(106&lt;Model!$B$15,Model!$B$22,0))/(1-Model!$B$9)/(1+Model!$B$18)^106))</f>
        <v/>
      </c>
      <c r="DQ120" s="7">
        <f>IF(A120="","",IF((A120+107)&gt;Model!$B$4,0,MAX(0,Model!$B$6-IF((A120+107)&gt;=Model!$B$11,Model!$B$20,0)-IF(107&lt;Model!$B$15,Model!$B$22,0))/(1-Model!$B$9)/(1+Model!$B$18)^107))</f>
        <v/>
      </c>
      <c r="DR120" s="7">
        <f>IF(A120="","",IF((A120+108)&gt;Model!$B$4,0,MAX(0,Model!$B$6-IF((A120+108)&gt;=Model!$B$11,Model!$B$20,0)-IF(108&lt;Model!$B$15,Model!$B$22,0))/(1-Model!$B$9)/(1+Model!$B$18)^108))</f>
        <v/>
      </c>
      <c r="DS120" s="7">
        <f>IF(A120="","",IF((A120+109)&gt;Model!$B$4,0,MAX(0,Model!$B$6-IF((A120+109)&gt;=Model!$B$11,Model!$B$20,0)-IF(109&lt;Model!$B$15,Model!$B$22,0))/(1-Model!$B$9)/(1+Model!$B$18)^109))</f>
        <v/>
      </c>
      <c r="DT120" s="7">
        <f>IF(A120="","",IF((A120+110)&gt;Model!$B$4,0,MAX(0,Model!$B$6-IF((A120+110)&gt;=Model!$B$11,Model!$B$20,0)-IF(110&lt;Model!$B$15,Model!$B$22,0))/(1-Model!$B$9)/(1+Model!$B$18)^110))</f>
        <v/>
      </c>
      <c r="DU120" s="7">
        <f>IF(A120="","",IF((A120+111)&gt;Model!$B$4,0,MAX(0,Model!$B$6-IF((A120+111)&gt;=Model!$B$11,Model!$B$20,0)-IF(111&lt;Model!$B$15,Model!$B$22,0))/(1-Model!$B$9)/(1+Model!$B$18)^111))</f>
        <v/>
      </c>
      <c r="DV120" s="7">
        <f>IF(A120="","",IF((A120+112)&gt;Model!$B$4,0,MAX(0,Model!$B$6-IF((A120+112)&gt;=Model!$B$11,Model!$B$20,0)-IF(112&lt;Model!$B$15,Model!$B$22,0))/(1-Model!$B$9)/(1+Model!$B$18)^112))</f>
        <v/>
      </c>
      <c r="DW120" s="7">
        <f>IF(A120="","",IF((A120+113)&gt;Model!$B$4,0,MAX(0,Model!$B$6-IF((A120+113)&gt;=Model!$B$11,Model!$B$20,0)-IF(113&lt;Model!$B$15,Model!$B$22,0))/(1-Model!$B$9)/(1+Model!$B$18)^113))</f>
        <v/>
      </c>
      <c r="DX120" s="7">
        <f>IF(A120="","",IF((A120+114)&gt;Model!$B$4,0,MAX(0,Model!$B$6-IF((A120+114)&gt;=Model!$B$11,Model!$B$20,0)-IF(114&lt;Model!$B$15,Model!$B$22,0))/(1-Model!$B$9)/(1+Model!$B$18)^114))</f>
        <v/>
      </c>
      <c r="DY120" s="7">
        <f>IF(A120="","",IF((A120+115)&gt;Model!$B$4,0,MAX(0,Model!$B$6-IF((A120+115)&gt;=Model!$B$11,Model!$B$20,0)-IF(115&lt;Model!$B$15,Model!$B$22,0))/(1-Model!$B$9)/(1+Model!$B$18)^115))</f>
        <v/>
      </c>
      <c r="DZ120" s="7">
        <f>IF(A120="","",IF((A120+116)&gt;Model!$B$4,0,MAX(0,Model!$B$6-IF((A120+116)&gt;=Model!$B$11,Model!$B$20,0)-IF(116&lt;Model!$B$15,Model!$B$22,0))/(1-Model!$B$9)/(1+Model!$B$18)^116))</f>
        <v/>
      </c>
      <c r="EA120" s="7">
        <f>IF(A120="","",IF((A120+117)&gt;Model!$B$4,0,MAX(0,Model!$B$6-IF((A120+117)&gt;=Model!$B$11,Model!$B$20,0)-IF(117&lt;Model!$B$15,Model!$B$22,0))/(1-Model!$B$9)/(1+Model!$B$18)^117))</f>
        <v/>
      </c>
      <c r="EB120" s="7">
        <f>IF(A120="","",IF((A120+118)&gt;Model!$B$4,0,MAX(0,Model!$B$6-IF((A120+118)&gt;=Model!$B$11,Model!$B$20,0)-IF(118&lt;Model!$B$15,Model!$B$22,0))/(1-Model!$B$9)/(1+Model!$B$18)^118))</f>
        <v/>
      </c>
      <c r="EC120" s="7">
        <f>IF(A120="","",IF((A120+119)&gt;Model!$B$4,0,MAX(0,Model!$B$6-IF((A120+119)&gt;=Model!$B$11,Model!$B$20,0)-IF(119&lt;Model!$B$15,Model!$B$22,0))/(1-Model!$B$9)/(1+Model!$B$18)^119))</f>
        <v/>
      </c>
      <c r="ED120" s="7">
        <f>IF(A120="","",IF((A120+120)&gt;Model!$B$4,0,MAX(0,Model!$B$6-IF((A120+120)&gt;=Model!$B$11,Model!$B$20,0)-IF(120&lt;Model!$B$15,Model!$B$22,0))/(1-Model!$B$9)/(1+Model!$B$18)^120))</f>
        <v/>
      </c>
    </row>
    <row r="121">
      <c r="A121">
        <f>IF(Model!$B$10+ROW()-2&lt;=Model!$B$4,Model!$B$10+ROW()-2,"")</f>
        <v/>
      </c>
      <c r="B121">
        <f>IF(A121="","",A121-Model!$B$10)</f>
        <v/>
      </c>
      <c r="C121" s="7">
        <f>IF(A121="","",Model!$B$5*(1+Model!$B$18)^B121)</f>
        <v/>
      </c>
      <c r="D121" s="7">
        <f>IF(A121="","",SUM(N121:ED121))</f>
        <v/>
      </c>
      <c r="E121" s="7">
        <f>IF(A121="","",IF(A121&gt;=Model!$B$11,Model!$B$20,0))</f>
        <v/>
      </c>
      <c r="F121" s="7">
        <f>IF(A121="","",IF(Model!$B$15&gt;0,Model!$B$22,0))</f>
        <v/>
      </c>
      <c r="G121" s="7">
        <f>IF(A121="","",E121+F121)</f>
        <v/>
      </c>
      <c r="H121" s="7">
        <f>IF(A121="","",MAX(0,Model!$B$6-G121))</f>
        <v/>
      </c>
      <c r="I121" s="7">
        <f>IF(A121="","",H121/(1-Model!$B$9))</f>
        <v/>
      </c>
      <c r="J121" s="7">
        <f>IF(A121="","",C121-D121)</f>
        <v/>
      </c>
      <c r="K121">
        <f>IF(A121="","",C121&gt;=D121)</f>
        <v/>
      </c>
      <c r="L121" s="7">
        <f>IF(A121="","",IF(A121&gt;=Model!$B$11,Model!$B$19*(1+Model!$B$13)^B121,0))</f>
        <v/>
      </c>
      <c r="M121" s="7">
        <f>IF(A121="","",IF(Model!$B$15&gt;0,Model!$B$21*(1+Model!$B$13)^B121,0))</f>
        <v/>
      </c>
      <c r="N121" s="7">
        <f>IF(A121="","",IF((A121+0)&gt;Model!$B$4,0,MAX(0,Model!$B$6-IF((A121+0)&gt;=Model!$B$11,Model!$B$20,0)-IF(0&lt;Model!$B$15,Model!$B$22,0))/(1-Model!$B$9)/(1+Model!$B$18)^0))</f>
        <v/>
      </c>
      <c r="O121" s="7">
        <f>IF(A121="","",IF((A121+1)&gt;Model!$B$4,0,MAX(0,Model!$B$6-IF((A121+1)&gt;=Model!$B$11,Model!$B$20,0)-IF(1&lt;Model!$B$15,Model!$B$22,0))/(1-Model!$B$9)/(1+Model!$B$18)^1))</f>
        <v/>
      </c>
      <c r="P121" s="7">
        <f>IF(A121="","",IF((A121+2)&gt;Model!$B$4,0,MAX(0,Model!$B$6-IF((A121+2)&gt;=Model!$B$11,Model!$B$20,0)-IF(2&lt;Model!$B$15,Model!$B$22,0))/(1-Model!$B$9)/(1+Model!$B$18)^2))</f>
        <v/>
      </c>
      <c r="Q121" s="7">
        <f>IF(A121="","",IF((A121+3)&gt;Model!$B$4,0,MAX(0,Model!$B$6-IF((A121+3)&gt;=Model!$B$11,Model!$B$20,0)-IF(3&lt;Model!$B$15,Model!$B$22,0))/(1-Model!$B$9)/(1+Model!$B$18)^3))</f>
        <v/>
      </c>
      <c r="R121" s="7">
        <f>IF(A121="","",IF((A121+4)&gt;Model!$B$4,0,MAX(0,Model!$B$6-IF((A121+4)&gt;=Model!$B$11,Model!$B$20,0)-IF(4&lt;Model!$B$15,Model!$B$22,0))/(1-Model!$B$9)/(1+Model!$B$18)^4))</f>
        <v/>
      </c>
      <c r="S121" s="7">
        <f>IF(A121="","",IF((A121+5)&gt;Model!$B$4,0,MAX(0,Model!$B$6-IF((A121+5)&gt;=Model!$B$11,Model!$B$20,0)-IF(5&lt;Model!$B$15,Model!$B$22,0))/(1-Model!$B$9)/(1+Model!$B$18)^5))</f>
        <v/>
      </c>
      <c r="T121" s="7">
        <f>IF(A121="","",IF((A121+6)&gt;Model!$B$4,0,MAX(0,Model!$B$6-IF((A121+6)&gt;=Model!$B$11,Model!$B$20,0)-IF(6&lt;Model!$B$15,Model!$B$22,0))/(1-Model!$B$9)/(1+Model!$B$18)^6))</f>
        <v/>
      </c>
      <c r="U121" s="7">
        <f>IF(A121="","",IF((A121+7)&gt;Model!$B$4,0,MAX(0,Model!$B$6-IF((A121+7)&gt;=Model!$B$11,Model!$B$20,0)-IF(7&lt;Model!$B$15,Model!$B$22,0))/(1-Model!$B$9)/(1+Model!$B$18)^7))</f>
        <v/>
      </c>
      <c r="V121" s="7">
        <f>IF(A121="","",IF((A121+8)&gt;Model!$B$4,0,MAX(0,Model!$B$6-IF((A121+8)&gt;=Model!$B$11,Model!$B$20,0)-IF(8&lt;Model!$B$15,Model!$B$22,0))/(1-Model!$B$9)/(1+Model!$B$18)^8))</f>
        <v/>
      </c>
      <c r="W121" s="7">
        <f>IF(A121="","",IF((A121+9)&gt;Model!$B$4,0,MAX(0,Model!$B$6-IF((A121+9)&gt;=Model!$B$11,Model!$B$20,0)-IF(9&lt;Model!$B$15,Model!$B$22,0))/(1-Model!$B$9)/(1+Model!$B$18)^9))</f>
        <v/>
      </c>
      <c r="X121" s="7">
        <f>IF(A121="","",IF((A121+10)&gt;Model!$B$4,0,MAX(0,Model!$B$6-IF((A121+10)&gt;=Model!$B$11,Model!$B$20,0)-IF(10&lt;Model!$B$15,Model!$B$22,0))/(1-Model!$B$9)/(1+Model!$B$18)^10))</f>
        <v/>
      </c>
      <c r="Y121" s="7">
        <f>IF(A121="","",IF((A121+11)&gt;Model!$B$4,0,MAX(0,Model!$B$6-IF((A121+11)&gt;=Model!$B$11,Model!$B$20,0)-IF(11&lt;Model!$B$15,Model!$B$22,0))/(1-Model!$B$9)/(1+Model!$B$18)^11))</f>
        <v/>
      </c>
      <c r="Z121" s="7">
        <f>IF(A121="","",IF((A121+12)&gt;Model!$B$4,0,MAX(0,Model!$B$6-IF((A121+12)&gt;=Model!$B$11,Model!$B$20,0)-IF(12&lt;Model!$B$15,Model!$B$22,0))/(1-Model!$B$9)/(1+Model!$B$18)^12))</f>
        <v/>
      </c>
      <c r="AA121" s="7">
        <f>IF(A121="","",IF((A121+13)&gt;Model!$B$4,0,MAX(0,Model!$B$6-IF((A121+13)&gt;=Model!$B$11,Model!$B$20,0)-IF(13&lt;Model!$B$15,Model!$B$22,0))/(1-Model!$B$9)/(1+Model!$B$18)^13))</f>
        <v/>
      </c>
      <c r="AB121" s="7">
        <f>IF(A121="","",IF((A121+14)&gt;Model!$B$4,0,MAX(0,Model!$B$6-IF((A121+14)&gt;=Model!$B$11,Model!$B$20,0)-IF(14&lt;Model!$B$15,Model!$B$22,0))/(1-Model!$B$9)/(1+Model!$B$18)^14))</f>
        <v/>
      </c>
      <c r="AC121" s="7">
        <f>IF(A121="","",IF((A121+15)&gt;Model!$B$4,0,MAX(0,Model!$B$6-IF((A121+15)&gt;=Model!$B$11,Model!$B$20,0)-IF(15&lt;Model!$B$15,Model!$B$22,0))/(1-Model!$B$9)/(1+Model!$B$18)^15))</f>
        <v/>
      </c>
      <c r="AD121" s="7">
        <f>IF(A121="","",IF((A121+16)&gt;Model!$B$4,0,MAX(0,Model!$B$6-IF((A121+16)&gt;=Model!$B$11,Model!$B$20,0)-IF(16&lt;Model!$B$15,Model!$B$22,0))/(1-Model!$B$9)/(1+Model!$B$18)^16))</f>
        <v/>
      </c>
      <c r="AE121" s="7">
        <f>IF(A121="","",IF((A121+17)&gt;Model!$B$4,0,MAX(0,Model!$B$6-IF((A121+17)&gt;=Model!$B$11,Model!$B$20,0)-IF(17&lt;Model!$B$15,Model!$B$22,0))/(1-Model!$B$9)/(1+Model!$B$18)^17))</f>
        <v/>
      </c>
      <c r="AF121" s="7">
        <f>IF(A121="","",IF((A121+18)&gt;Model!$B$4,0,MAX(0,Model!$B$6-IF((A121+18)&gt;=Model!$B$11,Model!$B$20,0)-IF(18&lt;Model!$B$15,Model!$B$22,0))/(1-Model!$B$9)/(1+Model!$B$18)^18))</f>
        <v/>
      </c>
      <c r="AG121" s="7">
        <f>IF(A121="","",IF((A121+19)&gt;Model!$B$4,0,MAX(0,Model!$B$6-IF((A121+19)&gt;=Model!$B$11,Model!$B$20,0)-IF(19&lt;Model!$B$15,Model!$B$22,0))/(1-Model!$B$9)/(1+Model!$B$18)^19))</f>
        <v/>
      </c>
      <c r="AH121" s="7">
        <f>IF(A121="","",IF((A121+20)&gt;Model!$B$4,0,MAX(0,Model!$B$6-IF((A121+20)&gt;=Model!$B$11,Model!$B$20,0)-IF(20&lt;Model!$B$15,Model!$B$22,0))/(1-Model!$B$9)/(1+Model!$B$18)^20))</f>
        <v/>
      </c>
      <c r="AI121" s="7">
        <f>IF(A121="","",IF((A121+21)&gt;Model!$B$4,0,MAX(0,Model!$B$6-IF((A121+21)&gt;=Model!$B$11,Model!$B$20,0)-IF(21&lt;Model!$B$15,Model!$B$22,0))/(1-Model!$B$9)/(1+Model!$B$18)^21))</f>
        <v/>
      </c>
      <c r="AJ121" s="7">
        <f>IF(A121="","",IF((A121+22)&gt;Model!$B$4,0,MAX(0,Model!$B$6-IF((A121+22)&gt;=Model!$B$11,Model!$B$20,0)-IF(22&lt;Model!$B$15,Model!$B$22,0))/(1-Model!$B$9)/(1+Model!$B$18)^22))</f>
        <v/>
      </c>
      <c r="AK121" s="7">
        <f>IF(A121="","",IF((A121+23)&gt;Model!$B$4,0,MAX(0,Model!$B$6-IF((A121+23)&gt;=Model!$B$11,Model!$B$20,0)-IF(23&lt;Model!$B$15,Model!$B$22,0))/(1-Model!$B$9)/(1+Model!$B$18)^23))</f>
        <v/>
      </c>
      <c r="AL121" s="7">
        <f>IF(A121="","",IF((A121+24)&gt;Model!$B$4,0,MAX(0,Model!$B$6-IF((A121+24)&gt;=Model!$B$11,Model!$B$20,0)-IF(24&lt;Model!$B$15,Model!$B$22,0))/(1-Model!$B$9)/(1+Model!$B$18)^24))</f>
        <v/>
      </c>
      <c r="AM121" s="7">
        <f>IF(A121="","",IF((A121+25)&gt;Model!$B$4,0,MAX(0,Model!$B$6-IF((A121+25)&gt;=Model!$B$11,Model!$B$20,0)-IF(25&lt;Model!$B$15,Model!$B$22,0))/(1-Model!$B$9)/(1+Model!$B$18)^25))</f>
        <v/>
      </c>
      <c r="AN121" s="7">
        <f>IF(A121="","",IF((A121+26)&gt;Model!$B$4,0,MAX(0,Model!$B$6-IF((A121+26)&gt;=Model!$B$11,Model!$B$20,0)-IF(26&lt;Model!$B$15,Model!$B$22,0))/(1-Model!$B$9)/(1+Model!$B$18)^26))</f>
        <v/>
      </c>
      <c r="AO121" s="7">
        <f>IF(A121="","",IF((A121+27)&gt;Model!$B$4,0,MAX(0,Model!$B$6-IF((A121+27)&gt;=Model!$B$11,Model!$B$20,0)-IF(27&lt;Model!$B$15,Model!$B$22,0))/(1-Model!$B$9)/(1+Model!$B$18)^27))</f>
        <v/>
      </c>
      <c r="AP121" s="7">
        <f>IF(A121="","",IF((A121+28)&gt;Model!$B$4,0,MAX(0,Model!$B$6-IF((A121+28)&gt;=Model!$B$11,Model!$B$20,0)-IF(28&lt;Model!$B$15,Model!$B$22,0))/(1-Model!$B$9)/(1+Model!$B$18)^28))</f>
        <v/>
      </c>
      <c r="AQ121" s="7">
        <f>IF(A121="","",IF((A121+29)&gt;Model!$B$4,0,MAX(0,Model!$B$6-IF((A121+29)&gt;=Model!$B$11,Model!$B$20,0)-IF(29&lt;Model!$B$15,Model!$B$22,0))/(1-Model!$B$9)/(1+Model!$B$18)^29))</f>
        <v/>
      </c>
      <c r="AR121" s="7">
        <f>IF(A121="","",IF((A121+30)&gt;Model!$B$4,0,MAX(0,Model!$B$6-IF((A121+30)&gt;=Model!$B$11,Model!$B$20,0)-IF(30&lt;Model!$B$15,Model!$B$22,0))/(1-Model!$B$9)/(1+Model!$B$18)^30))</f>
        <v/>
      </c>
      <c r="AS121" s="7">
        <f>IF(A121="","",IF((A121+31)&gt;Model!$B$4,0,MAX(0,Model!$B$6-IF((A121+31)&gt;=Model!$B$11,Model!$B$20,0)-IF(31&lt;Model!$B$15,Model!$B$22,0))/(1-Model!$B$9)/(1+Model!$B$18)^31))</f>
        <v/>
      </c>
      <c r="AT121" s="7">
        <f>IF(A121="","",IF((A121+32)&gt;Model!$B$4,0,MAX(0,Model!$B$6-IF((A121+32)&gt;=Model!$B$11,Model!$B$20,0)-IF(32&lt;Model!$B$15,Model!$B$22,0))/(1-Model!$B$9)/(1+Model!$B$18)^32))</f>
        <v/>
      </c>
      <c r="AU121" s="7">
        <f>IF(A121="","",IF((A121+33)&gt;Model!$B$4,0,MAX(0,Model!$B$6-IF((A121+33)&gt;=Model!$B$11,Model!$B$20,0)-IF(33&lt;Model!$B$15,Model!$B$22,0))/(1-Model!$B$9)/(1+Model!$B$18)^33))</f>
        <v/>
      </c>
      <c r="AV121" s="7">
        <f>IF(A121="","",IF((A121+34)&gt;Model!$B$4,0,MAX(0,Model!$B$6-IF((A121+34)&gt;=Model!$B$11,Model!$B$20,0)-IF(34&lt;Model!$B$15,Model!$B$22,0))/(1-Model!$B$9)/(1+Model!$B$18)^34))</f>
        <v/>
      </c>
      <c r="AW121" s="7">
        <f>IF(A121="","",IF((A121+35)&gt;Model!$B$4,0,MAX(0,Model!$B$6-IF((A121+35)&gt;=Model!$B$11,Model!$B$20,0)-IF(35&lt;Model!$B$15,Model!$B$22,0))/(1-Model!$B$9)/(1+Model!$B$18)^35))</f>
        <v/>
      </c>
      <c r="AX121" s="7">
        <f>IF(A121="","",IF((A121+36)&gt;Model!$B$4,0,MAX(0,Model!$B$6-IF((A121+36)&gt;=Model!$B$11,Model!$B$20,0)-IF(36&lt;Model!$B$15,Model!$B$22,0))/(1-Model!$B$9)/(1+Model!$B$18)^36))</f>
        <v/>
      </c>
      <c r="AY121" s="7">
        <f>IF(A121="","",IF((A121+37)&gt;Model!$B$4,0,MAX(0,Model!$B$6-IF((A121+37)&gt;=Model!$B$11,Model!$B$20,0)-IF(37&lt;Model!$B$15,Model!$B$22,0))/(1-Model!$B$9)/(1+Model!$B$18)^37))</f>
        <v/>
      </c>
      <c r="AZ121" s="7">
        <f>IF(A121="","",IF((A121+38)&gt;Model!$B$4,0,MAX(0,Model!$B$6-IF((A121+38)&gt;=Model!$B$11,Model!$B$20,0)-IF(38&lt;Model!$B$15,Model!$B$22,0))/(1-Model!$B$9)/(1+Model!$B$18)^38))</f>
        <v/>
      </c>
      <c r="BA121" s="7">
        <f>IF(A121="","",IF((A121+39)&gt;Model!$B$4,0,MAX(0,Model!$B$6-IF((A121+39)&gt;=Model!$B$11,Model!$B$20,0)-IF(39&lt;Model!$B$15,Model!$B$22,0))/(1-Model!$B$9)/(1+Model!$B$18)^39))</f>
        <v/>
      </c>
      <c r="BB121" s="7">
        <f>IF(A121="","",IF((A121+40)&gt;Model!$B$4,0,MAX(0,Model!$B$6-IF((A121+40)&gt;=Model!$B$11,Model!$B$20,0)-IF(40&lt;Model!$B$15,Model!$B$22,0))/(1-Model!$B$9)/(1+Model!$B$18)^40))</f>
        <v/>
      </c>
      <c r="BC121" s="7">
        <f>IF(A121="","",IF((A121+41)&gt;Model!$B$4,0,MAX(0,Model!$B$6-IF((A121+41)&gt;=Model!$B$11,Model!$B$20,0)-IF(41&lt;Model!$B$15,Model!$B$22,0))/(1-Model!$B$9)/(1+Model!$B$18)^41))</f>
        <v/>
      </c>
      <c r="BD121" s="7">
        <f>IF(A121="","",IF((A121+42)&gt;Model!$B$4,0,MAX(0,Model!$B$6-IF((A121+42)&gt;=Model!$B$11,Model!$B$20,0)-IF(42&lt;Model!$B$15,Model!$B$22,0))/(1-Model!$B$9)/(1+Model!$B$18)^42))</f>
        <v/>
      </c>
      <c r="BE121" s="7">
        <f>IF(A121="","",IF((A121+43)&gt;Model!$B$4,0,MAX(0,Model!$B$6-IF((A121+43)&gt;=Model!$B$11,Model!$B$20,0)-IF(43&lt;Model!$B$15,Model!$B$22,0))/(1-Model!$B$9)/(1+Model!$B$18)^43))</f>
        <v/>
      </c>
      <c r="BF121" s="7">
        <f>IF(A121="","",IF((A121+44)&gt;Model!$B$4,0,MAX(0,Model!$B$6-IF((A121+44)&gt;=Model!$B$11,Model!$B$20,0)-IF(44&lt;Model!$B$15,Model!$B$22,0))/(1-Model!$B$9)/(1+Model!$B$18)^44))</f>
        <v/>
      </c>
      <c r="BG121" s="7">
        <f>IF(A121="","",IF((A121+45)&gt;Model!$B$4,0,MAX(0,Model!$B$6-IF((A121+45)&gt;=Model!$B$11,Model!$B$20,0)-IF(45&lt;Model!$B$15,Model!$B$22,0))/(1-Model!$B$9)/(1+Model!$B$18)^45))</f>
        <v/>
      </c>
      <c r="BH121" s="7">
        <f>IF(A121="","",IF((A121+46)&gt;Model!$B$4,0,MAX(0,Model!$B$6-IF((A121+46)&gt;=Model!$B$11,Model!$B$20,0)-IF(46&lt;Model!$B$15,Model!$B$22,0))/(1-Model!$B$9)/(1+Model!$B$18)^46))</f>
        <v/>
      </c>
      <c r="BI121" s="7">
        <f>IF(A121="","",IF((A121+47)&gt;Model!$B$4,0,MAX(0,Model!$B$6-IF((A121+47)&gt;=Model!$B$11,Model!$B$20,0)-IF(47&lt;Model!$B$15,Model!$B$22,0))/(1-Model!$B$9)/(1+Model!$B$18)^47))</f>
        <v/>
      </c>
      <c r="BJ121" s="7">
        <f>IF(A121="","",IF((A121+48)&gt;Model!$B$4,0,MAX(0,Model!$B$6-IF((A121+48)&gt;=Model!$B$11,Model!$B$20,0)-IF(48&lt;Model!$B$15,Model!$B$22,0))/(1-Model!$B$9)/(1+Model!$B$18)^48))</f>
        <v/>
      </c>
      <c r="BK121" s="7">
        <f>IF(A121="","",IF((A121+49)&gt;Model!$B$4,0,MAX(0,Model!$B$6-IF((A121+49)&gt;=Model!$B$11,Model!$B$20,0)-IF(49&lt;Model!$B$15,Model!$B$22,0))/(1-Model!$B$9)/(1+Model!$B$18)^49))</f>
        <v/>
      </c>
      <c r="BL121" s="7">
        <f>IF(A121="","",IF((A121+50)&gt;Model!$B$4,0,MAX(0,Model!$B$6-IF((A121+50)&gt;=Model!$B$11,Model!$B$20,0)-IF(50&lt;Model!$B$15,Model!$B$22,0))/(1-Model!$B$9)/(1+Model!$B$18)^50))</f>
        <v/>
      </c>
      <c r="BM121" s="7">
        <f>IF(A121="","",IF((A121+51)&gt;Model!$B$4,0,MAX(0,Model!$B$6-IF((A121+51)&gt;=Model!$B$11,Model!$B$20,0)-IF(51&lt;Model!$B$15,Model!$B$22,0))/(1-Model!$B$9)/(1+Model!$B$18)^51))</f>
        <v/>
      </c>
      <c r="BN121" s="7">
        <f>IF(A121="","",IF((A121+52)&gt;Model!$B$4,0,MAX(0,Model!$B$6-IF((A121+52)&gt;=Model!$B$11,Model!$B$20,0)-IF(52&lt;Model!$B$15,Model!$B$22,0))/(1-Model!$B$9)/(1+Model!$B$18)^52))</f>
        <v/>
      </c>
      <c r="BO121" s="7">
        <f>IF(A121="","",IF((A121+53)&gt;Model!$B$4,0,MAX(0,Model!$B$6-IF((A121+53)&gt;=Model!$B$11,Model!$B$20,0)-IF(53&lt;Model!$B$15,Model!$B$22,0))/(1-Model!$B$9)/(1+Model!$B$18)^53))</f>
        <v/>
      </c>
      <c r="BP121" s="7">
        <f>IF(A121="","",IF((A121+54)&gt;Model!$B$4,0,MAX(0,Model!$B$6-IF((A121+54)&gt;=Model!$B$11,Model!$B$20,0)-IF(54&lt;Model!$B$15,Model!$B$22,0))/(1-Model!$B$9)/(1+Model!$B$18)^54))</f>
        <v/>
      </c>
      <c r="BQ121" s="7">
        <f>IF(A121="","",IF((A121+55)&gt;Model!$B$4,0,MAX(0,Model!$B$6-IF((A121+55)&gt;=Model!$B$11,Model!$B$20,0)-IF(55&lt;Model!$B$15,Model!$B$22,0))/(1-Model!$B$9)/(1+Model!$B$18)^55))</f>
        <v/>
      </c>
      <c r="BR121" s="7">
        <f>IF(A121="","",IF((A121+56)&gt;Model!$B$4,0,MAX(0,Model!$B$6-IF((A121+56)&gt;=Model!$B$11,Model!$B$20,0)-IF(56&lt;Model!$B$15,Model!$B$22,0))/(1-Model!$B$9)/(1+Model!$B$18)^56))</f>
        <v/>
      </c>
      <c r="BS121" s="7">
        <f>IF(A121="","",IF((A121+57)&gt;Model!$B$4,0,MAX(0,Model!$B$6-IF((A121+57)&gt;=Model!$B$11,Model!$B$20,0)-IF(57&lt;Model!$B$15,Model!$B$22,0))/(1-Model!$B$9)/(1+Model!$B$18)^57))</f>
        <v/>
      </c>
      <c r="BT121" s="7">
        <f>IF(A121="","",IF((A121+58)&gt;Model!$B$4,0,MAX(0,Model!$B$6-IF((A121+58)&gt;=Model!$B$11,Model!$B$20,0)-IF(58&lt;Model!$B$15,Model!$B$22,0))/(1-Model!$B$9)/(1+Model!$B$18)^58))</f>
        <v/>
      </c>
      <c r="BU121" s="7">
        <f>IF(A121="","",IF((A121+59)&gt;Model!$B$4,0,MAX(0,Model!$B$6-IF((A121+59)&gt;=Model!$B$11,Model!$B$20,0)-IF(59&lt;Model!$B$15,Model!$B$22,0))/(1-Model!$B$9)/(1+Model!$B$18)^59))</f>
        <v/>
      </c>
      <c r="BV121" s="7">
        <f>IF(A121="","",IF((A121+60)&gt;Model!$B$4,0,MAX(0,Model!$B$6-IF((A121+60)&gt;=Model!$B$11,Model!$B$20,0)-IF(60&lt;Model!$B$15,Model!$B$22,0))/(1-Model!$B$9)/(1+Model!$B$18)^60))</f>
        <v/>
      </c>
      <c r="BW121" s="7">
        <f>IF(A121="","",IF((A121+61)&gt;Model!$B$4,0,MAX(0,Model!$B$6-IF((A121+61)&gt;=Model!$B$11,Model!$B$20,0)-IF(61&lt;Model!$B$15,Model!$B$22,0))/(1-Model!$B$9)/(1+Model!$B$18)^61))</f>
        <v/>
      </c>
      <c r="BX121" s="7">
        <f>IF(A121="","",IF((A121+62)&gt;Model!$B$4,0,MAX(0,Model!$B$6-IF((A121+62)&gt;=Model!$B$11,Model!$B$20,0)-IF(62&lt;Model!$B$15,Model!$B$22,0))/(1-Model!$B$9)/(1+Model!$B$18)^62))</f>
        <v/>
      </c>
      <c r="BY121" s="7">
        <f>IF(A121="","",IF((A121+63)&gt;Model!$B$4,0,MAX(0,Model!$B$6-IF((A121+63)&gt;=Model!$B$11,Model!$B$20,0)-IF(63&lt;Model!$B$15,Model!$B$22,0))/(1-Model!$B$9)/(1+Model!$B$18)^63))</f>
        <v/>
      </c>
      <c r="BZ121" s="7">
        <f>IF(A121="","",IF((A121+64)&gt;Model!$B$4,0,MAX(0,Model!$B$6-IF((A121+64)&gt;=Model!$B$11,Model!$B$20,0)-IF(64&lt;Model!$B$15,Model!$B$22,0))/(1-Model!$B$9)/(1+Model!$B$18)^64))</f>
        <v/>
      </c>
      <c r="CA121" s="7">
        <f>IF(A121="","",IF((A121+65)&gt;Model!$B$4,0,MAX(0,Model!$B$6-IF((A121+65)&gt;=Model!$B$11,Model!$B$20,0)-IF(65&lt;Model!$B$15,Model!$B$22,0))/(1-Model!$B$9)/(1+Model!$B$18)^65))</f>
        <v/>
      </c>
      <c r="CB121" s="7">
        <f>IF(A121="","",IF((A121+66)&gt;Model!$B$4,0,MAX(0,Model!$B$6-IF((A121+66)&gt;=Model!$B$11,Model!$B$20,0)-IF(66&lt;Model!$B$15,Model!$B$22,0))/(1-Model!$B$9)/(1+Model!$B$18)^66))</f>
        <v/>
      </c>
      <c r="CC121" s="7">
        <f>IF(A121="","",IF((A121+67)&gt;Model!$B$4,0,MAX(0,Model!$B$6-IF((A121+67)&gt;=Model!$B$11,Model!$B$20,0)-IF(67&lt;Model!$B$15,Model!$B$22,0))/(1-Model!$B$9)/(1+Model!$B$18)^67))</f>
        <v/>
      </c>
      <c r="CD121" s="7">
        <f>IF(A121="","",IF((A121+68)&gt;Model!$B$4,0,MAX(0,Model!$B$6-IF((A121+68)&gt;=Model!$B$11,Model!$B$20,0)-IF(68&lt;Model!$B$15,Model!$B$22,0))/(1-Model!$B$9)/(1+Model!$B$18)^68))</f>
        <v/>
      </c>
      <c r="CE121" s="7">
        <f>IF(A121="","",IF((A121+69)&gt;Model!$B$4,0,MAX(0,Model!$B$6-IF((A121+69)&gt;=Model!$B$11,Model!$B$20,0)-IF(69&lt;Model!$B$15,Model!$B$22,0))/(1-Model!$B$9)/(1+Model!$B$18)^69))</f>
        <v/>
      </c>
      <c r="CF121" s="7">
        <f>IF(A121="","",IF((A121+70)&gt;Model!$B$4,0,MAX(0,Model!$B$6-IF((A121+70)&gt;=Model!$B$11,Model!$B$20,0)-IF(70&lt;Model!$B$15,Model!$B$22,0))/(1-Model!$B$9)/(1+Model!$B$18)^70))</f>
        <v/>
      </c>
      <c r="CG121" s="7">
        <f>IF(A121="","",IF((A121+71)&gt;Model!$B$4,0,MAX(0,Model!$B$6-IF((A121+71)&gt;=Model!$B$11,Model!$B$20,0)-IF(71&lt;Model!$B$15,Model!$B$22,0))/(1-Model!$B$9)/(1+Model!$B$18)^71))</f>
        <v/>
      </c>
      <c r="CH121" s="7">
        <f>IF(A121="","",IF((A121+72)&gt;Model!$B$4,0,MAX(0,Model!$B$6-IF((A121+72)&gt;=Model!$B$11,Model!$B$20,0)-IF(72&lt;Model!$B$15,Model!$B$22,0))/(1-Model!$B$9)/(1+Model!$B$18)^72))</f>
        <v/>
      </c>
      <c r="CI121" s="7">
        <f>IF(A121="","",IF((A121+73)&gt;Model!$B$4,0,MAX(0,Model!$B$6-IF((A121+73)&gt;=Model!$B$11,Model!$B$20,0)-IF(73&lt;Model!$B$15,Model!$B$22,0))/(1-Model!$B$9)/(1+Model!$B$18)^73))</f>
        <v/>
      </c>
      <c r="CJ121" s="7">
        <f>IF(A121="","",IF((A121+74)&gt;Model!$B$4,0,MAX(0,Model!$B$6-IF((A121+74)&gt;=Model!$B$11,Model!$B$20,0)-IF(74&lt;Model!$B$15,Model!$B$22,0))/(1-Model!$B$9)/(1+Model!$B$18)^74))</f>
        <v/>
      </c>
      <c r="CK121" s="7">
        <f>IF(A121="","",IF((A121+75)&gt;Model!$B$4,0,MAX(0,Model!$B$6-IF((A121+75)&gt;=Model!$B$11,Model!$B$20,0)-IF(75&lt;Model!$B$15,Model!$B$22,0))/(1-Model!$B$9)/(1+Model!$B$18)^75))</f>
        <v/>
      </c>
      <c r="CL121" s="7">
        <f>IF(A121="","",IF((A121+76)&gt;Model!$B$4,0,MAX(0,Model!$B$6-IF((A121+76)&gt;=Model!$B$11,Model!$B$20,0)-IF(76&lt;Model!$B$15,Model!$B$22,0))/(1-Model!$B$9)/(1+Model!$B$18)^76))</f>
        <v/>
      </c>
      <c r="CM121" s="7">
        <f>IF(A121="","",IF((A121+77)&gt;Model!$B$4,0,MAX(0,Model!$B$6-IF((A121+77)&gt;=Model!$B$11,Model!$B$20,0)-IF(77&lt;Model!$B$15,Model!$B$22,0))/(1-Model!$B$9)/(1+Model!$B$18)^77))</f>
        <v/>
      </c>
      <c r="CN121" s="7">
        <f>IF(A121="","",IF((A121+78)&gt;Model!$B$4,0,MAX(0,Model!$B$6-IF((A121+78)&gt;=Model!$B$11,Model!$B$20,0)-IF(78&lt;Model!$B$15,Model!$B$22,0))/(1-Model!$B$9)/(1+Model!$B$18)^78))</f>
        <v/>
      </c>
      <c r="CO121" s="7">
        <f>IF(A121="","",IF((A121+79)&gt;Model!$B$4,0,MAX(0,Model!$B$6-IF((A121+79)&gt;=Model!$B$11,Model!$B$20,0)-IF(79&lt;Model!$B$15,Model!$B$22,0))/(1-Model!$B$9)/(1+Model!$B$18)^79))</f>
        <v/>
      </c>
      <c r="CP121" s="7">
        <f>IF(A121="","",IF((A121+80)&gt;Model!$B$4,0,MAX(0,Model!$B$6-IF((A121+80)&gt;=Model!$B$11,Model!$B$20,0)-IF(80&lt;Model!$B$15,Model!$B$22,0))/(1-Model!$B$9)/(1+Model!$B$18)^80))</f>
        <v/>
      </c>
      <c r="CQ121" s="7">
        <f>IF(A121="","",IF((A121+81)&gt;Model!$B$4,0,MAX(0,Model!$B$6-IF((A121+81)&gt;=Model!$B$11,Model!$B$20,0)-IF(81&lt;Model!$B$15,Model!$B$22,0))/(1-Model!$B$9)/(1+Model!$B$18)^81))</f>
        <v/>
      </c>
      <c r="CR121" s="7">
        <f>IF(A121="","",IF((A121+82)&gt;Model!$B$4,0,MAX(0,Model!$B$6-IF((A121+82)&gt;=Model!$B$11,Model!$B$20,0)-IF(82&lt;Model!$B$15,Model!$B$22,0))/(1-Model!$B$9)/(1+Model!$B$18)^82))</f>
        <v/>
      </c>
      <c r="CS121" s="7">
        <f>IF(A121="","",IF((A121+83)&gt;Model!$B$4,0,MAX(0,Model!$B$6-IF((A121+83)&gt;=Model!$B$11,Model!$B$20,0)-IF(83&lt;Model!$B$15,Model!$B$22,0))/(1-Model!$B$9)/(1+Model!$B$18)^83))</f>
        <v/>
      </c>
      <c r="CT121" s="7">
        <f>IF(A121="","",IF((A121+84)&gt;Model!$B$4,0,MAX(0,Model!$B$6-IF((A121+84)&gt;=Model!$B$11,Model!$B$20,0)-IF(84&lt;Model!$B$15,Model!$B$22,0))/(1-Model!$B$9)/(1+Model!$B$18)^84))</f>
        <v/>
      </c>
      <c r="CU121" s="7">
        <f>IF(A121="","",IF((A121+85)&gt;Model!$B$4,0,MAX(0,Model!$B$6-IF((A121+85)&gt;=Model!$B$11,Model!$B$20,0)-IF(85&lt;Model!$B$15,Model!$B$22,0))/(1-Model!$B$9)/(1+Model!$B$18)^85))</f>
        <v/>
      </c>
      <c r="CV121" s="7">
        <f>IF(A121="","",IF((A121+86)&gt;Model!$B$4,0,MAX(0,Model!$B$6-IF((A121+86)&gt;=Model!$B$11,Model!$B$20,0)-IF(86&lt;Model!$B$15,Model!$B$22,0))/(1-Model!$B$9)/(1+Model!$B$18)^86))</f>
        <v/>
      </c>
      <c r="CW121" s="7">
        <f>IF(A121="","",IF((A121+87)&gt;Model!$B$4,0,MAX(0,Model!$B$6-IF((A121+87)&gt;=Model!$B$11,Model!$B$20,0)-IF(87&lt;Model!$B$15,Model!$B$22,0))/(1-Model!$B$9)/(1+Model!$B$18)^87))</f>
        <v/>
      </c>
      <c r="CX121" s="7">
        <f>IF(A121="","",IF((A121+88)&gt;Model!$B$4,0,MAX(0,Model!$B$6-IF((A121+88)&gt;=Model!$B$11,Model!$B$20,0)-IF(88&lt;Model!$B$15,Model!$B$22,0))/(1-Model!$B$9)/(1+Model!$B$18)^88))</f>
        <v/>
      </c>
      <c r="CY121" s="7">
        <f>IF(A121="","",IF((A121+89)&gt;Model!$B$4,0,MAX(0,Model!$B$6-IF((A121+89)&gt;=Model!$B$11,Model!$B$20,0)-IF(89&lt;Model!$B$15,Model!$B$22,0))/(1-Model!$B$9)/(1+Model!$B$18)^89))</f>
        <v/>
      </c>
      <c r="CZ121" s="7">
        <f>IF(A121="","",IF((A121+90)&gt;Model!$B$4,0,MAX(0,Model!$B$6-IF((A121+90)&gt;=Model!$B$11,Model!$B$20,0)-IF(90&lt;Model!$B$15,Model!$B$22,0))/(1-Model!$B$9)/(1+Model!$B$18)^90))</f>
        <v/>
      </c>
      <c r="DA121" s="7">
        <f>IF(A121="","",IF((A121+91)&gt;Model!$B$4,0,MAX(0,Model!$B$6-IF((A121+91)&gt;=Model!$B$11,Model!$B$20,0)-IF(91&lt;Model!$B$15,Model!$B$22,0))/(1-Model!$B$9)/(1+Model!$B$18)^91))</f>
        <v/>
      </c>
      <c r="DB121" s="7">
        <f>IF(A121="","",IF((A121+92)&gt;Model!$B$4,0,MAX(0,Model!$B$6-IF((A121+92)&gt;=Model!$B$11,Model!$B$20,0)-IF(92&lt;Model!$B$15,Model!$B$22,0))/(1-Model!$B$9)/(1+Model!$B$18)^92))</f>
        <v/>
      </c>
      <c r="DC121" s="7">
        <f>IF(A121="","",IF((A121+93)&gt;Model!$B$4,0,MAX(0,Model!$B$6-IF((A121+93)&gt;=Model!$B$11,Model!$B$20,0)-IF(93&lt;Model!$B$15,Model!$B$22,0))/(1-Model!$B$9)/(1+Model!$B$18)^93))</f>
        <v/>
      </c>
      <c r="DD121" s="7">
        <f>IF(A121="","",IF((A121+94)&gt;Model!$B$4,0,MAX(0,Model!$B$6-IF((A121+94)&gt;=Model!$B$11,Model!$B$20,0)-IF(94&lt;Model!$B$15,Model!$B$22,0))/(1-Model!$B$9)/(1+Model!$B$18)^94))</f>
        <v/>
      </c>
      <c r="DE121" s="7">
        <f>IF(A121="","",IF((A121+95)&gt;Model!$B$4,0,MAX(0,Model!$B$6-IF((A121+95)&gt;=Model!$B$11,Model!$B$20,0)-IF(95&lt;Model!$B$15,Model!$B$22,0))/(1-Model!$B$9)/(1+Model!$B$18)^95))</f>
        <v/>
      </c>
      <c r="DF121" s="7">
        <f>IF(A121="","",IF((A121+96)&gt;Model!$B$4,0,MAX(0,Model!$B$6-IF((A121+96)&gt;=Model!$B$11,Model!$B$20,0)-IF(96&lt;Model!$B$15,Model!$B$22,0))/(1-Model!$B$9)/(1+Model!$B$18)^96))</f>
        <v/>
      </c>
      <c r="DG121" s="7">
        <f>IF(A121="","",IF((A121+97)&gt;Model!$B$4,0,MAX(0,Model!$B$6-IF((A121+97)&gt;=Model!$B$11,Model!$B$20,0)-IF(97&lt;Model!$B$15,Model!$B$22,0))/(1-Model!$B$9)/(1+Model!$B$18)^97))</f>
        <v/>
      </c>
      <c r="DH121" s="7">
        <f>IF(A121="","",IF((A121+98)&gt;Model!$B$4,0,MAX(0,Model!$B$6-IF((A121+98)&gt;=Model!$B$11,Model!$B$20,0)-IF(98&lt;Model!$B$15,Model!$B$22,0))/(1-Model!$B$9)/(1+Model!$B$18)^98))</f>
        <v/>
      </c>
      <c r="DI121" s="7">
        <f>IF(A121="","",IF((A121+99)&gt;Model!$B$4,0,MAX(0,Model!$B$6-IF((A121+99)&gt;=Model!$B$11,Model!$B$20,0)-IF(99&lt;Model!$B$15,Model!$B$22,0))/(1-Model!$B$9)/(1+Model!$B$18)^99))</f>
        <v/>
      </c>
      <c r="DJ121" s="7">
        <f>IF(A121="","",IF((A121+100)&gt;Model!$B$4,0,MAX(0,Model!$B$6-IF((A121+100)&gt;=Model!$B$11,Model!$B$20,0)-IF(100&lt;Model!$B$15,Model!$B$22,0))/(1-Model!$B$9)/(1+Model!$B$18)^100))</f>
        <v/>
      </c>
      <c r="DK121" s="7">
        <f>IF(A121="","",IF((A121+101)&gt;Model!$B$4,0,MAX(0,Model!$B$6-IF((A121+101)&gt;=Model!$B$11,Model!$B$20,0)-IF(101&lt;Model!$B$15,Model!$B$22,0))/(1-Model!$B$9)/(1+Model!$B$18)^101))</f>
        <v/>
      </c>
      <c r="DL121" s="7">
        <f>IF(A121="","",IF((A121+102)&gt;Model!$B$4,0,MAX(0,Model!$B$6-IF((A121+102)&gt;=Model!$B$11,Model!$B$20,0)-IF(102&lt;Model!$B$15,Model!$B$22,0))/(1-Model!$B$9)/(1+Model!$B$18)^102))</f>
        <v/>
      </c>
      <c r="DM121" s="7">
        <f>IF(A121="","",IF((A121+103)&gt;Model!$B$4,0,MAX(0,Model!$B$6-IF((A121+103)&gt;=Model!$B$11,Model!$B$20,0)-IF(103&lt;Model!$B$15,Model!$B$22,0))/(1-Model!$B$9)/(1+Model!$B$18)^103))</f>
        <v/>
      </c>
      <c r="DN121" s="7">
        <f>IF(A121="","",IF((A121+104)&gt;Model!$B$4,0,MAX(0,Model!$B$6-IF((A121+104)&gt;=Model!$B$11,Model!$B$20,0)-IF(104&lt;Model!$B$15,Model!$B$22,0))/(1-Model!$B$9)/(1+Model!$B$18)^104))</f>
        <v/>
      </c>
      <c r="DO121" s="7">
        <f>IF(A121="","",IF((A121+105)&gt;Model!$B$4,0,MAX(0,Model!$B$6-IF((A121+105)&gt;=Model!$B$11,Model!$B$20,0)-IF(105&lt;Model!$B$15,Model!$B$22,0))/(1-Model!$B$9)/(1+Model!$B$18)^105))</f>
        <v/>
      </c>
      <c r="DP121" s="7">
        <f>IF(A121="","",IF((A121+106)&gt;Model!$B$4,0,MAX(0,Model!$B$6-IF((A121+106)&gt;=Model!$B$11,Model!$B$20,0)-IF(106&lt;Model!$B$15,Model!$B$22,0))/(1-Model!$B$9)/(1+Model!$B$18)^106))</f>
        <v/>
      </c>
      <c r="DQ121" s="7">
        <f>IF(A121="","",IF((A121+107)&gt;Model!$B$4,0,MAX(0,Model!$B$6-IF((A121+107)&gt;=Model!$B$11,Model!$B$20,0)-IF(107&lt;Model!$B$15,Model!$B$22,0))/(1-Model!$B$9)/(1+Model!$B$18)^107))</f>
        <v/>
      </c>
      <c r="DR121" s="7">
        <f>IF(A121="","",IF((A121+108)&gt;Model!$B$4,0,MAX(0,Model!$B$6-IF((A121+108)&gt;=Model!$B$11,Model!$B$20,0)-IF(108&lt;Model!$B$15,Model!$B$22,0))/(1-Model!$B$9)/(1+Model!$B$18)^108))</f>
        <v/>
      </c>
      <c r="DS121" s="7">
        <f>IF(A121="","",IF((A121+109)&gt;Model!$B$4,0,MAX(0,Model!$B$6-IF((A121+109)&gt;=Model!$B$11,Model!$B$20,0)-IF(109&lt;Model!$B$15,Model!$B$22,0))/(1-Model!$B$9)/(1+Model!$B$18)^109))</f>
        <v/>
      </c>
      <c r="DT121" s="7">
        <f>IF(A121="","",IF((A121+110)&gt;Model!$B$4,0,MAX(0,Model!$B$6-IF((A121+110)&gt;=Model!$B$11,Model!$B$20,0)-IF(110&lt;Model!$B$15,Model!$B$22,0))/(1-Model!$B$9)/(1+Model!$B$18)^110))</f>
        <v/>
      </c>
      <c r="DU121" s="7">
        <f>IF(A121="","",IF((A121+111)&gt;Model!$B$4,0,MAX(0,Model!$B$6-IF((A121+111)&gt;=Model!$B$11,Model!$B$20,0)-IF(111&lt;Model!$B$15,Model!$B$22,0))/(1-Model!$B$9)/(1+Model!$B$18)^111))</f>
        <v/>
      </c>
      <c r="DV121" s="7">
        <f>IF(A121="","",IF((A121+112)&gt;Model!$B$4,0,MAX(0,Model!$B$6-IF((A121+112)&gt;=Model!$B$11,Model!$B$20,0)-IF(112&lt;Model!$B$15,Model!$B$22,0))/(1-Model!$B$9)/(1+Model!$B$18)^112))</f>
        <v/>
      </c>
      <c r="DW121" s="7">
        <f>IF(A121="","",IF((A121+113)&gt;Model!$B$4,0,MAX(0,Model!$B$6-IF((A121+113)&gt;=Model!$B$11,Model!$B$20,0)-IF(113&lt;Model!$B$15,Model!$B$22,0))/(1-Model!$B$9)/(1+Model!$B$18)^113))</f>
        <v/>
      </c>
      <c r="DX121" s="7">
        <f>IF(A121="","",IF((A121+114)&gt;Model!$B$4,0,MAX(0,Model!$B$6-IF((A121+114)&gt;=Model!$B$11,Model!$B$20,0)-IF(114&lt;Model!$B$15,Model!$B$22,0))/(1-Model!$B$9)/(1+Model!$B$18)^114))</f>
        <v/>
      </c>
      <c r="DY121" s="7">
        <f>IF(A121="","",IF((A121+115)&gt;Model!$B$4,0,MAX(0,Model!$B$6-IF((A121+115)&gt;=Model!$B$11,Model!$B$20,0)-IF(115&lt;Model!$B$15,Model!$B$22,0))/(1-Model!$B$9)/(1+Model!$B$18)^115))</f>
        <v/>
      </c>
      <c r="DZ121" s="7">
        <f>IF(A121="","",IF((A121+116)&gt;Model!$B$4,0,MAX(0,Model!$B$6-IF((A121+116)&gt;=Model!$B$11,Model!$B$20,0)-IF(116&lt;Model!$B$15,Model!$B$22,0))/(1-Model!$B$9)/(1+Model!$B$18)^116))</f>
        <v/>
      </c>
      <c r="EA121" s="7">
        <f>IF(A121="","",IF((A121+117)&gt;Model!$B$4,0,MAX(0,Model!$B$6-IF((A121+117)&gt;=Model!$B$11,Model!$B$20,0)-IF(117&lt;Model!$B$15,Model!$B$22,0))/(1-Model!$B$9)/(1+Model!$B$18)^117))</f>
        <v/>
      </c>
      <c r="EB121" s="7">
        <f>IF(A121="","",IF((A121+118)&gt;Model!$B$4,0,MAX(0,Model!$B$6-IF((A121+118)&gt;=Model!$B$11,Model!$B$20,0)-IF(118&lt;Model!$B$15,Model!$B$22,0))/(1-Model!$B$9)/(1+Model!$B$18)^118))</f>
        <v/>
      </c>
      <c r="EC121" s="7">
        <f>IF(A121="","",IF((A121+119)&gt;Model!$B$4,0,MAX(0,Model!$B$6-IF((A121+119)&gt;=Model!$B$11,Model!$B$20,0)-IF(119&lt;Model!$B$15,Model!$B$22,0))/(1-Model!$B$9)/(1+Model!$B$18)^119))</f>
        <v/>
      </c>
      <c r="ED121" s="7">
        <f>IF(A121="","",IF((A121+120)&gt;Model!$B$4,0,MAX(0,Model!$B$6-IF((A121+120)&gt;=Model!$B$11,Model!$B$20,0)-IF(120&lt;Model!$B$15,Model!$B$22,0))/(1-Model!$B$9)/(1+Model!$B$18)^120))</f>
        <v/>
      </c>
    </row>
    <row r="122">
      <c r="A122">
        <f>IF(Model!$B$10+ROW()-2&lt;=Model!$B$4,Model!$B$10+ROW()-2,"")</f>
        <v/>
      </c>
      <c r="B122">
        <f>IF(A122="","",A122-Model!$B$10)</f>
        <v/>
      </c>
      <c r="C122" s="7">
        <f>IF(A122="","",Model!$B$5*(1+Model!$B$18)^B122)</f>
        <v/>
      </c>
      <c r="D122" s="7">
        <f>IF(A122="","",SUM(N122:ED122))</f>
        <v/>
      </c>
      <c r="E122" s="7">
        <f>IF(A122="","",IF(A122&gt;=Model!$B$11,Model!$B$20,0))</f>
        <v/>
      </c>
      <c r="F122" s="7">
        <f>IF(A122="","",IF(Model!$B$15&gt;0,Model!$B$22,0))</f>
        <v/>
      </c>
      <c r="G122" s="7">
        <f>IF(A122="","",E122+F122)</f>
        <v/>
      </c>
      <c r="H122" s="7">
        <f>IF(A122="","",MAX(0,Model!$B$6-G122))</f>
        <v/>
      </c>
      <c r="I122" s="7">
        <f>IF(A122="","",H122/(1-Model!$B$9))</f>
        <v/>
      </c>
      <c r="J122" s="7">
        <f>IF(A122="","",C122-D122)</f>
        <v/>
      </c>
      <c r="K122">
        <f>IF(A122="","",C122&gt;=D122)</f>
        <v/>
      </c>
      <c r="L122" s="7">
        <f>IF(A122="","",IF(A122&gt;=Model!$B$11,Model!$B$19*(1+Model!$B$13)^B122,0))</f>
        <v/>
      </c>
      <c r="M122" s="7">
        <f>IF(A122="","",IF(Model!$B$15&gt;0,Model!$B$21*(1+Model!$B$13)^B122,0))</f>
        <v/>
      </c>
      <c r="N122" s="7">
        <f>IF(A122="","",IF((A122+0)&gt;Model!$B$4,0,MAX(0,Model!$B$6-IF((A122+0)&gt;=Model!$B$11,Model!$B$20,0)-IF(0&lt;Model!$B$15,Model!$B$22,0))/(1-Model!$B$9)/(1+Model!$B$18)^0))</f>
        <v/>
      </c>
      <c r="O122" s="7">
        <f>IF(A122="","",IF((A122+1)&gt;Model!$B$4,0,MAX(0,Model!$B$6-IF((A122+1)&gt;=Model!$B$11,Model!$B$20,0)-IF(1&lt;Model!$B$15,Model!$B$22,0))/(1-Model!$B$9)/(1+Model!$B$18)^1))</f>
        <v/>
      </c>
      <c r="P122" s="7">
        <f>IF(A122="","",IF((A122+2)&gt;Model!$B$4,0,MAX(0,Model!$B$6-IF((A122+2)&gt;=Model!$B$11,Model!$B$20,0)-IF(2&lt;Model!$B$15,Model!$B$22,0))/(1-Model!$B$9)/(1+Model!$B$18)^2))</f>
        <v/>
      </c>
      <c r="Q122" s="7">
        <f>IF(A122="","",IF((A122+3)&gt;Model!$B$4,0,MAX(0,Model!$B$6-IF((A122+3)&gt;=Model!$B$11,Model!$B$20,0)-IF(3&lt;Model!$B$15,Model!$B$22,0))/(1-Model!$B$9)/(1+Model!$B$18)^3))</f>
        <v/>
      </c>
      <c r="R122" s="7">
        <f>IF(A122="","",IF((A122+4)&gt;Model!$B$4,0,MAX(0,Model!$B$6-IF((A122+4)&gt;=Model!$B$11,Model!$B$20,0)-IF(4&lt;Model!$B$15,Model!$B$22,0))/(1-Model!$B$9)/(1+Model!$B$18)^4))</f>
        <v/>
      </c>
      <c r="S122" s="7">
        <f>IF(A122="","",IF((A122+5)&gt;Model!$B$4,0,MAX(0,Model!$B$6-IF((A122+5)&gt;=Model!$B$11,Model!$B$20,0)-IF(5&lt;Model!$B$15,Model!$B$22,0))/(1-Model!$B$9)/(1+Model!$B$18)^5))</f>
        <v/>
      </c>
      <c r="T122" s="7">
        <f>IF(A122="","",IF((A122+6)&gt;Model!$B$4,0,MAX(0,Model!$B$6-IF((A122+6)&gt;=Model!$B$11,Model!$B$20,0)-IF(6&lt;Model!$B$15,Model!$B$22,0))/(1-Model!$B$9)/(1+Model!$B$18)^6))</f>
        <v/>
      </c>
      <c r="U122" s="7">
        <f>IF(A122="","",IF((A122+7)&gt;Model!$B$4,0,MAX(0,Model!$B$6-IF((A122+7)&gt;=Model!$B$11,Model!$B$20,0)-IF(7&lt;Model!$B$15,Model!$B$22,0))/(1-Model!$B$9)/(1+Model!$B$18)^7))</f>
        <v/>
      </c>
      <c r="V122" s="7">
        <f>IF(A122="","",IF((A122+8)&gt;Model!$B$4,0,MAX(0,Model!$B$6-IF((A122+8)&gt;=Model!$B$11,Model!$B$20,0)-IF(8&lt;Model!$B$15,Model!$B$22,0))/(1-Model!$B$9)/(1+Model!$B$18)^8))</f>
        <v/>
      </c>
      <c r="W122" s="7">
        <f>IF(A122="","",IF((A122+9)&gt;Model!$B$4,0,MAX(0,Model!$B$6-IF((A122+9)&gt;=Model!$B$11,Model!$B$20,0)-IF(9&lt;Model!$B$15,Model!$B$22,0))/(1-Model!$B$9)/(1+Model!$B$18)^9))</f>
        <v/>
      </c>
      <c r="X122" s="7">
        <f>IF(A122="","",IF((A122+10)&gt;Model!$B$4,0,MAX(0,Model!$B$6-IF((A122+10)&gt;=Model!$B$11,Model!$B$20,0)-IF(10&lt;Model!$B$15,Model!$B$22,0))/(1-Model!$B$9)/(1+Model!$B$18)^10))</f>
        <v/>
      </c>
      <c r="Y122" s="7">
        <f>IF(A122="","",IF((A122+11)&gt;Model!$B$4,0,MAX(0,Model!$B$6-IF((A122+11)&gt;=Model!$B$11,Model!$B$20,0)-IF(11&lt;Model!$B$15,Model!$B$22,0))/(1-Model!$B$9)/(1+Model!$B$18)^11))</f>
        <v/>
      </c>
      <c r="Z122" s="7">
        <f>IF(A122="","",IF((A122+12)&gt;Model!$B$4,0,MAX(0,Model!$B$6-IF((A122+12)&gt;=Model!$B$11,Model!$B$20,0)-IF(12&lt;Model!$B$15,Model!$B$22,0))/(1-Model!$B$9)/(1+Model!$B$18)^12))</f>
        <v/>
      </c>
      <c r="AA122" s="7">
        <f>IF(A122="","",IF((A122+13)&gt;Model!$B$4,0,MAX(0,Model!$B$6-IF((A122+13)&gt;=Model!$B$11,Model!$B$20,0)-IF(13&lt;Model!$B$15,Model!$B$22,0))/(1-Model!$B$9)/(1+Model!$B$18)^13))</f>
        <v/>
      </c>
      <c r="AB122" s="7">
        <f>IF(A122="","",IF((A122+14)&gt;Model!$B$4,0,MAX(0,Model!$B$6-IF((A122+14)&gt;=Model!$B$11,Model!$B$20,0)-IF(14&lt;Model!$B$15,Model!$B$22,0))/(1-Model!$B$9)/(1+Model!$B$18)^14))</f>
        <v/>
      </c>
      <c r="AC122" s="7">
        <f>IF(A122="","",IF((A122+15)&gt;Model!$B$4,0,MAX(0,Model!$B$6-IF((A122+15)&gt;=Model!$B$11,Model!$B$20,0)-IF(15&lt;Model!$B$15,Model!$B$22,0))/(1-Model!$B$9)/(1+Model!$B$18)^15))</f>
        <v/>
      </c>
      <c r="AD122" s="7">
        <f>IF(A122="","",IF((A122+16)&gt;Model!$B$4,0,MAX(0,Model!$B$6-IF((A122+16)&gt;=Model!$B$11,Model!$B$20,0)-IF(16&lt;Model!$B$15,Model!$B$22,0))/(1-Model!$B$9)/(1+Model!$B$18)^16))</f>
        <v/>
      </c>
      <c r="AE122" s="7">
        <f>IF(A122="","",IF((A122+17)&gt;Model!$B$4,0,MAX(0,Model!$B$6-IF((A122+17)&gt;=Model!$B$11,Model!$B$20,0)-IF(17&lt;Model!$B$15,Model!$B$22,0))/(1-Model!$B$9)/(1+Model!$B$18)^17))</f>
        <v/>
      </c>
      <c r="AF122" s="7">
        <f>IF(A122="","",IF((A122+18)&gt;Model!$B$4,0,MAX(0,Model!$B$6-IF((A122+18)&gt;=Model!$B$11,Model!$B$20,0)-IF(18&lt;Model!$B$15,Model!$B$22,0))/(1-Model!$B$9)/(1+Model!$B$18)^18))</f>
        <v/>
      </c>
      <c r="AG122" s="7">
        <f>IF(A122="","",IF((A122+19)&gt;Model!$B$4,0,MAX(0,Model!$B$6-IF((A122+19)&gt;=Model!$B$11,Model!$B$20,0)-IF(19&lt;Model!$B$15,Model!$B$22,0))/(1-Model!$B$9)/(1+Model!$B$18)^19))</f>
        <v/>
      </c>
      <c r="AH122" s="7">
        <f>IF(A122="","",IF((A122+20)&gt;Model!$B$4,0,MAX(0,Model!$B$6-IF((A122+20)&gt;=Model!$B$11,Model!$B$20,0)-IF(20&lt;Model!$B$15,Model!$B$22,0))/(1-Model!$B$9)/(1+Model!$B$18)^20))</f>
        <v/>
      </c>
      <c r="AI122" s="7">
        <f>IF(A122="","",IF((A122+21)&gt;Model!$B$4,0,MAX(0,Model!$B$6-IF((A122+21)&gt;=Model!$B$11,Model!$B$20,0)-IF(21&lt;Model!$B$15,Model!$B$22,0))/(1-Model!$B$9)/(1+Model!$B$18)^21))</f>
        <v/>
      </c>
      <c r="AJ122" s="7">
        <f>IF(A122="","",IF((A122+22)&gt;Model!$B$4,0,MAX(0,Model!$B$6-IF((A122+22)&gt;=Model!$B$11,Model!$B$20,0)-IF(22&lt;Model!$B$15,Model!$B$22,0))/(1-Model!$B$9)/(1+Model!$B$18)^22))</f>
        <v/>
      </c>
      <c r="AK122" s="7">
        <f>IF(A122="","",IF((A122+23)&gt;Model!$B$4,0,MAX(0,Model!$B$6-IF((A122+23)&gt;=Model!$B$11,Model!$B$20,0)-IF(23&lt;Model!$B$15,Model!$B$22,0))/(1-Model!$B$9)/(1+Model!$B$18)^23))</f>
        <v/>
      </c>
      <c r="AL122" s="7">
        <f>IF(A122="","",IF((A122+24)&gt;Model!$B$4,0,MAX(0,Model!$B$6-IF((A122+24)&gt;=Model!$B$11,Model!$B$20,0)-IF(24&lt;Model!$B$15,Model!$B$22,0))/(1-Model!$B$9)/(1+Model!$B$18)^24))</f>
        <v/>
      </c>
      <c r="AM122" s="7">
        <f>IF(A122="","",IF((A122+25)&gt;Model!$B$4,0,MAX(0,Model!$B$6-IF((A122+25)&gt;=Model!$B$11,Model!$B$20,0)-IF(25&lt;Model!$B$15,Model!$B$22,0))/(1-Model!$B$9)/(1+Model!$B$18)^25))</f>
        <v/>
      </c>
      <c r="AN122" s="7">
        <f>IF(A122="","",IF((A122+26)&gt;Model!$B$4,0,MAX(0,Model!$B$6-IF((A122+26)&gt;=Model!$B$11,Model!$B$20,0)-IF(26&lt;Model!$B$15,Model!$B$22,0))/(1-Model!$B$9)/(1+Model!$B$18)^26))</f>
        <v/>
      </c>
      <c r="AO122" s="7">
        <f>IF(A122="","",IF((A122+27)&gt;Model!$B$4,0,MAX(0,Model!$B$6-IF((A122+27)&gt;=Model!$B$11,Model!$B$20,0)-IF(27&lt;Model!$B$15,Model!$B$22,0))/(1-Model!$B$9)/(1+Model!$B$18)^27))</f>
        <v/>
      </c>
      <c r="AP122" s="7">
        <f>IF(A122="","",IF((A122+28)&gt;Model!$B$4,0,MAX(0,Model!$B$6-IF((A122+28)&gt;=Model!$B$11,Model!$B$20,0)-IF(28&lt;Model!$B$15,Model!$B$22,0))/(1-Model!$B$9)/(1+Model!$B$18)^28))</f>
        <v/>
      </c>
      <c r="AQ122" s="7">
        <f>IF(A122="","",IF((A122+29)&gt;Model!$B$4,0,MAX(0,Model!$B$6-IF((A122+29)&gt;=Model!$B$11,Model!$B$20,0)-IF(29&lt;Model!$B$15,Model!$B$22,0))/(1-Model!$B$9)/(1+Model!$B$18)^29))</f>
        <v/>
      </c>
      <c r="AR122" s="7">
        <f>IF(A122="","",IF((A122+30)&gt;Model!$B$4,0,MAX(0,Model!$B$6-IF((A122+30)&gt;=Model!$B$11,Model!$B$20,0)-IF(30&lt;Model!$B$15,Model!$B$22,0))/(1-Model!$B$9)/(1+Model!$B$18)^30))</f>
        <v/>
      </c>
      <c r="AS122" s="7">
        <f>IF(A122="","",IF((A122+31)&gt;Model!$B$4,0,MAX(0,Model!$B$6-IF((A122+31)&gt;=Model!$B$11,Model!$B$20,0)-IF(31&lt;Model!$B$15,Model!$B$22,0))/(1-Model!$B$9)/(1+Model!$B$18)^31))</f>
        <v/>
      </c>
      <c r="AT122" s="7">
        <f>IF(A122="","",IF((A122+32)&gt;Model!$B$4,0,MAX(0,Model!$B$6-IF((A122+32)&gt;=Model!$B$11,Model!$B$20,0)-IF(32&lt;Model!$B$15,Model!$B$22,0))/(1-Model!$B$9)/(1+Model!$B$18)^32))</f>
        <v/>
      </c>
      <c r="AU122" s="7">
        <f>IF(A122="","",IF((A122+33)&gt;Model!$B$4,0,MAX(0,Model!$B$6-IF((A122+33)&gt;=Model!$B$11,Model!$B$20,0)-IF(33&lt;Model!$B$15,Model!$B$22,0))/(1-Model!$B$9)/(1+Model!$B$18)^33))</f>
        <v/>
      </c>
      <c r="AV122" s="7">
        <f>IF(A122="","",IF((A122+34)&gt;Model!$B$4,0,MAX(0,Model!$B$6-IF((A122+34)&gt;=Model!$B$11,Model!$B$20,0)-IF(34&lt;Model!$B$15,Model!$B$22,0))/(1-Model!$B$9)/(1+Model!$B$18)^34))</f>
        <v/>
      </c>
      <c r="AW122" s="7">
        <f>IF(A122="","",IF((A122+35)&gt;Model!$B$4,0,MAX(0,Model!$B$6-IF((A122+35)&gt;=Model!$B$11,Model!$B$20,0)-IF(35&lt;Model!$B$15,Model!$B$22,0))/(1-Model!$B$9)/(1+Model!$B$18)^35))</f>
        <v/>
      </c>
      <c r="AX122" s="7">
        <f>IF(A122="","",IF((A122+36)&gt;Model!$B$4,0,MAX(0,Model!$B$6-IF((A122+36)&gt;=Model!$B$11,Model!$B$20,0)-IF(36&lt;Model!$B$15,Model!$B$22,0))/(1-Model!$B$9)/(1+Model!$B$18)^36))</f>
        <v/>
      </c>
      <c r="AY122" s="7">
        <f>IF(A122="","",IF((A122+37)&gt;Model!$B$4,0,MAX(0,Model!$B$6-IF((A122+37)&gt;=Model!$B$11,Model!$B$20,0)-IF(37&lt;Model!$B$15,Model!$B$22,0))/(1-Model!$B$9)/(1+Model!$B$18)^37))</f>
        <v/>
      </c>
      <c r="AZ122" s="7">
        <f>IF(A122="","",IF((A122+38)&gt;Model!$B$4,0,MAX(0,Model!$B$6-IF((A122+38)&gt;=Model!$B$11,Model!$B$20,0)-IF(38&lt;Model!$B$15,Model!$B$22,0))/(1-Model!$B$9)/(1+Model!$B$18)^38))</f>
        <v/>
      </c>
      <c r="BA122" s="7">
        <f>IF(A122="","",IF((A122+39)&gt;Model!$B$4,0,MAX(0,Model!$B$6-IF((A122+39)&gt;=Model!$B$11,Model!$B$20,0)-IF(39&lt;Model!$B$15,Model!$B$22,0))/(1-Model!$B$9)/(1+Model!$B$18)^39))</f>
        <v/>
      </c>
      <c r="BB122" s="7">
        <f>IF(A122="","",IF((A122+40)&gt;Model!$B$4,0,MAX(0,Model!$B$6-IF((A122+40)&gt;=Model!$B$11,Model!$B$20,0)-IF(40&lt;Model!$B$15,Model!$B$22,0))/(1-Model!$B$9)/(1+Model!$B$18)^40))</f>
        <v/>
      </c>
      <c r="BC122" s="7">
        <f>IF(A122="","",IF((A122+41)&gt;Model!$B$4,0,MAX(0,Model!$B$6-IF((A122+41)&gt;=Model!$B$11,Model!$B$20,0)-IF(41&lt;Model!$B$15,Model!$B$22,0))/(1-Model!$B$9)/(1+Model!$B$18)^41))</f>
        <v/>
      </c>
      <c r="BD122" s="7">
        <f>IF(A122="","",IF((A122+42)&gt;Model!$B$4,0,MAX(0,Model!$B$6-IF((A122+42)&gt;=Model!$B$11,Model!$B$20,0)-IF(42&lt;Model!$B$15,Model!$B$22,0))/(1-Model!$B$9)/(1+Model!$B$18)^42))</f>
        <v/>
      </c>
      <c r="BE122" s="7">
        <f>IF(A122="","",IF((A122+43)&gt;Model!$B$4,0,MAX(0,Model!$B$6-IF((A122+43)&gt;=Model!$B$11,Model!$B$20,0)-IF(43&lt;Model!$B$15,Model!$B$22,0))/(1-Model!$B$9)/(1+Model!$B$18)^43))</f>
        <v/>
      </c>
      <c r="BF122" s="7">
        <f>IF(A122="","",IF((A122+44)&gt;Model!$B$4,0,MAX(0,Model!$B$6-IF((A122+44)&gt;=Model!$B$11,Model!$B$20,0)-IF(44&lt;Model!$B$15,Model!$B$22,0))/(1-Model!$B$9)/(1+Model!$B$18)^44))</f>
        <v/>
      </c>
      <c r="BG122" s="7">
        <f>IF(A122="","",IF((A122+45)&gt;Model!$B$4,0,MAX(0,Model!$B$6-IF((A122+45)&gt;=Model!$B$11,Model!$B$20,0)-IF(45&lt;Model!$B$15,Model!$B$22,0))/(1-Model!$B$9)/(1+Model!$B$18)^45))</f>
        <v/>
      </c>
      <c r="BH122" s="7">
        <f>IF(A122="","",IF((A122+46)&gt;Model!$B$4,0,MAX(0,Model!$B$6-IF((A122+46)&gt;=Model!$B$11,Model!$B$20,0)-IF(46&lt;Model!$B$15,Model!$B$22,0))/(1-Model!$B$9)/(1+Model!$B$18)^46))</f>
        <v/>
      </c>
      <c r="BI122" s="7">
        <f>IF(A122="","",IF((A122+47)&gt;Model!$B$4,0,MAX(0,Model!$B$6-IF((A122+47)&gt;=Model!$B$11,Model!$B$20,0)-IF(47&lt;Model!$B$15,Model!$B$22,0))/(1-Model!$B$9)/(1+Model!$B$18)^47))</f>
        <v/>
      </c>
      <c r="BJ122" s="7">
        <f>IF(A122="","",IF((A122+48)&gt;Model!$B$4,0,MAX(0,Model!$B$6-IF((A122+48)&gt;=Model!$B$11,Model!$B$20,0)-IF(48&lt;Model!$B$15,Model!$B$22,0))/(1-Model!$B$9)/(1+Model!$B$18)^48))</f>
        <v/>
      </c>
      <c r="BK122" s="7">
        <f>IF(A122="","",IF((A122+49)&gt;Model!$B$4,0,MAX(0,Model!$B$6-IF((A122+49)&gt;=Model!$B$11,Model!$B$20,0)-IF(49&lt;Model!$B$15,Model!$B$22,0))/(1-Model!$B$9)/(1+Model!$B$18)^49))</f>
        <v/>
      </c>
      <c r="BL122" s="7">
        <f>IF(A122="","",IF((A122+50)&gt;Model!$B$4,0,MAX(0,Model!$B$6-IF((A122+50)&gt;=Model!$B$11,Model!$B$20,0)-IF(50&lt;Model!$B$15,Model!$B$22,0))/(1-Model!$B$9)/(1+Model!$B$18)^50))</f>
        <v/>
      </c>
      <c r="BM122" s="7">
        <f>IF(A122="","",IF((A122+51)&gt;Model!$B$4,0,MAX(0,Model!$B$6-IF((A122+51)&gt;=Model!$B$11,Model!$B$20,0)-IF(51&lt;Model!$B$15,Model!$B$22,0))/(1-Model!$B$9)/(1+Model!$B$18)^51))</f>
        <v/>
      </c>
      <c r="BN122" s="7">
        <f>IF(A122="","",IF((A122+52)&gt;Model!$B$4,0,MAX(0,Model!$B$6-IF((A122+52)&gt;=Model!$B$11,Model!$B$20,0)-IF(52&lt;Model!$B$15,Model!$B$22,0))/(1-Model!$B$9)/(1+Model!$B$18)^52))</f>
        <v/>
      </c>
      <c r="BO122" s="7">
        <f>IF(A122="","",IF((A122+53)&gt;Model!$B$4,0,MAX(0,Model!$B$6-IF((A122+53)&gt;=Model!$B$11,Model!$B$20,0)-IF(53&lt;Model!$B$15,Model!$B$22,0))/(1-Model!$B$9)/(1+Model!$B$18)^53))</f>
        <v/>
      </c>
      <c r="BP122" s="7">
        <f>IF(A122="","",IF((A122+54)&gt;Model!$B$4,0,MAX(0,Model!$B$6-IF((A122+54)&gt;=Model!$B$11,Model!$B$20,0)-IF(54&lt;Model!$B$15,Model!$B$22,0))/(1-Model!$B$9)/(1+Model!$B$18)^54))</f>
        <v/>
      </c>
      <c r="BQ122" s="7">
        <f>IF(A122="","",IF((A122+55)&gt;Model!$B$4,0,MAX(0,Model!$B$6-IF((A122+55)&gt;=Model!$B$11,Model!$B$20,0)-IF(55&lt;Model!$B$15,Model!$B$22,0))/(1-Model!$B$9)/(1+Model!$B$18)^55))</f>
        <v/>
      </c>
      <c r="BR122" s="7">
        <f>IF(A122="","",IF((A122+56)&gt;Model!$B$4,0,MAX(0,Model!$B$6-IF((A122+56)&gt;=Model!$B$11,Model!$B$20,0)-IF(56&lt;Model!$B$15,Model!$B$22,0))/(1-Model!$B$9)/(1+Model!$B$18)^56))</f>
        <v/>
      </c>
      <c r="BS122" s="7">
        <f>IF(A122="","",IF((A122+57)&gt;Model!$B$4,0,MAX(0,Model!$B$6-IF((A122+57)&gt;=Model!$B$11,Model!$B$20,0)-IF(57&lt;Model!$B$15,Model!$B$22,0))/(1-Model!$B$9)/(1+Model!$B$18)^57))</f>
        <v/>
      </c>
      <c r="BT122" s="7">
        <f>IF(A122="","",IF((A122+58)&gt;Model!$B$4,0,MAX(0,Model!$B$6-IF((A122+58)&gt;=Model!$B$11,Model!$B$20,0)-IF(58&lt;Model!$B$15,Model!$B$22,0))/(1-Model!$B$9)/(1+Model!$B$18)^58))</f>
        <v/>
      </c>
      <c r="BU122" s="7">
        <f>IF(A122="","",IF((A122+59)&gt;Model!$B$4,0,MAX(0,Model!$B$6-IF((A122+59)&gt;=Model!$B$11,Model!$B$20,0)-IF(59&lt;Model!$B$15,Model!$B$22,0))/(1-Model!$B$9)/(1+Model!$B$18)^59))</f>
        <v/>
      </c>
      <c r="BV122" s="7">
        <f>IF(A122="","",IF((A122+60)&gt;Model!$B$4,0,MAX(0,Model!$B$6-IF((A122+60)&gt;=Model!$B$11,Model!$B$20,0)-IF(60&lt;Model!$B$15,Model!$B$22,0))/(1-Model!$B$9)/(1+Model!$B$18)^60))</f>
        <v/>
      </c>
      <c r="BW122" s="7">
        <f>IF(A122="","",IF((A122+61)&gt;Model!$B$4,0,MAX(0,Model!$B$6-IF((A122+61)&gt;=Model!$B$11,Model!$B$20,0)-IF(61&lt;Model!$B$15,Model!$B$22,0))/(1-Model!$B$9)/(1+Model!$B$18)^61))</f>
        <v/>
      </c>
      <c r="BX122" s="7">
        <f>IF(A122="","",IF((A122+62)&gt;Model!$B$4,0,MAX(0,Model!$B$6-IF((A122+62)&gt;=Model!$B$11,Model!$B$20,0)-IF(62&lt;Model!$B$15,Model!$B$22,0))/(1-Model!$B$9)/(1+Model!$B$18)^62))</f>
        <v/>
      </c>
      <c r="BY122" s="7">
        <f>IF(A122="","",IF((A122+63)&gt;Model!$B$4,0,MAX(0,Model!$B$6-IF((A122+63)&gt;=Model!$B$11,Model!$B$20,0)-IF(63&lt;Model!$B$15,Model!$B$22,0))/(1-Model!$B$9)/(1+Model!$B$18)^63))</f>
        <v/>
      </c>
      <c r="BZ122" s="7">
        <f>IF(A122="","",IF((A122+64)&gt;Model!$B$4,0,MAX(0,Model!$B$6-IF((A122+64)&gt;=Model!$B$11,Model!$B$20,0)-IF(64&lt;Model!$B$15,Model!$B$22,0))/(1-Model!$B$9)/(1+Model!$B$18)^64))</f>
        <v/>
      </c>
      <c r="CA122" s="7">
        <f>IF(A122="","",IF((A122+65)&gt;Model!$B$4,0,MAX(0,Model!$B$6-IF((A122+65)&gt;=Model!$B$11,Model!$B$20,0)-IF(65&lt;Model!$B$15,Model!$B$22,0))/(1-Model!$B$9)/(1+Model!$B$18)^65))</f>
        <v/>
      </c>
      <c r="CB122" s="7">
        <f>IF(A122="","",IF((A122+66)&gt;Model!$B$4,0,MAX(0,Model!$B$6-IF((A122+66)&gt;=Model!$B$11,Model!$B$20,0)-IF(66&lt;Model!$B$15,Model!$B$22,0))/(1-Model!$B$9)/(1+Model!$B$18)^66))</f>
        <v/>
      </c>
      <c r="CC122" s="7">
        <f>IF(A122="","",IF((A122+67)&gt;Model!$B$4,0,MAX(0,Model!$B$6-IF((A122+67)&gt;=Model!$B$11,Model!$B$20,0)-IF(67&lt;Model!$B$15,Model!$B$22,0))/(1-Model!$B$9)/(1+Model!$B$18)^67))</f>
        <v/>
      </c>
      <c r="CD122" s="7">
        <f>IF(A122="","",IF((A122+68)&gt;Model!$B$4,0,MAX(0,Model!$B$6-IF((A122+68)&gt;=Model!$B$11,Model!$B$20,0)-IF(68&lt;Model!$B$15,Model!$B$22,0))/(1-Model!$B$9)/(1+Model!$B$18)^68))</f>
        <v/>
      </c>
      <c r="CE122" s="7">
        <f>IF(A122="","",IF((A122+69)&gt;Model!$B$4,0,MAX(0,Model!$B$6-IF((A122+69)&gt;=Model!$B$11,Model!$B$20,0)-IF(69&lt;Model!$B$15,Model!$B$22,0))/(1-Model!$B$9)/(1+Model!$B$18)^69))</f>
        <v/>
      </c>
      <c r="CF122" s="7">
        <f>IF(A122="","",IF((A122+70)&gt;Model!$B$4,0,MAX(0,Model!$B$6-IF((A122+70)&gt;=Model!$B$11,Model!$B$20,0)-IF(70&lt;Model!$B$15,Model!$B$22,0))/(1-Model!$B$9)/(1+Model!$B$18)^70))</f>
        <v/>
      </c>
      <c r="CG122" s="7">
        <f>IF(A122="","",IF((A122+71)&gt;Model!$B$4,0,MAX(0,Model!$B$6-IF((A122+71)&gt;=Model!$B$11,Model!$B$20,0)-IF(71&lt;Model!$B$15,Model!$B$22,0))/(1-Model!$B$9)/(1+Model!$B$18)^71))</f>
        <v/>
      </c>
      <c r="CH122" s="7">
        <f>IF(A122="","",IF((A122+72)&gt;Model!$B$4,0,MAX(0,Model!$B$6-IF((A122+72)&gt;=Model!$B$11,Model!$B$20,0)-IF(72&lt;Model!$B$15,Model!$B$22,0))/(1-Model!$B$9)/(1+Model!$B$18)^72))</f>
        <v/>
      </c>
      <c r="CI122" s="7">
        <f>IF(A122="","",IF((A122+73)&gt;Model!$B$4,0,MAX(0,Model!$B$6-IF((A122+73)&gt;=Model!$B$11,Model!$B$20,0)-IF(73&lt;Model!$B$15,Model!$B$22,0))/(1-Model!$B$9)/(1+Model!$B$18)^73))</f>
        <v/>
      </c>
      <c r="CJ122" s="7">
        <f>IF(A122="","",IF((A122+74)&gt;Model!$B$4,0,MAX(0,Model!$B$6-IF((A122+74)&gt;=Model!$B$11,Model!$B$20,0)-IF(74&lt;Model!$B$15,Model!$B$22,0))/(1-Model!$B$9)/(1+Model!$B$18)^74))</f>
        <v/>
      </c>
      <c r="CK122" s="7">
        <f>IF(A122="","",IF((A122+75)&gt;Model!$B$4,0,MAX(0,Model!$B$6-IF((A122+75)&gt;=Model!$B$11,Model!$B$20,0)-IF(75&lt;Model!$B$15,Model!$B$22,0))/(1-Model!$B$9)/(1+Model!$B$18)^75))</f>
        <v/>
      </c>
      <c r="CL122" s="7">
        <f>IF(A122="","",IF((A122+76)&gt;Model!$B$4,0,MAX(0,Model!$B$6-IF((A122+76)&gt;=Model!$B$11,Model!$B$20,0)-IF(76&lt;Model!$B$15,Model!$B$22,0))/(1-Model!$B$9)/(1+Model!$B$18)^76))</f>
        <v/>
      </c>
      <c r="CM122" s="7">
        <f>IF(A122="","",IF((A122+77)&gt;Model!$B$4,0,MAX(0,Model!$B$6-IF((A122+77)&gt;=Model!$B$11,Model!$B$20,0)-IF(77&lt;Model!$B$15,Model!$B$22,0))/(1-Model!$B$9)/(1+Model!$B$18)^77))</f>
        <v/>
      </c>
      <c r="CN122" s="7">
        <f>IF(A122="","",IF((A122+78)&gt;Model!$B$4,0,MAX(0,Model!$B$6-IF((A122+78)&gt;=Model!$B$11,Model!$B$20,0)-IF(78&lt;Model!$B$15,Model!$B$22,0))/(1-Model!$B$9)/(1+Model!$B$18)^78))</f>
        <v/>
      </c>
      <c r="CO122" s="7">
        <f>IF(A122="","",IF((A122+79)&gt;Model!$B$4,0,MAX(0,Model!$B$6-IF((A122+79)&gt;=Model!$B$11,Model!$B$20,0)-IF(79&lt;Model!$B$15,Model!$B$22,0))/(1-Model!$B$9)/(1+Model!$B$18)^79))</f>
        <v/>
      </c>
      <c r="CP122" s="7">
        <f>IF(A122="","",IF((A122+80)&gt;Model!$B$4,0,MAX(0,Model!$B$6-IF((A122+80)&gt;=Model!$B$11,Model!$B$20,0)-IF(80&lt;Model!$B$15,Model!$B$22,0))/(1-Model!$B$9)/(1+Model!$B$18)^80))</f>
        <v/>
      </c>
      <c r="CQ122" s="7">
        <f>IF(A122="","",IF((A122+81)&gt;Model!$B$4,0,MAX(0,Model!$B$6-IF((A122+81)&gt;=Model!$B$11,Model!$B$20,0)-IF(81&lt;Model!$B$15,Model!$B$22,0))/(1-Model!$B$9)/(1+Model!$B$18)^81))</f>
        <v/>
      </c>
      <c r="CR122" s="7">
        <f>IF(A122="","",IF((A122+82)&gt;Model!$B$4,0,MAX(0,Model!$B$6-IF((A122+82)&gt;=Model!$B$11,Model!$B$20,0)-IF(82&lt;Model!$B$15,Model!$B$22,0))/(1-Model!$B$9)/(1+Model!$B$18)^82))</f>
        <v/>
      </c>
      <c r="CS122" s="7">
        <f>IF(A122="","",IF((A122+83)&gt;Model!$B$4,0,MAX(0,Model!$B$6-IF((A122+83)&gt;=Model!$B$11,Model!$B$20,0)-IF(83&lt;Model!$B$15,Model!$B$22,0))/(1-Model!$B$9)/(1+Model!$B$18)^83))</f>
        <v/>
      </c>
      <c r="CT122" s="7">
        <f>IF(A122="","",IF((A122+84)&gt;Model!$B$4,0,MAX(0,Model!$B$6-IF((A122+84)&gt;=Model!$B$11,Model!$B$20,0)-IF(84&lt;Model!$B$15,Model!$B$22,0))/(1-Model!$B$9)/(1+Model!$B$18)^84))</f>
        <v/>
      </c>
      <c r="CU122" s="7">
        <f>IF(A122="","",IF((A122+85)&gt;Model!$B$4,0,MAX(0,Model!$B$6-IF((A122+85)&gt;=Model!$B$11,Model!$B$20,0)-IF(85&lt;Model!$B$15,Model!$B$22,0))/(1-Model!$B$9)/(1+Model!$B$18)^85))</f>
        <v/>
      </c>
      <c r="CV122" s="7">
        <f>IF(A122="","",IF((A122+86)&gt;Model!$B$4,0,MAX(0,Model!$B$6-IF((A122+86)&gt;=Model!$B$11,Model!$B$20,0)-IF(86&lt;Model!$B$15,Model!$B$22,0))/(1-Model!$B$9)/(1+Model!$B$18)^86))</f>
        <v/>
      </c>
      <c r="CW122" s="7">
        <f>IF(A122="","",IF((A122+87)&gt;Model!$B$4,0,MAX(0,Model!$B$6-IF((A122+87)&gt;=Model!$B$11,Model!$B$20,0)-IF(87&lt;Model!$B$15,Model!$B$22,0))/(1-Model!$B$9)/(1+Model!$B$18)^87))</f>
        <v/>
      </c>
      <c r="CX122" s="7">
        <f>IF(A122="","",IF((A122+88)&gt;Model!$B$4,0,MAX(0,Model!$B$6-IF((A122+88)&gt;=Model!$B$11,Model!$B$20,0)-IF(88&lt;Model!$B$15,Model!$B$22,0))/(1-Model!$B$9)/(1+Model!$B$18)^88))</f>
        <v/>
      </c>
      <c r="CY122" s="7">
        <f>IF(A122="","",IF((A122+89)&gt;Model!$B$4,0,MAX(0,Model!$B$6-IF((A122+89)&gt;=Model!$B$11,Model!$B$20,0)-IF(89&lt;Model!$B$15,Model!$B$22,0))/(1-Model!$B$9)/(1+Model!$B$18)^89))</f>
        <v/>
      </c>
      <c r="CZ122" s="7">
        <f>IF(A122="","",IF((A122+90)&gt;Model!$B$4,0,MAX(0,Model!$B$6-IF((A122+90)&gt;=Model!$B$11,Model!$B$20,0)-IF(90&lt;Model!$B$15,Model!$B$22,0))/(1-Model!$B$9)/(1+Model!$B$18)^90))</f>
        <v/>
      </c>
      <c r="DA122" s="7">
        <f>IF(A122="","",IF((A122+91)&gt;Model!$B$4,0,MAX(0,Model!$B$6-IF((A122+91)&gt;=Model!$B$11,Model!$B$20,0)-IF(91&lt;Model!$B$15,Model!$B$22,0))/(1-Model!$B$9)/(1+Model!$B$18)^91))</f>
        <v/>
      </c>
      <c r="DB122" s="7">
        <f>IF(A122="","",IF((A122+92)&gt;Model!$B$4,0,MAX(0,Model!$B$6-IF((A122+92)&gt;=Model!$B$11,Model!$B$20,0)-IF(92&lt;Model!$B$15,Model!$B$22,0))/(1-Model!$B$9)/(1+Model!$B$18)^92))</f>
        <v/>
      </c>
      <c r="DC122" s="7">
        <f>IF(A122="","",IF((A122+93)&gt;Model!$B$4,0,MAX(0,Model!$B$6-IF((A122+93)&gt;=Model!$B$11,Model!$B$20,0)-IF(93&lt;Model!$B$15,Model!$B$22,0))/(1-Model!$B$9)/(1+Model!$B$18)^93))</f>
        <v/>
      </c>
      <c r="DD122" s="7">
        <f>IF(A122="","",IF((A122+94)&gt;Model!$B$4,0,MAX(0,Model!$B$6-IF((A122+94)&gt;=Model!$B$11,Model!$B$20,0)-IF(94&lt;Model!$B$15,Model!$B$22,0))/(1-Model!$B$9)/(1+Model!$B$18)^94))</f>
        <v/>
      </c>
      <c r="DE122" s="7">
        <f>IF(A122="","",IF((A122+95)&gt;Model!$B$4,0,MAX(0,Model!$B$6-IF((A122+95)&gt;=Model!$B$11,Model!$B$20,0)-IF(95&lt;Model!$B$15,Model!$B$22,0))/(1-Model!$B$9)/(1+Model!$B$18)^95))</f>
        <v/>
      </c>
      <c r="DF122" s="7">
        <f>IF(A122="","",IF((A122+96)&gt;Model!$B$4,0,MAX(0,Model!$B$6-IF((A122+96)&gt;=Model!$B$11,Model!$B$20,0)-IF(96&lt;Model!$B$15,Model!$B$22,0))/(1-Model!$B$9)/(1+Model!$B$18)^96))</f>
        <v/>
      </c>
      <c r="DG122" s="7">
        <f>IF(A122="","",IF((A122+97)&gt;Model!$B$4,0,MAX(0,Model!$B$6-IF((A122+97)&gt;=Model!$B$11,Model!$B$20,0)-IF(97&lt;Model!$B$15,Model!$B$22,0))/(1-Model!$B$9)/(1+Model!$B$18)^97))</f>
        <v/>
      </c>
      <c r="DH122" s="7">
        <f>IF(A122="","",IF((A122+98)&gt;Model!$B$4,0,MAX(0,Model!$B$6-IF((A122+98)&gt;=Model!$B$11,Model!$B$20,0)-IF(98&lt;Model!$B$15,Model!$B$22,0))/(1-Model!$B$9)/(1+Model!$B$18)^98))</f>
        <v/>
      </c>
      <c r="DI122" s="7">
        <f>IF(A122="","",IF((A122+99)&gt;Model!$B$4,0,MAX(0,Model!$B$6-IF((A122+99)&gt;=Model!$B$11,Model!$B$20,0)-IF(99&lt;Model!$B$15,Model!$B$22,0))/(1-Model!$B$9)/(1+Model!$B$18)^99))</f>
        <v/>
      </c>
      <c r="DJ122" s="7">
        <f>IF(A122="","",IF((A122+100)&gt;Model!$B$4,0,MAX(0,Model!$B$6-IF((A122+100)&gt;=Model!$B$11,Model!$B$20,0)-IF(100&lt;Model!$B$15,Model!$B$22,0))/(1-Model!$B$9)/(1+Model!$B$18)^100))</f>
        <v/>
      </c>
      <c r="DK122" s="7">
        <f>IF(A122="","",IF((A122+101)&gt;Model!$B$4,0,MAX(0,Model!$B$6-IF((A122+101)&gt;=Model!$B$11,Model!$B$20,0)-IF(101&lt;Model!$B$15,Model!$B$22,0))/(1-Model!$B$9)/(1+Model!$B$18)^101))</f>
        <v/>
      </c>
      <c r="DL122" s="7">
        <f>IF(A122="","",IF((A122+102)&gt;Model!$B$4,0,MAX(0,Model!$B$6-IF((A122+102)&gt;=Model!$B$11,Model!$B$20,0)-IF(102&lt;Model!$B$15,Model!$B$22,0))/(1-Model!$B$9)/(1+Model!$B$18)^102))</f>
        <v/>
      </c>
      <c r="DM122" s="7">
        <f>IF(A122="","",IF((A122+103)&gt;Model!$B$4,0,MAX(0,Model!$B$6-IF((A122+103)&gt;=Model!$B$11,Model!$B$20,0)-IF(103&lt;Model!$B$15,Model!$B$22,0))/(1-Model!$B$9)/(1+Model!$B$18)^103))</f>
        <v/>
      </c>
      <c r="DN122" s="7">
        <f>IF(A122="","",IF((A122+104)&gt;Model!$B$4,0,MAX(0,Model!$B$6-IF((A122+104)&gt;=Model!$B$11,Model!$B$20,0)-IF(104&lt;Model!$B$15,Model!$B$22,0))/(1-Model!$B$9)/(1+Model!$B$18)^104))</f>
        <v/>
      </c>
      <c r="DO122" s="7">
        <f>IF(A122="","",IF((A122+105)&gt;Model!$B$4,0,MAX(0,Model!$B$6-IF((A122+105)&gt;=Model!$B$11,Model!$B$20,0)-IF(105&lt;Model!$B$15,Model!$B$22,0))/(1-Model!$B$9)/(1+Model!$B$18)^105))</f>
        <v/>
      </c>
      <c r="DP122" s="7">
        <f>IF(A122="","",IF((A122+106)&gt;Model!$B$4,0,MAX(0,Model!$B$6-IF((A122+106)&gt;=Model!$B$11,Model!$B$20,0)-IF(106&lt;Model!$B$15,Model!$B$22,0))/(1-Model!$B$9)/(1+Model!$B$18)^106))</f>
        <v/>
      </c>
      <c r="DQ122" s="7">
        <f>IF(A122="","",IF((A122+107)&gt;Model!$B$4,0,MAX(0,Model!$B$6-IF((A122+107)&gt;=Model!$B$11,Model!$B$20,0)-IF(107&lt;Model!$B$15,Model!$B$22,0))/(1-Model!$B$9)/(1+Model!$B$18)^107))</f>
        <v/>
      </c>
      <c r="DR122" s="7">
        <f>IF(A122="","",IF((A122+108)&gt;Model!$B$4,0,MAX(0,Model!$B$6-IF((A122+108)&gt;=Model!$B$11,Model!$B$20,0)-IF(108&lt;Model!$B$15,Model!$B$22,0))/(1-Model!$B$9)/(1+Model!$B$18)^108))</f>
        <v/>
      </c>
      <c r="DS122" s="7">
        <f>IF(A122="","",IF((A122+109)&gt;Model!$B$4,0,MAX(0,Model!$B$6-IF((A122+109)&gt;=Model!$B$11,Model!$B$20,0)-IF(109&lt;Model!$B$15,Model!$B$22,0))/(1-Model!$B$9)/(1+Model!$B$18)^109))</f>
        <v/>
      </c>
      <c r="DT122" s="7">
        <f>IF(A122="","",IF((A122+110)&gt;Model!$B$4,0,MAX(0,Model!$B$6-IF((A122+110)&gt;=Model!$B$11,Model!$B$20,0)-IF(110&lt;Model!$B$15,Model!$B$22,0))/(1-Model!$B$9)/(1+Model!$B$18)^110))</f>
        <v/>
      </c>
      <c r="DU122" s="7">
        <f>IF(A122="","",IF((A122+111)&gt;Model!$B$4,0,MAX(0,Model!$B$6-IF((A122+111)&gt;=Model!$B$11,Model!$B$20,0)-IF(111&lt;Model!$B$15,Model!$B$22,0))/(1-Model!$B$9)/(1+Model!$B$18)^111))</f>
        <v/>
      </c>
      <c r="DV122" s="7">
        <f>IF(A122="","",IF((A122+112)&gt;Model!$B$4,0,MAX(0,Model!$B$6-IF((A122+112)&gt;=Model!$B$11,Model!$B$20,0)-IF(112&lt;Model!$B$15,Model!$B$22,0))/(1-Model!$B$9)/(1+Model!$B$18)^112))</f>
        <v/>
      </c>
      <c r="DW122" s="7">
        <f>IF(A122="","",IF((A122+113)&gt;Model!$B$4,0,MAX(0,Model!$B$6-IF((A122+113)&gt;=Model!$B$11,Model!$B$20,0)-IF(113&lt;Model!$B$15,Model!$B$22,0))/(1-Model!$B$9)/(1+Model!$B$18)^113))</f>
        <v/>
      </c>
      <c r="DX122" s="7">
        <f>IF(A122="","",IF((A122+114)&gt;Model!$B$4,0,MAX(0,Model!$B$6-IF((A122+114)&gt;=Model!$B$11,Model!$B$20,0)-IF(114&lt;Model!$B$15,Model!$B$22,0))/(1-Model!$B$9)/(1+Model!$B$18)^114))</f>
        <v/>
      </c>
      <c r="DY122" s="7">
        <f>IF(A122="","",IF((A122+115)&gt;Model!$B$4,0,MAX(0,Model!$B$6-IF((A122+115)&gt;=Model!$B$11,Model!$B$20,0)-IF(115&lt;Model!$B$15,Model!$B$22,0))/(1-Model!$B$9)/(1+Model!$B$18)^115))</f>
        <v/>
      </c>
      <c r="DZ122" s="7">
        <f>IF(A122="","",IF((A122+116)&gt;Model!$B$4,0,MAX(0,Model!$B$6-IF((A122+116)&gt;=Model!$B$11,Model!$B$20,0)-IF(116&lt;Model!$B$15,Model!$B$22,0))/(1-Model!$B$9)/(1+Model!$B$18)^116))</f>
        <v/>
      </c>
      <c r="EA122" s="7">
        <f>IF(A122="","",IF((A122+117)&gt;Model!$B$4,0,MAX(0,Model!$B$6-IF((A122+117)&gt;=Model!$B$11,Model!$B$20,0)-IF(117&lt;Model!$B$15,Model!$B$22,0))/(1-Model!$B$9)/(1+Model!$B$18)^117))</f>
        <v/>
      </c>
      <c r="EB122" s="7">
        <f>IF(A122="","",IF((A122+118)&gt;Model!$B$4,0,MAX(0,Model!$B$6-IF((A122+118)&gt;=Model!$B$11,Model!$B$20,0)-IF(118&lt;Model!$B$15,Model!$B$22,0))/(1-Model!$B$9)/(1+Model!$B$18)^118))</f>
        <v/>
      </c>
      <c r="EC122" s="7">
        <f>IF(A122="","",IF((A122+119)&gt;Model!$B$4,0,MAX(0,Model!$B$6-IF((A122+119)&gt;=Model!$B$11,Model!$B$20,0)-IF(119&lt;Model!$B$15,Model!$B$22,0))/(1-Model!$B$9)/(1+Model!$B$18)^119))</f>
        <v/>
      </c>
      <c r="ED122" s="7">
        <f>IF(A122="","",IF((A122+120)&gt;Model!$B$4,0,MAX(0,Model!$B$6-IF((A122+120)&gt;=Model!$B$11,Model!$B$20,0)-IF(120&lt;Model!$B$15,Model!$B$22,0))/(1-Model!$B$9)/(1+Model!$B$18)^120))</f>
        <v/>
      </c>
    </row>
  </sheetData>
  <autoFilter ref="A1:M122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22" customWidth="1" min="10" max="10"/>
  </cols>
  <sheetData>
    <row r="1">
      <c r="A1" s="9" t="inlineStr">
        <is>
          <t>Udbetalingsplan ved optimal pensionsalder</t>
        </is>
      </c>
    </row>
    <row r="3">
      <c r="A3" t="inlineStr">
        <is>
          <t>Valgt pensionsalder</t>
        </is>
      </c>
      <c r="B3">
        <f>Model!B24</f>
        <v/>
      </c>
    </row>
    <row r="4">
      <c r="A4" t="inlineStr">
        <is>
          <t>Startportefolje i plan</t>
        </is>
      </c>
      <c r="B4" s="7">
        <f>IF(ISNUMBER(B3),INDEX('Aarlig projektion'!D:D,MATCH(B3,'Aarlig projektion'!A:A,0)),"")</f>
        <v/>
      </c>
    </row>
    <row r="5">
      <c r="A5" t="inlineStr">
        <is>
          <t>Bemerkning</t>
        </is>
      </c>
      <c r="B5" t="inlineStr">
        <is>
          <t>Planen starter med den nodvendige portefolje, saa saldoen rammer 0 kr ved levealderen.</t>
        </is>
      </c>
    </row>
    <row r="7">
      <c r="A7" s="8" t="inlineStr">
        <is>
          <t>Alder</t>
        </is>
      </c>
      <c r="B7" s="8" t="inlineStr">
        <is>
          <t>Startsaldo</t>
        </is>
      </c>
      <c r="C7" s="8" t="inlineStr">
        <is>
          <t>Offentlig pension efter skat</t>
        </is>
      </c>
      <c r="D7" s="8" t="inlineStr">
        <is>
          <t>Bijob efter skat</t>
        </is>
      </c>
      <c r="E7" s="8" t="inlineStr">
        <is>
          <t>Samlet indkomst efter skat</t>
        </is>
      </c>
      <c r="F7" s="8" t="inlineStr">
        <is>
          <t>Nettoforbrug fra portefolje</t>
        </is>
      </c>
      <c r="G7" s="8" t="inlineStr">
        <is>
          <t>Brutto udbetaling</t>
        </is>
      </c>
      <c r="H7" s="8" t="inlineStr">
        <is>
          <t>Saldo efter udbetaling</t>
        </is>
      </c>
      <c r="I7" s="8" t="inlineStr">
        <is>
          <t>Afkast efter skat</t>
        </is>
      </c>
      <c r="J7" s="8" t="inlineStr">
        <is>
          <t>Slutsaldo</t>
        </is>
      </c>
    </row>
    <row r="8">
      <c r="A8">
        <f>IF(ISNUMBER($B$3),$B$3,"")</f>
        <v/>
      </c>
      <c r="B8" s="7">
        <f>IF(A8="","",$B$4)</f>
        <v/>
      </c>
      <c r="C8" s="7">
        <f>IF(A8="","",IF(A8&gt;=Model!$B$11,Model!$B$20,0))</f>
        <v/>
      </c>
      <c r="D8" s="7">
        <f>IF(A8="","",IF(A8&lt;$B$3+Model!$B$15,Model!$B$22,0))</f>
        <v/>
      </c>
      <c r="E8" s="7">
        <f>IF(A8="","",C8+D8)</f>
        <v/>
      </c>
      <c r="F8" s="7">
        <f>IF(A8="","",MAX(0,Model!$B$6-E8))</f>
        <v/>
      </c>
      <c r="G8" s="7">
        <f>IF(A8="","",F8/(1-Model!$B$9))</f>
        <v/>
      </c>
      <c r="H8" s="7">
        <f>IF(A8="","",MAX(0,B8-G8))</f>
        <v/>
      </c>
      <c r="I8" s="7">
        <f>IF(A8="","",H8*Model!$B$18)</f>
        <v/>
      </c>
      <c r="J8" s="7">
        <f>IF(A8="","",H8+I8)</f>
        <v/>
      </c>
    </row>
    <row r="9">
      <c r="A9">
        <f>IF(OR(A8="",A8&gt;=Model!$B$4),"",A8+1)</f>
        <v/>
      </c>
      <c r="B9" s="7">
        <f>IF(A9="","",J8)</f>
        <v/>
      </c>
      <c r="C9" s="7">
        <f>IF(A9="","",IF(A9&gt;=Model!$B$11,Model!$B$20,0))</f>
        <v/>
      </c>
      <c r="D9" s="7">
        <f>IF(A9="","",IF(A9&lt;$B$3+Model!$B$15,Model!$B$22,0))</f>
        <v/>
      </c>
      <c r="E9" s="7">
        <f>IF(A9="","",C9+D9)</f>
        <v/>
      </c>
      <c r="F9" s="7">
        <f>IF(A9="","",MAX(0,Model!$B$6-E9))</f>
        <v/>
      </c>
      <c r="G9" s="7">
        <f>IF(A9="","",F9/(1-Model!$B$9))</f>
        <v/>
      </c>
      <c r="H9" s="7">
        <f>IF(A9="","",MAX(0,B9-G9))</f>
        <v/>
      </c>
      <c r="I9" s="7">
        <f>IF(A9="","",H9*Model!$B$18)</f>
        <v/>
      </c>
      <c r="J9" s="7">
        <f>IF(A9="","",H9+I9)</f>
        <v/>
      </c>
    </row>
    <row r="10">
      <c r="A10">
        <f>IF(OR(A9="",A9&gt;=Model!$B$4),"",A9+1)</f>
        <v/>
      </c>
      <c r="B10" s="7">
        <f>IF(A10="","",J9)</f>
        <v/>
      </c>
      <c r="C10" s="7">
        <f>IF(A10="","",IF(A10&gt;=Model!$B$11,Model!$B$20,0))</f>
        <v/>
      </c>
      <c r="D10" s="7">
        <f>IF(A10="","",IF(A10&lt;$B$3+Model!$B$15,Model!$B$22,0))</f>
        <v/>
      </c>
      <c r="E10" s="7">
        <f>IF(A10="","",C10+D10)</f>
        <v/>
      </c>
      <c r="F10" s="7">
        <f>IF(A10="","",MAX(0,Model!$B$6-E10))</f>
        <v/>
      </c>
      <c r="G10" s="7">
        <f>IF(A10="","",F10/(1-Model!$B$9))</f>
        <v/>
      </c>
      <c r="H10" s="7">
        <f>IF(A10="","",MAX(0,B10-G10))</f>
        <v/>
      </c>
      <c r="I10" s="7">
        <f>IF(A10="","",H10*Model!$B$18)</f>
        <v/>
      </c>
      <c r="J10" s="7">
        <f>IF(A10="","",H10+I10)</f>
        <v/>
      </c>
    </row>
    <row r="11">
      <c r="A11">
        <f>IF(OR(A10="",A10&gt;=Model!$B$4),"",A10+1)</f>
        <v/>
      </c>
      <c r="B11" s="7">
        <f>IF(A11="","",J10)</f>
        <v/>
      </c>
      <c r="C11" s="7">
        <f>IF(A11="","",IF(A11&gt;=Model!$B$11,Model!$B$20,0))</f>
        <v/>
      </c>
      <c r="D11" s="7">
        <f>IF(A11="","",IF(A11&lt;$B$3+Model!$B$15,Model!$B$22,0))</f>
        <v/>
      </c>
      <c r="E11" s="7">
        <f>IF(A11="","",C11+D11)</f>
        <v/>
      </c>
      <c r="F11" s="7">
        <f>IF(A11="","",MAX(0,Model!$B$6-E11))</f>
        <v/>
      </c>
      <c r="G11" s="7">
        <f>IF(A11="","",F11/(1-Model!$B$9))</f>
        <v/>
      </c>
      <c r="H11" s="7">
        <f>IF(A11="","",MAX(0,B11-G11))</f>
        <v/>
      </c>
      <c r="I11" s="7">
        <f>IF(A11="","",H11*Model!$B$18)</f>
        <v/>
      </c>
      <c r="J11" s="7">
        <f>IF(A11="","",H11+I11)</f>
        <v/>
      </c>
    </row>
    <row r="12">
      <c r="A12">
        <f>IF(OR(A11="",A11&gt;=Model!$B$4),"",A11+1)</f>
        <v/>
      </c>
      <c r="B12" s="7">
        <f>IF(A12="","",J11)</f>
        <v/>
      </c>
      <c r="C12" s="7">
        <f>IF(A12="","",IF(A12&gt;=Model!$B$11,Model!$B$20,0))</f>
        <v/>
      </c>
      <c r="D12" s="7">
        <f>IF(A12="","",IF(A12&lt;$B$3+Model!$B$15,Model!$B$22,0))</f>
        <v/>
      </c>
      <c r="E12" s="7">
        <f>IF(A12="","",C12+D12)</f>
        <v/>
      </c>
      <c r="F12" s="7">
        <f>IF(A12="","",MAX(0,Model!$B$6-E12))</f>
        <v/>
      </c>
      <c r="G12" s="7">
        <f>IF(A12="","",F12/(1-Model!$B$9))</f>
        <v/>
      </c>
      <c r="H12" s="7">
        <f>IF(A12="","",MAX(0,B12-G12))</f>
        <v/>
      </c>
      <c r="I12" s="7">
        <f>IF(A12="","",H12*Model!$B$18)</f>
        <v/>
      </c>
      <c r="J12" s="7">
        <f>IF(A12="","",H12+I12)</f>
        <v/>
      </c>
    </row>
    <row r="13">
      <c r="A13">
        <f>IF(OR(A12="",A12&gt;=Model!$B$4),"",A12+1)</f>
        <v/>
      </c>
      <c r="B13" s="7">
        <f>IF(A13="","",J12)</f>
        <v/>
      </c>
      <c r="C13" s="7">
        <f>IF(A13="","",IF(A13&gt;=Model!$B$11,Model!$B$20,0))</f>
        <v/>
      </c>
      <c r="D13" s="7">
        <f>IF(A13="","",IF(A13&lt;$B$3+Model!$B$15,Model!$B$22,0))</f>
        <v/>
      </c>
      <c r="E13" s="7">
        <f>IF(A13="","",C13+D13)</f>
        <v/>
      </c>
      <c r="F13" s="7">
        <f>IF(A13="","",MAX(0,Model!$B$6-E13))</f>
        <v/>
      </c>
      <c r="G13" s="7">
        <f>IF(A13="","",F13/(1-Model!$B$9))</f>
        <v/>
      </c>
      <c r="H13" s="7">
        <f>IF(A13="","",MAX(0,B13-G13))</f>
        <v/>
      </c>
      <c r="I13" s="7">
        <f>IF(A13="","",H13*Model!$B$18)</f>
        <v/>
      </c>
      <c r="J13" s="7">
        <f>IF(A13="","",H13+I13)</f>
        <v/>
      </c>
    </row>
    <row r="14">
      <c r="A14">
        <f>IF(OR(A13="",A13&gt;=Model!$B$4),"",A13+1)</f>
        <v/>
      </c>
      <c r="B14" s="7">
        <f>IF(A14="","",J13)</f>
        <v/>
      </c>
      <c r="C14" s="7">
        <f>IF(A14="","",IF(A14&gt;=Model!$B$11,Model!$B$20,0))</f>
        <v/>
      </c>
      <c r="D14" s="7">
        <f>IF(A14="","",IF(A14&lt;$B$3+Model!$B$15,Model!$B$22,0))</f>
        <v/>
      </c>
      <c r="E14" s="7">
        <f>IF(A14="","",C14+D14)</f>
        <v/>
      </c>
      <c r="F14" s="7">
        <f>IF(A14="","",MAX(0,Model!$B$6-E14))</f>
        <v/>
      </c>
      <c r="G14" s="7">
        <f>IF(A14="","",F14/(1-Model!$B$9))</f>
        <v/>
      </c>
      <c r="H14" s="7">
        <f>IF(A14="","",MAX(0,B14-G14))</f>
        <v/>
      </c>
      <c r="I14" s="7">
        <f>IF(A14="","",H14*Model!$B$18)</f>
        <v/>
      </c>
      <c r="J14" s="7">
        <f>IF(A14="","",H14+I14)</f>
        <v/>
      </c>
    </row>
    <row r="15">
      <c r="A15">
        <f>IF(OR(A14="",A14&gt;=Model!$B$4),"",A14+1)</f>
        <v/>
      </c>
      <c r="B15" s="7">
        <f>IF(A15="","",J14)</f>
        <v/>
      </c>
      <c r="C15" s="7">
        <f>IF(A15="","",IF(A15&gt;=Model!$B$11,Model!$B$20,0))</f>
        <v/>
      </c>
      <c r="D15" s="7">
        <f>IF(A15="","",IF(A15&lt;$B$3+Model!$B$15,Model!$B$22,0))</f>
        <v/>
      </c>
      <c r="E15" s="7">
        <f>IF(A15="","",C15+D15)</f>
        <v/>
      </c>
      <c r="F15" s="7">
        <f>IF(A15="","",MAX(0,Model!$B$6-E15))</f>
        <v/>
      </c>
      <c r="G15" s="7">
        <f>IF(A15="","",F15/(1-Model!$B$9))</f>
        <v/>
      </c>
      <c r="H15" s="7">
        <f>IF(A15="","",MAX(0,B15-G15))</f>
        <v/>
      </c>
      <c r="I15" s="7">
        <f>IF(A15="","",H15*Model!$B$18)</f>
        <v/>
      </c>
      <c r="J15" s="7">
        <f>IF(A15="","",H15+I15)</f>
        <v/>
      </c>
    </row>
    <row r="16">
      <c r="A16">
        <f>IF(OR(A15="",A15&gt;=Model!$B$4),"",A15+1)</f>
        <v/>
      </c>
      <c r="B16" s="7">
        <f>IF(A16="","",J15)</f>
        <v/>
      </c>
      <c r="C16" s="7">
        <f>IF(A16="","",IF(A16&gt;=Model!$B$11,Model!$B$20,0))</f>
        <v/>
      </c>
      <c r="D16" s="7">
        <f>IF(A16="","",IF(A16&lt;$B$3+Model!$B$15,Model!$B$22,0))</f>
        <v/>
      </c>
      <c r="E16" s="7">
        <f>IF(A16="","",C16+D16)</f>
        <v/>
      </c>
      <c r="F16" s="7">
        <f>IF(A16="","",MAX(0,Model!$B$6-E16))</f>
        <v/>
      </c>
      <c r="G16" s="7">
        <f>IF(A16="","",F16/(1-Model!$B$9))</f>
        <v/>
      </c>
      <c r="H16" s="7">
        <f>IF(A16="","",MAX(0,B16-G16))</f>
        <v/>
      </c>
      <c r="I16" s="7">
        <f>IF(A16="","",H16*Model!$B$18)</f>
        <v/>
      </c>
      <c r="J16" s="7">
        <f>IF(A16="","",H16+I16)</f>
        <v/>
      </c>
    </row>
    <row r="17">
      <c r="A17">
        <f>IF(OR(A16="",A16&gt;=Model!$B$4),"",A16+1)</f>
        <v/>
      </c>
      <c r="B17" s="7">
        <f>IF(A17="","",J16)</f>
        <v/>
      </c>
      <c r="C17" s="7">
        <f>IF(A17="","",IF(A17&gt;=Model!$B$11,Model!$B$20,0))</f>
        <v/>
      </c>
      <c r="D17" s="7">
        <f>IF(A17="","",IF(A17&lt;$B$3+Model!$B$15,Model!$B$22,0))</f>
        <v/>
      </c>
      <c r="E17" s="7">
        <f>IF(A17="","",C17+D17)</f>
        <v/>
      </c>
      <c r="F17" s="7">
        <f>IF(A17="","",MAX(0,Model!$B$6-E17))</f>
        <v/>
      </c>
      <c r="G17" s="7">
        <f>IF(A17="","",F17/(1-Model!$B$9))</f>
        <v/>
      </c>
      <c r="H17" s="7">
        <f>IF(A17="","",MAX(0,B17-G17))</f>
        <v/>
      </c>
      <c r="I17" s="7">
        <f>IF(A17="","",H17*Model!$B$18)</f>
        <v/>
      </c>
      <c r="J17" s="7">
        <f>IF(A17="","",H17+I17)</f>
        <v/>
      </c>
    </row>
    <row r="18">
      <c r="A18">
        <f>IF(OR(A17="",A17&gt;=Model!$B$4),"",A17+1)</f>
        <v/>
      </c>
      <c r="B18" s="7">
        <f>IF(A18="","",J17)</f>
        <v/>
      </c>
      <c r="C18" s="7">
        <f>IF(A18="","",IF(A18&gt;=Model!$B$11,Model!$B$20,0))</f>
        <v/>
      </c>
      <c r="D18" s="7">
        <f>IF(A18="","",IF(A18&lt;$B$3+Model!$B$15,Model!$B$22,0))</f>
        <v/>
      </c>
      <c r="E18" s="7">
        <f>IF(A18="","",C18+D18)</f>
        <v/>
      </c>
      <c r="F18" s="7">
        <f>IF(A18="","",MAX(0,Model!$B$6-E18))</f>
        <v/>
      </c>
      <c r="G18" s="7">
        <f>IF(A18="","",F18/(1-Model!$B$9))</f>
        <v/>
      </c>
      <c r="H18" s="7">
        <f>IF(A18="","",MAX(0,B18-G18))</f>
        <v/>
      </c>
      <c r="I18" s="7">
        <f>IF(A18="","",H18*Model!$B$18)</f>
        <v/>
      </c>
      <c r="J18" s="7">
        <f>IF(A18="","",H18+I18)</f>
        <v/>
      </c>
    </row>
    <row r="19">
      <c r="A19">
        <f>IF(OR(A18="",A18&gt;=Model!$B$4),"",A18+1)</f>
        <v/>
      </c>
      <c r="B19" s="7">
        <f>IF(A19="","",J18)</f>
        <v/>
      </c>
      <c r="C19" s="7">
        <f>IF(A19="","",IF(A19&gt;=Model!$B$11,Model!$B$20,0))</f>
        <v/>
      </c>
      <c r="D19" s="7">
        <f>IF(A19="","",IF(A19&lt;$B$3+Model!$B$15,Model!$B$22,0))</f>
        <v/>
      </c>
      <c r="E19" s="7">
        <f>IF(A19="","",C19+D19)</f>
        <v/>
      </c>
      <c r="F19" s="7">
        <f>IF(A19="","",MAX(0,Model!$B$6-E19))</f>
        <v/>
      </c>
      <c r="G19" s="7">
        <f>IF(A19="","",F19/(1-Model!$B$9))</f>
        <v/>
      </c>
      <c r="H19" s="7">
        <f>IF(A19="","",MAX(0,B19-G19))</f>
        <v/>
      </c>
      <c r="I19" s="7">
        <f>IF(A19="","",H19*Model!$B$18)</f>
        <v/>
      </c>
      <c r="J19" s="7">
        <f>IF(A19="","",H19+I19)</f>
        <v/>
      </c>
    </row>
    <row r="20">
      <c r="A20">
        <f>IF(OR(A19="",A19&gt;=Model!$B$4),"",A19+1)</f>
        <v/>
      </c>
      <c r="B20" s="7">
        <f>IF(A20="","",J19)</f>
        <v/>
      </c>
      <c r="C20" s="7">
        <f>IF(A20="","",IF(A20&gt;=Model!$B$11,Model!$B$20,0))</f>
        <v/>
      </c>
      <c r="D20" s="7">
        <f>IF(A20="","",IF(A20&lt;$B$3+Model!$B$15,Model!$B$22,0))</f>
        <v/>
      </c>
      <c r="E20" s="7">
        <f>IF(A20="","",C20+D20)</f>
        <v/>
      </c>
      <c r="F20" s="7">
        <f>IF(A20="","",MAX(0,Model!$B$6-E20))</f>
        <v/>
      </c>
      <c r="G20" s="7">
        <f>IF(A20="","",F20/(1-Model!$B$9))</f>
        <v/>
      </c>
      <c r="H20" s="7">
        <f>IF(A20="","",MAX(0,B20-G20))</f>
        <v/>
      </c>
      <c r="I20" s="7">
        <f>IF(A20="","",H20*Model!$B$18)</f>
        <v/>
      </c>
      <c r="J20" s="7">
        <f>IF(A20="","",H20+I20)</f>
        <v/>
      </c>
    </row>
    <row r="21">
      <c r="A21">
        <f>IF(OR(A20="",A20&gt;=Model!$B$4),"",A20+1)</f>
        <v/>
      </c>
      <c r="B21" s="7">
        <f>IF(A21="","",J20)</f>
        <v/>
      </c>
      <c r="C21" s="7">
        <f>IF(A21="","",IF(A21&gt;=Model!$B$11,Model!$B$20,0))</f>
        <v/>
      </c>
      <c r="D21" s="7">
        <f>IF(A21="","",IF(A21&lt;$B$3+Model!$B$15,Model!$B$22,0))</f>
        <v/>
      </c>
      <c r="E21" s="7">
        <f>IF(A21="","",C21+D21)</f>
        <v/>
      </c>
      <c r="F21" s="7">
        <f>IF(A21="","",MAX(0,Model!$B$6-E21))</f>
        <v/>
      </c>
      <c r="G21" s="7">
        <f>IF(A21="","",F21/(1-Model!$B$9))</f>
        <v/>
      </c>
      <c r="H21" s="7">
        <f>IF(A21="","",MAX(0,B21-G21))</f>
        <v/>
      </c>
      <c r="I21" s="7">
        <f>IF(A21="","",H21*Model!$B$18)</f>
        <v/>
      </c>
      <c r="J21" s="7">
        <f>IF(A21="","",H21+I21)</f>
        <v/>
      </c>
    </row>
    <row r="22">
      <c r="A22">
        <f>IF(OR(A21="",A21&gt;=Model!$B$4),"",A21+1)</f>
        <v/>
      </c>
      <c r="B22" s="7">
        <f>IF(A22="","",J21)</f>
        <v/>
      </c>
      <c r="C22" s="7">
        <f>IF(A22="","",IF(A22&gt;=Model!$B$11,Model!$B$20,0))</f>
        <v/>
      </c>
      <c r="D22" s="7">
        <f>IF(A22="","",IF(A22&lt;$B$3+Model!$B$15,Model!$B$22,0))</f>
        <v/>
      </c>
      <c r="E22" s="7">
        <f>IF(A22="","",C22+D22)</f>
        <v/>
      </c>
      <c r="F22" s="7">
        <f>IF(A22="","",MAX(0,Model!$B$6-E22))</f>
        <v/>
      </c>
      <c r="G22" s="7">
        <f>IF(A22="","",F22/(1-Model!$B$9))</f>
        <v/>
      </c>
      <c r="H22" s="7">
        <f>IF(A22="","",MAX(0,B22-G22))</f>
        <v/>
      </c>
      <c r="I22" s="7">
        <f>IF(A22="","",H22*Model!$B$18)</f>
        <v/>
      </c>
      <c r="J22" s="7">
        <f>IF(A22="","",H22+I22)</f>
        <v/>
      </c>
    </row>
    <row r="23">
      <c r="A23">
        <f>IF(OR(A22="",A22&gt;=Model!$B$4),"",A22+1)</f>
        <v/>
      </c>
      <c r="B23" s="7">
        <f>IF(A23="","",J22)</f>
        <v/>
      </c>
      <c r="C23" s="7">
        <f>IF(A23="","",IF(A23&gt;=Model!$B$11,Model!$B$20,0))</f>
        <v/>
      </c>
      <c r="D23" s="7">
        <f>IF(A23="","",IF(A23&lt;$B$3+Model!$B$15,Model!$B$22,0))</f>
        <v/>
      </c>
      <c r="E23" s="7">
        <f>IF(A23="","",C23+D23)</f>
        <v/>
      </c>
      <c r="F23" s="7">
        <f>IF(A23="","",MAX(0,Model!$B$6-E23))</f>
        <v/>
      </c>
      <c r="G23" s="7">
        <f>IF(A23="","",F23/(1-Model!$B$9))</f>
        <v/>
      </c>
      <c r="H23" s="7">
        <f>IF(A23="","",MAX(0,B23-G23))</f>
        <v/>
      </c>
      <c r="I23" s="7">
        <f>IF(A23="","",H23*Model!$B$18)</f>
        <v/>
      </c>
      <c r="J23" s="7">
        <f>IF(A23="","",H23+I23)</f>
        <v/>
      </c>
    </row>
    <row r="24">
      <c r="A24">
        <f>IF(OR(A23="",A23&gt;=Model!$B$4),"",A23+1)</f>
        <v/>
      </c>
      <c r="B24" s="7">
        <f>IF(A24="","",J23)</f>
        <v/>
      </c>
      <c r="C24" s="7">
        <f>IF(A24="","",IF(A24&gt;=Model!$B$11,Model!$B$20,0))</f>
        <v/>
      </c>
      <c r="D24" s="7">
        <f>IF(A24="","",IF(A24&lt;$B$3+Model!$B$15,Model!$B$22,0))</f>
        <v/>
      </c>
      <c r="E24" s="7">
        <f>IF(A24="","",C24+D24)</f>
        <v/>
      </c>
      <c r="F24" s="7">
        <f>IF(A24="","",MAX(0,Model!$B$6-E24))</f>
        <v/>
      </c>
      <c r="G24" s="7">
        <f>IF(A24="","",F24/(1-Model!$B$9))</f>
        <v/>
      </c>
      <c r="H24" s="7">
        <f>IF(A24="","",MAX(0,B24-G24))</f>
        <v/>
      </c>
      <c r="I24" s="7">
        <f>IF(A24="","",H24*Model!$B$18)</f>
        <v/>
      </c>
      <c r="J24" s="7">
        <f>IF(A24="","",H24+I24)</f>
        <v/>
      </c>
    </row>
    <row r="25">
      <c r="A25">
        <f>IF(OR(A24="",A24&gt;=Model!$B$4),"",A24+1)</f>
        <v/>
      </c>
      <c r="B25" s="7">
        <f>IF(A25="","",J24)</f>
        <v/>
      </c>
      <c r="C25" s="7">
        <f>IF(A25="","",IF(A25&gt;=Model!$B$11,Model!$B$20,0))</f>
        <v/>
      </c>
      <c r="D25" s="7">
        <f>IF(A25="","",IF(A25&lt;$B$3+Model!$B$15,Model!$B$22,0))</f>
        <v/>
      </c>
      <c r="E25" s="7">
        <f>IF(A25="","",C25+D25)</f>
        <v/>
      </c>
      <c r="F25" s="7">
        <f>IF(A25="","",MAX(0,Model!$B$6-E25))</f>
        <v/>
      </c>
      <c r="G25" s="7">
        <f>IF(A25="","",F25/(1-Model!$B$9))</f>
        <v/>
      </c>
      <c r="H25" s="7">
        <f>IF(A25="","",MAX(0,B25-G25))</f>
        <v/>
      </c>
      <c r="I25" s="7">
        <f>IF(A25="","",H25*Model!$B$18)</f>
        <v/>
      </c>
      <c r="J25" s="7">
        <f>IF(A25="","",H25+I25)</f>
        <v/>
      </c>
    </row>
    <row r="26">
      <c r="A26">
        <f>IF(OR(A25="",A25&gt;=Model!$B$4),"",A25+1)</f>
        <v/>
      </c>
      <c r="B26" s="7">
        <f>IF(A26="","",J25)</f>
        <v/>
      </c>
      <c r="C26" s="7">
        <f>IF(A26="","",IF(A26&gt;=Model!$B$11,Model!$B$20,0))</f>
        <v/>
      </c>
      <c r="D26" s="7">
        <f>IF(A26="","",IF(A26&lt;$B$3+Model!$B$15,Model!$B$22,0))</f>
        <v/>
      </c>
      <c r="E26" s="7">
        <f>IF(A26="","",C26+D26)</f>
        <v/>
      </c>
      <c r="F26" s="7">
        <f>IF(A26="","",MAX(0,Model!$B$6-E26))</f>
        <v/>
      </c>
      <c r="G26" s="7">
        <f>IF(A26="","",F26/(1-Model!$B$9))</f>
        <v/>
      </c>
      <c r="H26" s="7">
        <f>IF(A26="","",MAX(0,B26-G26))</f>
        <v/>
      </c>
      <c r="I26" s="7">
        <f>IF(A26="","",H26*Model!$B$18)</f>
        <v/>
      </c>
      <c r="J26" s="7">
        <f>IF(A26="","",H26+I26)</f>
        <v/>
      </c>
    </row>
    <row r="27">
      <c r="A27">
        <f>IF(OR(A26="",A26&gt;=Model!$B$4),"",A26+1)</f>
        <v/>
      </c>
      <c r="B27" s="7">
        <f>IF(A27="","",J26)</f>
        <v/>
      </c>
      <c r="C27" s="7">
        <f>IF(A27="","",IF(A27&gt;=Model!$B$11,Model!$B$20,0))</f>
        <v/>
      </c>
      <c r="D27" s="7">
        <f>IF(A27="","",IF(A27&lt;$B$3+Model!$B$15,Model!$B$22,0))</f>
        <v/>
      </c>
      <c r="E27" s="7">
        <f>IF(A27="","",C27+D27)</f>
        <v/>
      </c>
      <c r="F27" s="7">
        <f>IF(A27="","",MAX(0,Model!$B$6-E27))</f>
        <v/>
      </c>
      <c r="G27" s="7">
        <f>IF(A27="","",F27/(1-Model!$B$9))</f>
        <v/>
      </c>
      <c r="H27" s="7">
        <f>IF(A27="","",MAX(0,B27-G27))</f>
        <v/>
      </c>
      <c r="I27" s="7">
        <f>IF(A27="","",H27*Model!$B$18)</f>
        <v/>
      </c>
      <c r="J27" s="7">
        <f>IF(A27="","",H27+I27)</f>
        <v/>
      </c>
    </row>
    <row r="28">
      <c r="A28">
        <f>IF(OR(A27="",A27&gt;=Model!$B$4),"",A27+1)</f>
        <v/>
      </c>
      <c r="B28" s="7">
        <f>IF(A28="","",J27)</f>
        <v/>
      </c>
      <c r="C28" s="7">
        <f>IF(A28="","",IF(A28&gt;=Model!$B$11,Model!$B$20,0))</f>
        <v/>
      </c>
      <c r="D28" s="7">
        <f>IF(A28="","",IF(A28&lt;$B$3+Model!$B$15,Model!$B$22,0))</f>
        <v/>
      </c>
      <c r="E28" s="7">
        <f>IF(A28="","",C28+D28)</f>
        <v/>
      </c>
      <c r="F28" s="7">
        <f>IF(A28="","",MAX(0,Model!$B$6-E28))</f>
        <v/>
      </c>
      <c r="G28" s="7">
        <f>IF(A28="","",F28/(1-Model!$B$9))</f>
        <v/>
      </c>
      <c r="H28" s="7">
        <f>IF(A28="","",MAX(0,B28-G28))</f>
        <v/>
      </c>
      <c r="I28" s="7">
        <f>IF(A28="","",H28*Model!$B$18)</f>
        <v/>
      </c>
      <c r="J28" s="7">
        <f>IF(A28="","",H28+I28)</f>
        <v/>
      </c>
    </row>
    <row r="29">
      <c r="A29">
        <f>IF(OR(A28="",A28&gt;=Model!$B$4),"",A28+1)</f>
        <v/>
      </c>
      <c r="B29" s="7">
        <f>IF(A29="","",J28)</f>
        <v/>
      </c>
      <c r="C29" s="7">
        <f>IF(A29="","",IF(A29&gt;=Model!$B$11,Model!$B$20,0))</f>
        <v/>
      </c>
      <c r="D29" s="7">
        <f>IF(A29="","",IF(A29&lt;$B$3+Model!$B$15,Model!$B$22,0))</f>
        <v/>
      </c>
      <c r="E29" s="7">
        <f>IF(A29="","",C29+D29)</f>
        <v/>
      </c>
      <c r="F29" s="7">
        <f>IF(A29="","",MAX(0,Model!$B$6-E29))</f>
        <v/>
      </c>
      <c r="G29" s="7">
        <f>IF(A29="","",F29/(1-Model!$B$9))</f>
        <v/>
      </c>
      <c r="H29" s="7">
        <f>IF(A29="","",MAX(0,B29-G29))</f>
        <v/>
      </c>
      <c r="I29" s="7">
        <f>IF(A29="","",H29*Model!$B$18)</f>
        <v/>
      </c>
      <c r="J29" s="7">
        <f>IF(A29="","",H29+I29)</f>
        <v/>
      </c>
    </row>
    <row r="30">
      <c r="A30">
        <f>IF(OR(A29="",A29&gt;=Model!$B$4),"",A29+1)</f>
        <v/>
      </c>
      <c r="B30" s="7">
        <f>IF(A30="","",J29)</f>
        <v/>
      </c>
      <c r="C30" s="7">
        <f>IF(A30="","",IF(A30&gt;=Model!$B$11,Model!$B$20,0))</f>
        <v/>
      </c>
      <c r="D30" s="7">
        <f>IF(A30="","",IF(A30&lt;$B$3+Model!$B$15,Model!$B$22,0))</f>
        <v/>
      </c>
      <c r="E30" s="7">
        <f>IF(A30="","",C30+D30)</f>
        <v/>
      </c>
      <c r="F30" s="7">
        <f>IF(A30="","",MAX(0,Model!$B$6-E30))</f>
        <v/>
      </c>
      <c r="G30" s="7">
        <f>IF(A30="","",F30/(1-Model!$B$9))</f>
        <v/>
      </c>
      <c r="H30" s="7">
        <f>IF(A30="","",MAX(0,B30-G30))</f>
        <v/>
      </c>
      <c r="I30" s="7">
        <f>IF(A30="","",H30*Model!$B$18)</f>
        <v/>
      </c>
      <c r="J30" s="7">
        <f>IF(A30="","",H30+I30)</f>
        <v/>
      </c>
    </row>
    <row r="31">
      <c r="A31">
        <f>IF(OR(A30="",A30&gt;=Model!$B$4),"",A30+1)</f>
        <v/>
      </c>
      <c r="B31" s="7">
        <f>IF(A31="","",J30)</f>
        <v/>
      </c>
      <c r="C31" s="7">
        <f>IF(A31="","",IF(A31&gt;=Model!$B$11,Model!$B$20,0))</f>
        <v/>
      </c>
      <c r="D31" s="7">
        <f>IF(A31="","",IF(A31&lt;$B$3+Model!$B$15,Model!$B$22,0))</f>
        <v/>
      </c>
      <c r="E31" s="7">
        <f>IF(A31="","",C31+D31)</f>
        <v/>
      </c>
      <c r="F31" s="7">
        <f>IF(A31="","",MAX(0,Model!$B$6-E31))</f>
        <v/>
      </c>
      <c r="G31" s="7">
        <f>IF(A31="","",F31/(1-Model!$B$9))</f>
        <v/>
      </c>
      <c r="H31" s="7">
        <f>IF(A31="","",MAX(0,B31-G31))</f>
        <v/>
      </c>
      <c r="I31" s="7">
        <f>IF(A31="","",H31*Model!$B$18)</f>
        <v/>
      </c>
      <c r="J31" s="7">
        <f>IF(A31="","",H31+I31)</f>
        <v/>
      </c>
    </row>
    <row r="32">
      <c r="A32">
        <f>IF(OR(A31="",A31&gt;=Model!$B$4),"",A31+1)</f>
        <v/>
      </c>
      <c r="B32" s="7">
        <f>IF(A32="","",J31)</f>
        <v/>
      </c>
      <c r="C32" s="7">
        <f>IF(A32="","",IF(A32&gt;=Model!$B$11,Model!$B$20,0))</f>
        <v/>
      </c>
      <c r="D32" s="7">
        <f>IF(A32="","",IF(A32&lt;$B$3+Model!$B$15,Model!$B$22,0))</f>
        <v/>
      </c>
      <c r="E32" s="7">
        <f>IF(A32="","",C32+D32)</f>
        <v/>
      </c>
      <c r="F32" s="7">
        <f>IF(A32="","",MAX(0,Model!$B$6-E32))</f>
        <v/>
      </c>
      <c r="G32" s="7">
        <f>IF(A32="","",F32/(1-Model!$B$9))</f>
        <v/>
      </c>
      <c r="H32" s="7">
        <f>IF(A32="","",MAX(0,B32-G32))</f>
        <v/>
      </c>
      <c r="I32" s="7">
        <f>IF(A32="","",H32*Model!$B$18)</f>
        <v/>
      </c>
      <c r="J32" s="7">
        <f>IF(A32="","",H32+I32)</f>
        <v/>
      </c>
    </row>
    <row r="33">
      <c r="A33">
        <f>IF(OR(A32="",A32&gt;=Model!$B$4),"",A32+1)</f>
        <v/>
      </c>
      <c r="B33" s="7">
        <f>IF(A33="","",J32)</f>
        <v/>
      </c>
      <c r="C33" s="7">
        <f>IF(A33="","",IF(A33&gt;=Model!$B$11,Model!$B$20,0))</f>
        <v/>
      </c>
      <c r="D33" s="7">
        <f>IF(A33="","",IF(A33&lt;$B$3+Model!$B$15,Model!$B$22,0))</f>
        <v/>
      </c>
      <c r="E33" s="7">
        <f>IF(A33="","",C33+D33)</f>
        <v/>
      </c>
      <c r="F33" s="7">
        <f>IF(A33="","",MAX(0,Model!$B$6-E33))</f>
        <v/>
      </c>
      <c r="G33" s="7">
        <f>IF(A33="","",F33/(1-Model!$B$9))</f>
        <v/>
      </c>
      <c r="H33" s="7">
        <f>IF(A33="","",MAX(0,B33-G33))</f>
        <v/>
      </c>
      <c r="I33" s="7">
        <f>IF(A33="","",H33*Model!$B$18)</f>
        <v/>
      </c>
      <c r="J33" s="7">
        <f>IF(A33="","",H33+I33)</f>
        <v/>
      </c>
    </row>
    <row r="34">
      <c r="A34">
        <f>IF(OR(A33="",A33&gt;=Model!$B$4),"",A33+1)</f>
        <v/>
      </c>
      <c r="B34" s="7">
        <f>IF(A34="","",J33)</f>
        <v/>
      </c>
      <c r="C34" s="7">
        <f>IF(A34="","",IF(A34&gt;=Model!$B$11,Model!$B$20,0))</f>
        <v/>
      </c>
      <c r="D34" s="7">
        <f>IF(A34="","",IF(A34&lt;$B$3+Model!$B$15,Model!$B$22,0))</f>
        <v/>
      </c>
      <c r="E34" s="7">
        <f>IF(A34="","",C34+D34)</f>
        <v/>
      </c>
      <c r="F34" s="7">
        <f>IF(A34="","",MAX(0,Model!$B$6-E34))</f>
        <v/>
      </c>
      <c r="G34" s="7">
        <f>IF(A34="","",F34/(1-Model!$B$9))</f>
        <v/>
      </c>
      <c r="H34" s="7">
        <f>IF(A34="","",MAX(0,B34-G34))</f>
        <v/>
      </c>
      <c r="I34" s="7">
        <f>IF(A34="","",H34*Model!$B$18)</f>
        <v/>
      </c>
      <c r="J34" s="7">
        <f>IF(A34="","",H34+I34)</f>
        <v/>
      </c>
    </row>
    <row r="35">
      <c r="A35">
        <f>IF(OR(A34="",A34&gt;=Model!$B$4),"",A34+1)</f>
        <v/>
      </c>
      <c r="B35" s="7">
        <f>IF(A35="","",J34)</f>
        <v/>
      </c>
      <c r="C35" s="7">
        <f>IF(A35="","",IF(A35&gt;=Model!$B$11,Model!$B$20,0))</f>
        <v/>
      </c>
      <c r="D35" s="7">
        <f>IF(A35="","",IF(A35&lt;$B$3+Model!$B$15,Model!$B$22,0))</f>
        <v/>
      </c>
      <c r="E35" s="7">
        <f>IF(A35="","",C35+D35)</f>
        <v/>
      </c>
      <c r="F35" s="7">
        <f>IF(A35="","",MAX(0,Model!$B$6-E35))</f>
        <v/>
      </c>
      <c r="G35" s="7">
        <f>IF(A35="","",F35/(1-Model!$B$9))</f>
        <v/>
      </c>
      <c r="H35" s="7">
        <f>IF(A35="","",MAX(0,B35-G35))</f>
        <v/>
      </c>
      <c r="I35" s="7">
        <f>IF(A35="","",H35*Model!$B$18)</f>
        <v/>
      </c>
      <c r="J35" s="7">
        <f>IF(A35="","",H35+I35)</f>
        <v/>
      </c>
    </row>
    <row r="36">
      <c r="A36">
        <f>IF(OR(A35="",A35&gt;=Model!$B$4),"",A35+1)</f>
        <v/>
      </c>
      <c r="B36" s="7">
        <f>IF(A36="","",J35)</f>
        <v/>
      </c>
      <c r="C36" s="7">
        <f>IF(A36="","",IF(A36&gt;=Model!$B$11,Model!$B$20,0))</f>
        <v/>
      </c>
      <c r="D36" s="7">
        <f>IF(A36="","",IF(A36&lt;$B$3+Model!$B$15,Model!$B$22,0))</f>
        <v/>
      </c>
      <c r="E36" s="7">
        <f>IF(A36="","",C36+D36)</f>
        <v/>
      </c>
      <c r="F36" s="7">
        <f>IF(A36="","",MAX(0,Model!$B$6-E36))</f>
        <v/>
      </c>
      <c r="G36" s="7">
        <f>IF(A36="","",F36/(1-Model!$B$9))</f>
        <v/>
      </c>
      <c r="H36" s="7">
        <f>IF(A36="","",MAX(0,B36-G36))</f>
        <v/>
      </c>
      <c r="I36" s="7">
        <f>IF(A36="","",H36*Model!$B$18)</f>
        <v/>
      </c>
      <c r="J36" s="7">
        <f>IF(A36="","",H36+I36)</f>
        <v/>
      </c>
    </row>
    <row r="37">
      <c r="A37">
        <f>IF(OR(A36="",A36&gt;=Model!$B$4),"",A36+1)</f>
        <v/>
      </c>
      <c r="B37" s="7">
        <f>IF(A37="","",J36)</f>
        <v/>
      </c>
      <c r="C37" s="7">
        <f>IF(A37="","",IF(A37&gt;=Model!$B$11,Model!$B$20,0))</f>
        <v/>
      </c>
      <c r="D37" s="7">
        <f>IF(A37="","",IF(A37&lt;$B$3+Model!$B$15,Model!$B$22,0))</f>
        <v/>
      </c>
      <c r="E37" s="7">
        <f>IF(A37="","",C37+D37)</f>
        <v/>
      </c>
      <c r="F37" s="7">
        <f>IF(A37="","",MAX(0,Model!$B$6-E37))</f>
        <v/>
      </c>
      <c r="G37" s="7">
        <f>IF(A37="","",F37/(1-Model!$B$9))</f>
        <v/>
      </c>
      <c r="H37" s="7">
        <f>IF(A37="","",MAX(0,B37-G37))</f>
        <v/>
      </c>
      <c r="I37" s="7">
        <f>IF(A37="","",H37*Model!$B$18)</f>
        <v/>
      </c>
      <c r="J37" s="7">
        <f>IF(A37="","",H37+I37)</f>
        <v/>
      </c>
    </row>
    <row r="38">
      <c r="A38">
        <f>IF(OR(A37="",A37&gt;=Model!$B$4),"",A37+1)</f>
        <v/>
      </c>
      <c r="B38" s="7">
        <f>IF(A38="","",J37)</f>
        <v/>
      </c>
      <c r="C38" s="7">
        <f>IF(A38="","",IF(A38&gt;=Model!$B$11,Model!$B$20,0))</f>
        <v/>
      </c>
      <c r="D38" s="7">
        <f>IF(A38="","",IF(A38&lt;$B$3+Model!$B$15,Model!$B$22,0))</f>
        <v/>
      </c>
      <c r="E38" s="7">
        <f>IF(A38="","",C38+D38)</f>
        <v/>
      </c>
      <c r="F38" s="7">
        <f>IF(A38="","",MAX(0,Model!$B$6-E38))</f>
        <v/>
      </c>
      <c r="G38" s="7">
        <f>IF(A38="","",F38/(1-Model!$B$9))</f>
        <v/>
      </c>
      <c r="H38" s="7">
        <f>IF(A38="","",MAX(0,B38-G38))</f>
        <v/>
      </c>
      <c r="I38" s="7">
        <f>IF(A38="","",H38*Model!$B$18)</f>
        <v/>
      </c>
      <c r="J38" s="7">
        <f>IF(A38="","",H38+I38)</f>
        <v/>
      </c>
    </row>
    <row r="39">
      <c r="A39">
        <f>IF(OR(A38="",A38&gt;=Model!$B$4),"",A38+1)</f>
        <v/>
      </c>
      <c r="B39" s="7">
        <f>IF(A39="","",J38)</f>
        <v/>
      </c>
      <c r="C39" s="7">
        <f>IF(A39="","",IF(A39&gt;=Model!$B$11,Model!$B$20,0))</f>
        <v/>
      </c>
      <c r="D39" s="7">
        <f>IF(A39="","",IF(A39&lt;$B$3+Model!$B$15,Model!$B$22,0))</f>
        <v/>
      </c>
      <c r="E39" s="7">
        <f>IF(A39="","",C39+D39)</f>
        <v/>
      </c>
      <c r="F39" s="7">
        <f>IF(A39="","",MAX(0,Model!$B$6-E39))</f>
        <v/>
      </c>
      <c r="G39" s="7">
        <f>IF(A39="","",F39/(1-Model!$B$9))</f>
        <v/>
      </c>
      <c r="H39" s="7">
        <f>IF(A39="","",MAX(0,B39-G39))</f>
        <v/>
      </c>
      <c r="I39" s="7">
        <f>IF(A39="","",H39*Model!$B$18)</f>
        <v/>
      </c>
      <c r="J39" s="7">
        <f>IF(A39="","",H39+I39)</f>
        <v/>
      </c>
    </row>
    <row r="40">
      <c r="A40">
        <f>IF(OR(A39="",A39&gt;=Model!$B$4),"",A39+1)</f>
        <v/>
      </c>
      <c r="B40" s="7">
        <f>IF(A40="","",J39)</f>
        <v/>
      </c>
      <c r="C40" s="7">
        <f>IF(A40="","",IF(A40&gt;=Model!$B$11,Model!$B$20,0))</f>
        <v/>
      </c>
      <c r="D40" s="7">
        <f>IF(A40="","",IF(A40&lt;$B$3+Model!$B$15,Model!$B$22,0))</f>
        <v/>
      </c>
      <c r="E40" s="7">
        <f>IF(A40="","",C40+D40)</f>
        <v/>
      </c>
      <c r="F40" s="7">
        <f>IF(A40="","",MAX(0,Model!$B$6-E40))</f>
        <v/>
      </c>
      <c r="G40" s="7">
        <f>IF(A40="","",F40/(1-Model!$B$9))</f>
        <v/>
      </c>
      <c r="H40" s="7">
        <f>IF(A40="","",MAX(0,B40-G40))</f>
        <v/>
      </c>
      <c r="I40" s="7">
        <f>IF(A40="","",H40*Model!$B$18)</f>
        <v/>
      </c>
      <c r="J40" s="7">
        <f>IF(A40="","",H40+I40)</f>
        <v/>
      </c>
    </row>
    <row r="41">
      <c r="A41">
        <f>IF(OR(A40="",A40&gt;=Model!$B$4),"",A40+1)</f>
        <v/>
      </c>
      <c r="B41" s="7">
        <f>IF(A41="","",J40)</f>
        <v/>
      </c>
      <c r="C41" s="7">
        <f>IF(A41="","",IF(A41&gt;=Model!$B$11,Model!$B$20,0))</f>
        <v/>
      </c>
      <c r="D41" s="7">
        <f>IF(A41="","",IF(A41&lt;$B$3+Model!$B$15,Model!$B$22,0))</f>
        <v/>
      </c>
      <c r="E41" s="7">
        <f>IF(A41="","",C41+D41)</f>
        <v/>
      </c>
      <c r="F41" s="7">
        <f>IF(A41="","",MAX(0,Model!$B$6-E41))</f>
        <v/>
      </c>
      <c r="G41" s="7">
        <f>IF(A41="","",F41/(1-Model!$B$9))</f>
        <v/>
      </c>
      <c r="H41" s="7">
        <f>IF(A41="","",MAX(0,B41-G41))</f>
        <v/>
      </c>
      <c r="I41" s="7">
        <f>IF(A41="","",H41*Model!$B$18)</f>
        <v/>
      </c>
      <c r="J41" s="7">
        <f>IF(A41="","",H41+I41)</f>
        <v/>
      </c>
    </row>
    <row r="42">
      <c r="A42">
        <f>IF(OR(A41="",A41&gt;=Model!$B$4),"",A41+1)</f>
        <v/>
      </c>
      <c r="B42" s="7">
        <f>IF(A42="","",J41)</f>
        <v/>
      </c>
      <c r="C42" s="7">
        <f>IF(A42="","",IF(A42&gt;=Model!$B$11,Model!$B$20,0))</f>
        <v/>
      </c>
      <c r="D42" s="7">
        <f>IF(A42="","",IF(A42&lt;$B$3+Model!$B$15,Model!$B$22,0))</f>
        <v/>
      </c>
      <c r="E42" s="7">
        <f>IF(A42="","",C42+D42)</f>
        <v/>
      </c>
      <c r="F42" s="7">
        <f>IF(A42="","",MAX(0,Model!$B$6-E42))</f>
        <v/>
      </c>
      <c r="G42" s="7">
        <f>IF(A42="","",F42/(1-Model!$B$9))</f>
        <v/>
      </c>
      <c r="H42" s="7">
        <f>IF(A42="","",MAX(0,B42-G42))</f>
        <v/>
      </c>
      <c r="I42" s="7">
        <f>IF(A42="","",H42*Model!$B$18)</f>
        <v/>
      </c>
      <c r="J42" s="7">
        <f>IF(A42="","",H42+I42)</f>
        <v/>
      </c>
    </row>
    <row r="43">
      <c r="A43">
        <f>IF(OR(A42="",A42&gt;=Model!$B$4),"",A42+1)</f>
        <v/>
      </c>
      <c r="B43" s="7">
        <f>IF(A43="","",J42)</f>
        <v/>
      </c>
      <c r="C43" s="7">
        <f>IF(A43="","",IF(A43&gt;=Model!$B$11,Model!$B$20,0))</f>
        <v/>
      </c>
      <c r="D43" s="7">
        <f>IF(A43="","",IF(A43&lt;$B$3+Model!$B$15,Model!$B$22,0))</f>
        <v/>
      </c>
      <c r="E43" s="7">
        <f>IF(A43="","",C43+D43)</f>
        <v/>
      </c>
      <c r="F43" s="7">
        <f>IF(A43="","",MAX(0,Model!$B$6-E43))</f>
        <v/>
      </c>
      <c r="G43" s="7">
        <f>IF(A43="","",F43/(1-Model!$B$9))</f>
        <v/>
      </c>
      <c r="H43" s="7">
        <f>IF(A43="","",MAX(0,B43-G43))</f>
        <v/>
      </c>
      <c r="I43" s="7">
        <f>IF(A43="","",H43*Model!$B$18)</f>
        <v/>
      </c>
      <c r="J43" s="7">
        <f>IF(A43="","",H43+I43)</f>
        <v/>
      </c>
    </row>
    <row r="44">
      <c r="A44">
        <f>IF(OR(A43="",A43&gt;=Model!$B$4),"",A43+1)</f>
        <v/>
      </c>
      <c r="B44" s="7">
        <f>IF(A44="","",J43)</f>
        <v/>
      </c>
      <c r="C44" s="7">
        <f>IF(A44="","",IF(A44&gt;=Model!$B$11,Model!$B$20,0))</f>
        <v/>
      </c>
      <c r="D44" s="7">
        <f>IF(A44="","",IF(A44&lt;$B$3+Model!$B$15,Model!$B$22,0))</f>
        <v/>
      </c>
      <c r="E44" s="7">
        <f>IF(A44="","",C44+D44)</f>
        <v/>
      </c>
      <c r="F44" s="7">
        <f>IF(A44="","",MAX(0,Model!$B$6-E44))</f>
        <v/>
      </c>
      <c r="G44" s="7">
        <f>IF(A44="","",F44/(1-Model!$B$9))</f>
        <v/>
      </c>
      <c r="H44" s="7">
        <f>IF(A44="","",MAX(0,B44-G44))</f>
        <v/>
      </c>
      <c r="I44" s="7">
        <f>IF(A44="","",H44*Model!$B$18)</f>
        <v/>
      </c>
      <c r="J44" s="7">
        <f>IF(A44="","",H44+I44)</f>
        <v/>
      </c>
    </row>
    <row r="45">
      <c r="A45">
        <f>IF(OR(A44="",A44&gt;=Model!$B$4),"",A44+1)</f>
        <v/>
      </c>
      <c r="B45" s="7">
        <f>IF(A45="","",J44)</f>
        <v/>
      </c>
      <c r="C45" s="7">
        <f>IF(A45="","",IF(A45&gt;=Model!$B$11,Model!$B$20,0))</f>
        <v/>
      </c>
      <c r="D45" s="7">
        <f>IF(A45="","",IF(A45&lt;$B$3+Model!$B$15,Model!$B$22,0))</f>
        <v/>
      </c>
      <c r="E45" s="7">
        <f>IF(A45="","",C45+D45)</f>
        <v/>
      </c>
      <c r="F45" s="7">
        <f>IF(A45="","",MAX(0,Model!$B$6-E45))</f>
        <v/>
      </c>
      <c r="G45" s="7">
        <f>IF(A45="","",F45/(1-Model!$B$9))</f>
        <v/>
      </c>
      <c r="H45" s="7">
        <f>IF(A45="","",MAX(0,B45-G45))</f>
        <v/>
      </c>
      <c r="I45" s="7">
        <f>IF(A45="","",H45*Model!$B$18)</f>
        <v/>
      </c>
      <c r="J45" s="7">
        <f>IF(A45="","",H45+I45)</f>
        <v/>
      </c>
    </row>
    <row r="46">
      <c r="A46">
        <f>IF(OR(A45="",A45&gt;=Model!$B$4),"",A45+1)</f>
        <v/>
      </c>
      <c r="B46" s="7">
        <f>IF(A46="","",J45)</f>
        <v/>
      </c>
      <c r="C46" s="7">
        <f>IF(A46="","",IF(A46&gt;=Model!$B$11,Model!$B$20,0))</f>
        <v/>
      </c>
      <c r="D46" s="7">
        <f>IF(A46="","",IF(A46&lt;$B$3+Model!$B$15,Model!$B$22,0))</f>
        <v/>
      </c>
      <c r="E46" s="7">
        <f>IF(A46="","",C46+D46)</f>
        <v/>
      </c>
      <c r="F46" s="7">
        <f>IF(A46="","",MAX(0,Model!$B$6-E46))</f>
        <v/>
      </c>
      <c r="G46" s="7">
        <f>IF(A46="","",F46/(1-Model!$B$9))</f>
        <v/>
      </c>
      <c r="H46" s="7">
        <f>IF(A46="","",MAX(0,B46-G46))</f>
        <v/>
      </c>
      <c r="I46" s="7">
        <f>IF(A46="","",H46*Model!$B$18)</f>
        <v/>
      </c>
      <c r="J46" s="7">
        <f>IF(A46="","",H46+I46)</f>
        <v/>
      </c>
    </row>
    <row r="47">
      <c r="A47">
        <f>IF(OR(A46="",A46&gt;=Model!$B$4),"",A46+1)</f>
        <v/>
      </c>
      <c r="B47" s="7">
        <f>IF(A47="","",J46)</f>
        <v/>
      </c>
      <c r="C47" s="7">
        <f>IF(A47="","",IF(A47&gt;=Model!$B$11,Model!$B$20,0))</f>
        <v/>
      </c>
      <c r="D47" s="7">
        <f>IF(A47="","",IF(A47&lt;$B$3+Model!$B$15,Model!$B$22,0))</f>
        <v/>
      </c>
      <c r="E47" s="7">
        <f>IF(A47="","",C47+D47)</f>
        <v/>
      </c>
      <c r="F47" s="7">
        <f>IF(A47="","",MAX(0,Model!$B$6-E47))</f>
        <v/>
      </c>
      <c r="G47" s="7">
        <f>IF(A47="","",F47/(1-Model!$B$9))</f>
        <v/>
      </c>
      <c r="H47" s="7">
        <f>IF(A47="","",MAX(0,B47-G47))</f>
        <v/>
      </c>
      <c r="I47" s="7">
        <f>IF(A47="","",H47*Model!$B$18)</f>
        <v/>
      </c>
      <c r="J47" s="7">
        <f>IF(A47="","",H47+I47)</f>
        <v/>
      </c>
    </row>
    <row r="48">
      <c r="A48">
        <f>IF(OR(A47="",A47&gt;=Model!$B$4),"",A47+1)</f>
        <v/>
      </c>
      <c r="B48" s="7">
        <f>IF(A48="","",J47)</f>
        <v/>
      </c>
      <c r="C48" s="7">
        <f>IF(A48="","",IF(A48&gt;=Model!$B$11,Model!$B$20,0))</f>
        <v/>
      </c>
      <c r="D48" s="7">
        <f>IF(A48="","",IF(A48&lt;$B$3+Model!$B$15,Model!$B$22,0))</f>
        <v/>
      </c>
      <c r="E48" s="7">
        <f>IF(A48="","",C48+D48)</f>
        <v/>
      </c>
      <c r="F48" s="7">
        <f>IF(A48="","",MAX(0,Model!$B$6-E48))</f>
        <v/>
      </c>
      <c r="G48" s="7">
        <f>IF(A48="","",F48/(1-Model!$B$9))</f>
        <v/>
      </c>
      <c r="H48" s="7">
        <f>IF(A48="","",MAX(0,B48-G48))</f>
        <v/>
      </c>
      <c r="I48" s="7">
        <f>IF(A48="","",H48*Model!$B$18)</f>
        <v/>
      </c>
      <c r="J48" s="7">
        <f>IF(A48="","",H48+I48)</f>
        <v/>
      </c>
    </row>
    <row r="49">
      <c r="A49">
        <f>IF(OR(A48="",A48&gt;=Model!$B$4),"",A48+1)</f>
        <v/>
      </c>
      <c r="B49" s="7">
        <f>IF(A49="","",J48)</f>
        <v/>
      </c>
      <c r="C49" s="7">
        <f>IF(A49="","",IF(A49&gt;=Model!$B$11,Model!$B$20,0))</f>
        <v/>
      </c>
      <c r="D49" s="7">
        <f>IF(A49="","",IF(A49&lt;$B$3+Model!$B$15,Model!$B$22,0))</f>
        <v/>
      </c>
      <c r="E49" s="7">
        <f>IF(A49="","",C49+D49)</f>
        <v/>
      </c>
      <c r="F49" s="7">
        <f>IF(A49="","",MAX(0,Model!$B$6-E49))</f>
        <v/>
      </c>
      <c r="G49" s="7">
        <f>IF(A49="","",F49/(1-Model!$B$9))</f>
        <v/>
      </c>
      <c r="H49" s="7">
        <f>IF(A49="","",MAX(0,B49-G49))</f>
        <v/>
      </c>
      <c r="I49" s="7">
        <f>IF(A49="","",H49*Model!$B$18)</f>
        <v/>
      </c>
      <c r="J49" s="7">
        <f>IF(A49="","",H49+I49)</f>
        <v/>
      </c>
    </row>
    <row r="50">
      <c r="A50">
        <f>IF(OR(A49="",A49&gt;=Model!$B$4),"",A49+1)</f>
        <v/>
      </c>
      <c r="B50" s="7">
        <f>IF(A50="","",J49)</f>
        <v/>
      </c>
      <c r="C50" s="7">
        <f>IF(A50="","",IF(A50&gt;=Model!$B$11,Model!$B$20,0))</f>
        <v/>
      </c>
      <c r="D50" s="7">
        <f>IF(A50="","",IF(A50&lt;$B$3+Model!$B$15,Model!$B$22,0))</f>
        <v/>
      </c>
      <c r="E50" s="7">
        <f>IF(A50="","",C50+D50)</f>
        <v/>
      </c>
      <c r="F50" s="7">
        <f>IF(A50="","",MAX(0,Model!$B$6-E50))</f>
        <v/>
      </c>
      <c r="G50" s="7">
        <f>IF(A50="","",F50/(1-Model!$B$9))</f>
        <v/>
      </c>
      <c r="H50" s="7">
        <f>IF(A50="","",MAX(0,B50-G50))</f>
        <v/>
      </c>
      <c r="I50" s="7">
        <f>IF(A50="","",H50*Model!$B$18)</f>
        <v/>
      </c>
      <c r="J50" s="7">
        <f>IF(A50="","",H50+I50)</f>
        <v/>
      </c>
    </row>
    <row r="51">
      <c r="A51">
        <f>IF(OR(A50="",A50&gt;=Model!$B$4),"",A50+1)</f>
        <v/>
      </c>
      <c r="B51" s="7">
        <f>IF(A51="","",J50)</f>
        <v/>
      </c>
      <c r="C51" s="7">
        <f>IF(A51="","",IF(A51&gt;=Model!$B$11,Model!$B$20,0))</f>
        <v/>
      </c>
      <c r="D51" s="7">
        <f>IF(A51="","",IF(A51&lt;$B$3+Model!$B$15,Model!$B$22,0))</f>
        <v/>
      </c>
      <c r="E51" s="7">
        <f>IF(A51="","",C51+D51)</f>
        <v/>
      </c>
      <c r="F51" s="7">
        <f>IF(A51="","",MAX(0,Model!$B$6-E51))</f>
        <v/>
      </c>
      <c r="G51" s="7">
        <f>IF(A51="","",F51/(1-Model!$B$9))</f>
        <v/>
      </c>
      <c r="H51" s="7">
        <f>IF(A51="","",MAX(0,B51-G51))</f>
        <v/>
      </c>
      <c r="I51" s="7">
        <f>IF(A51="","",H51*Model!$B$18)</f>
        <v/>
      </c>
      <c r="J51" s="7">
        <f>IF(A51="","",H51+I51)</f>
        <v/>
      </c>
    </row>
    <row r="52">
      <c r="A52">
        <f>IF(OR(A51="",A51&gt;=Model!$B$4),"",A51+1)</f>
        <v/>
      </c>
      <c r="B52" s="7">
        <f>IF(A52="","",J51)</f>
        <v/>
      </c>
      <c r="C52" s="7">
        <f>IF(A52="","",IF(A52&gt;=Model!$B$11,Model!$B$20,0))</f>
        <v/>
      </c>
      <c r="D52" s="7">
        <f>IF(A52="","",IF(A52&lt;$B$3+Model!$B$15,Model!$B$22,0))</f>
        <v/>
      </c>
      <c r="E52" s="7">
        <f>IF(A52="","",C52+D52)</f>
        <v/>
      </c>
      <c r="F52" s="7">
        <f>IF(A52="","",MAX(0,Model!$B$6-E52))</f>
        <v/>
      </c>
      <c r="G52" s="7">
        <f>IF(A52="","",F52/(1-Model!$B$9))</f>
        <v/>
      </c>
      <c r="H52" s="7">
        <f>IF(A52="","",MAX(0,B52-G52))</f>
        <v/>
      </c>
      <c r="I52" s="7">
        <f>IF(A52="","",H52*Model!$B$18)</f>
        <v/>
      </c>
      <c r="J52" s="7">
        <f>IF(A52="","",H52+I52)</f>
        <v/>
      </c>
    </row>
    <row r="53">
      <c r="A53">
        <f>IF(OR(A52="",A52&gt;=Model!$B$4),"",A52+1)</f>
        <v/>
      </c>
      <c r="B53" s="7">
        <f>IF(A53="","",J52)</f>
        <v/>
      </c>
      <c r="C53" s="7">
        <f>IF(A53="","",IF(A53&gt;=Model!$B$11,Model!$B$20,0))</f>
        <v/>
      </c>
      <c r="D53" s="7">
        <f>IF(A53="","",IF(A53&lt;$B$3+Model!$B$15,Model!$B$22,0))</f>
        <v/>
      </c>
      <c r="E53" s="7">
        <f>IF(A53="","",C53+D53)</f>
        <v/>
      </c>
      <c r="F53" s="7">
        <f>IF(A53="","",MAX(0,Model!$B$6-E53))</f>
        <v/>
      </c>
      <c r="G53" s="7">
        <f>IF(A53="","",F53/(1-Model!$B$9))</f>
        <v/>
      </c>
      <c r="H53" s="7">
        <f>IF(A53="","",MAX(0,B53-G53))</f>
        <v/>
      </c>
      <c r="I53" s="7">
        <f>IF(A53="","",H53*Model!$B$18)</f>
        <v/>
      </c>
      <c r="J53" s="7">
        <f>IF(A53="","",H53+I53)</f>
        <v/>
      </c>
    </row>
    <row r="54">
      <c r="A54">
        <f>IF(OR(A53="",A53&gt;=Model!$B$4),"",A53+1)</f>
        <v/>
      </c>
      <c r="B54" s="7">
        <f>IF(A54="","",J53)</f>
        <v/>
      </c>
      <c r="C54" s="7">
        <f>IF(A54="","",IF(A54&gt;=Model!$B$11,Model!$B$20,0))</f>
        <v/>
      </c>
      <c r="D54" s="7">
        <f>IF(A54="","",IF(A54&lt;$B$3+Model!$B$15,Model!$B$22,0))</f>
        <v/>
      </c>
      <c r="E54" s="7">
        <f>IF(A54="","",C54+D54)</f>
        <v/>
      </c>
      <c r="F54" s="7">
        <f>IF(A54="","",MAX(0,Model!$B$6-E54))</f>
        <v/>
      </c>
      <c r="G54" s="7">
        <f>IF(A54="","",F54/(1-Model!$B$9))</f>
        <v/>
      </c>
      <c r="H54" s="7">
        <f>IF(A54="","",MAX(0,B54-G54))</f>
        <v/>
      </c>
      <c r="I54" s="7">
        <f>IF(A54="","",H54*Model!$B$18)</f>
        <v/>
      </c>
      <c r="J54" s="7">
        <f>IF(A54="","",H54+I54)</f>
        <v/>
      </c>
    </row>
    <row r="55">
      <c r="A55">
        <f>IF(OR(A54="",A54&gt;=Model!$B$4),"",A54+1)</f>
        <v/>
      </c>
      <c r="B55" s="7">
        <f>IF(A55="","",J54)</f>
        <v/>
      </c>
      <c r="C55" s="7">
        <f>IF(A55="","",IF(A55&gt;=Model!$B$11,Model!$B$20,0))</f>
        <v/>
      </c>
      <c r="D55" s="7">
        <f>IF(A55="","",IF(A55&lt;$B$3+Model!$B$15,Model!$B$22,0))</f>
        <v/>
      </c>
      <c r="E55" s="7">
        <f>IF(A55="","",C55+D55)</f>
        <v/>
      </c>
      <c r="F55" s="7">
        <f>IF(A55="","",MAX(0,Model!$B$6-E55))</f>
        <v/>
      </c>
      <c r="G55" s="7">
        <f>IF(A55="","",F55/(1-Model!$B$9))</f>
        <v/>
      </c>
      <c r="H55" s="7">
        <f>IF(A55="","",MAX(0,B55-G55))</f>
        <v/>
      </c>
      <c r="I55" s="7">
        <f>IF(A55="","",H55*Model!$B$18)</f>
        <v/>
      </c>
      <c r="J55" s="7">
        <f>IF(A55="","",H55+I55)</f>
        <v/>
      </c>
    </row>
    <row r="56">
      <c r="A56">
        <f>IF(OR(A55="",A55&gt;=Model!$B$4),"",A55+1)</f>
        <v/>
      </c>
      <c r="B56" s="7">
        <f>IF(A56="","",J55)</f>
        <v/>
      </c>
      <c r="C56" s="7">
        <f>IF(A56="","",IF(A56&gt;=Model!$B$11,Model!$B$20,0))</f>
        <v/>
      </c>
      <c r="D56" s="7">
        <f>IF(A56="","",IF(A56&lt;$B$3+Model!$B$15,Model!$B$22,0))</f>
        <v/>
      </c>
      <c r="E56" s="7">
        <f>IF(A56="","",C56+D56)</f>
        <v/>
      </c>
      <c r="F56" s="7">
        <f>IF(A56="","",MAX(0,Model!$B$6-E56))</f>
        <v/>
      </c>
      <c r="G56" s="7">
        <f>IF(A56="","",F56/(1-Model!$B$9))</f>
        <v/>
      </c>
      <c r="H56" s="7">
        <f>IF(A56="","",MAX(0,B56-G56))</f>
        <v/>
      </c>
      <c r="I56" s="7">
        <f>IF(A56="","",H56*Model!$B$18)</f>
        <v/>
      </c>
      <c r="J56" s="7">
        <f>IF(A56="","",H56+I56)</f>
        <v/>
      </c>
    </row>
    <row r="57">
      <c r="A57">
        <f>IF(OR(A56="",A56&gt;=Model!$B$4),"",A56+1)</f>
        <v/>
      </c>
      <c r="B57" s="7">
        <f>IF(A57="","",J56)</f>
        <v/>
      </c>
      <c r="C57" s="7">
        <f>IF(A57="","",IF(A57&gt;=Model!$B$11,Model!$B$20,0))</f>
        <v/>
      </c>
      <c r="D57" s="7">
        <f>IF(A57="","",IF(A57&lt;$B$3+Model!$B$15,Model!$B$22,0))</f>
        <v/>
      </c>
      <c r="E57" s="7">
        <f>IF(A57="","",C57+D57)</f>
        <v/>
      </c>
      <c r="F57" s="7">
        <f>IF(A57="","",MAX(0,Model!$B$6-E57))</f>
        <v/>
      </c>
      <c r="G57" s="7">
        <f>IF(A57="","",F57/(1-Model!$B$9))</f>
        <v/>
      </c>
      <c r="H57" s="7">
        <f>IF(A57="","",MAX(0,B57-G57))</f>
        <v/>
      </c>
      <c r="I57" s="7">
        <f>IF(A57="","",H57*Model!$B$18)</f>
        <v/>
      </c>
      <c r="J57" s="7">
        <f>IF(A57="","",H57+I57)</f>
        <v/>
      </c>
    </row>
    <row r="58">
      <c r="A58">
        <f>IF(OR(A57="",A57&gt;=Model!$B$4),"",A57+1)</f>
        <v/>
      </c>
      <c r="B58" s="7">
        <f>IF(A58="","",J57)</f>
        <v/>
      </c>
      <c r="C58" s="7">
        <f>IF(A58="","",IF(A58&gt;=Model!$B$11,Model!$B$20,0))</f>
        <v/>
      </c>
      <c r="D58" s="7">
        <f>IF(A58="","",IF(A58&lt;$B$3+Model!$B$15,Model!$B$22,0))</f>
        <v/>
      </c>
      <c r="E58" s="7">
        <f>IF(A58="","",C58+D58)</f>
        <v/>
      </c>
      <c r="F58" s="7">
        <f>IF(A58="","",MAX(0,Model!$B$6-E58))</f>
        <v/>
      </c>
      <c r="G58" s="7">
        <f>IF(A58="","",F58/(1-Model!$B$9))</f>
        <v/>
      </c>
      <c r="H58" s="7">
        <f>IF(A58="","",MAX(0,B58-G58))</f>
        <v/>
      </c>
      <c r="I58" s="7">
        <f>IF(A58="","",H58*Model!$B$18)</f>
        <v/>
      </c>
      <c r="J58" s="7">
        <f>IF(A58="","",H58+I58)</f>
        <v/>
      </c>
    </row>
    <row r="59">
      <c r="A59">
        <f>IF(OR(A58="",A58&gt;=Model!$B$4),"",A58+1)</f>
        <v/>
      </c>
      <c r="B59" s="7">
        <f>IF(A59="","",J58)</f>
        <v/>
      </c>
      <c r="C59" s="7">
        <f>IF(A59="","",IF(A59&gt;=Model!$B$11,Model!$B$20,0))</f>
        <v/>
      </c>
      <c r="D59" s="7">
        <f>IF(A59="","",IF(A59&lt;$B$3+Model!$B$15,Model!$B$22,0))</f>
        <v/>
      </c>
      <c r="E59" s="7">
        <f>IF(A59="","",C59+D59)</f>
        <v/>
      </c>
      <c r="F59" s="7">
        <f>IF(A59="","",MAX(0,Model!$B$6-E59))</f>
        <v/>
      </c>
      <c r="G59" s="7">
        <f>IF(A59="","",F59/(1-Model!$B$9))</f>
        <v/>
      </c>
      <c r="H59" s="7">
        <f>IF(A59="","",MAX(0,B59-G59))</f>
        <v/>
      </c>
      <c r="I59" s="7">
        <f>IF(A59="","",H59*Model!$B$18)</f>
        <v/>
      </c>
      <c r="J59" s="7">
        <f>IF(A59="","",H59+I59)</f>
        <v/>
      </c>
    </row>
    <row r="60">
      <c r="A60">
        <f>IF(OR(A59="",A59&gt;=Model!$B$4),"",A59+1)</f>
        <v/>
      </c>
      <c r="B60" s="7">
        <f>IF(A60="","",J59)</f>
        <v/>
      </c>
      <c r="C60" s="7">
        <f>IF(A60="","",IF(A60&gt;=Model!$B$11,Model!$B$20,0))</f>
        <v/>
      </c>
      <c r="D60" s="7">
        <f>IF(A60="","",IF(A60&lt;$B$3+Model!$B$15,Model!$B$22,0))</f>
        <v/>
      </c>
      <c r="E60" s="7">
        <f>IF(A60="","",C60+D60)</f>
        <v/>
      </c>
      <c r="F60" s="7">
        <f>IF(A60="","",MAX(0,Model!$B$6-E60))</f>
        <v/>
      </c>
      <c r="G60" s="7">
        <f>IF(A60="","",F60/(1-Model!$B$9))</f>
        <v/>
      </c>
      <c r="H60" s="7">
        <f>IF(A60="","",MAX(0,B60-G60))</f>
        <v/>
      </c>
      <c r="I60" s="7">
        <f>IF(A60="","",H60*Model!$B$18)</f>
        <v/>
      </c>
      <c r="J60" s="7">
        <f>IF(A60="","",H60+I60)</f>
        <v/>
      </c>
    </row>
    <row r="61">
      <c r="A61">
        <f>IF(OR(A60="",A60&gt;=Model!$B$4),"",A60+1)</f>
        <v/>
      </c>
      <c r="B61" s="7">
        <f>IF(A61="","",J60)</f>
        <v/>
      </c>
      <c r="C61" s="7">
        <f>IF(A61="","",IF(A61&gt;=Model!$B$11,Model!$B$20,0))</f>
        <v/>
      </c>
      <c r="D61" s="7">
        <f>IF(A61="","",IF(A61&lt;$B$3+Model!$B$15,Model!$B$22,0))</f>
        <v/>
      </c>
      <c r="E61" s="7">
        <f>IF(A61="","",C61+D61)</f>
        <v/>
      </c>
      <c r="F61" s="7">
        <f>IF(A61="","",MAX(0,Model!$B$6-E61))</f>
        <v/>
      </c>
      <c r="G61" s="7">
        <f>IF(A61="","",F61/(1-Model!$B$9))</f>
        <v/>
      </c>
      <c r="H61" s="7">
        <f>IF(A61="","",MAX(0,B61-G61))</f>
        <v/>
      </c>
      <c r="I61" s="7">
        <f>IF(A61="","",H61*Model!$B$18)</f>
        <v/>
      </c>
      <c r="J61" s="7">
        <f>IF(A61="","",H61+I61)</f>
        <v/>
      </c>
    </row>
    <row r="62">
      <c r="A62">
        <f>IF(OR(A61="",A61&gt;=Model!$B$4),"",A61+1)</f>
        <v/>
      </c>
      <c r="B62" s="7">
        <f>IF(A62="","",J61)</f>
        <v/>
      </c>
      <c r="C62" s="7">
        <f>IF(A62="","",IF(A62&gt;=Model!$B$11,Model!$B$20,0))</f>
        <v/>
      </c>
      <c r="D62" s="7">
        <f>IF(A62="","",IF(A62&lt;$B$3+Model!$B$15,Model!$B$22,0))</f>
        <v/>
      </c>
      <c r="E62" s="7">
        <f>IF(A62="","",C62+D62)</f>
        <v/>
      </c>
      <c r="F62" s="7">
        <f>IF(A62="","",MAX(0,Model!$B$6-E62))</f>
        <v/>
      </c>
      <c r="G62" s="7">
        <f>IF(A62="","",F62/(1-Model!$B$9))</f>
        <v/>
      </c>
      <c r="H62" s="7">
        <f>IF(A62="","",MAX(0,B62-G62))</f>
        <v/>
      </c>
      <c r="I62" s="7">
        <f>IF(A62="","",H62*Model!$B$18)</f>
        <v/>
      </c>
      <c r="J62" s="7">
        <f>IF(A62="","",H62+I62)</f>
        <v/>
      </c>
    </row>
    <row r="63">
      <c r="A63">
        <f>IF(OR(A62="",A62&gt;=Model!$B$4),"",A62+1)</f>
        <v/>
      </c>
      <c r="B63" s="7">
        <f>IF(A63="","",J62)</f>
        <v/>
      </c>
      <c r="C63" s="7">
        <f>IF(A63="","",IF(A63&gt;=Model!$B$11,Model!$B$20,0))</f>
        <v/>
      </c>
      <c r="D63" s="7">
        <f>IF(A63="","",IF(A63&lt;$B$3+Model!$B$15,Model!$B$22,0))</f>
        <v/>
      </c>
      <c r="E63" s="7">
        <f>IF(A63="","",C63+D63)</f>
        <v/>
      </c>
      <c r="F63" s="7">
        <f>IF(A63="","",MAX(0,Model!$B$6-E63))</f>
        <v/>
      </c>
      <c r="G63" s="7">
        <f>IF(A63="","",F63/(1-Model!$B$9))</f>
        <v/>
      </c>
      <c r="H63" s="7">
        <f>IF(A63="","",MAX(0,B63-G63))</f>
        <v/>
      </c>
      <c r="I63" s="7">
        <f>IF(A63="","",H63*Model!$B$18)</f>
        <v/>
      </c>
      <c r="J63" s="7">
        <f>IF(A63="","",H63+I63)</f>
        <v/>
      </c>
    </row>
    <row r="64">
      <c r="A64">
        <f>IF(OR(A63="",A63&gt;=Model!$B$4),"",A63+1)</f>
        <v/>
      </c>
      <c r="B64" s="7">
        <f>IF(A64="","",J63)</f>
        <v/>
      </c>
      <c r="C64" s="7">
        <f>IF(A64="","",IF(A64&gt;=Model!$B$11,Model!$B$20,0))</f>
        <v/>
      </c>
      <c r="D64" s="7">
        <f>IF(A64="","",IF(A64&lt;$B$3+Model!$B$15,Model!$B$22,0))</f>
        <v/>
      </c>
      <c r="E64" s="7">
        <f>IF(A64="","",C64+D64)</f>
        <v/>
      </c>
      <c r="F64" s="7">
        <f>IF(A64="","",MAX(0,Model!$B$6-E64))</f>
        <v/>
      </c>
      <c r="G64" s="7">
        <f>IF(A64="","",F64/(1-Model!$B$9))</f>
        <v/>
      </c>
      <c r="H64" s="7">
        <f>IF(A64="","",MAX(0,B64-G64))</f>
        <v/>
      </c>
      <c r="I64" s="7">
        <f>IF(A64="","",H64*Model!$B$18)</f>
        <v/>
      </c>
      <c r="J64" s="7">
        <f>IF(A64="","",H64+I64)</f>
        <v/>
      </c>
    </row>
    <row r="65">
      <c r="A65">
        <f>IF(OR(A64="",A64&gt;=Model!$B$4),"",A64+1)</f>
        <v/>
      </c>
      <c r="B65" s="7">
        <f>IF(A65="","",J64)</f>
        <v/>
      </c>
      <c r="C65" s="7">
        <f>IF(A65="","",IF(A65&gt;=Model!$B$11,Model!$B$20,0))</f>
        <v/>
      </c>
      <c r="D65" s="7">
        <f>IF(A65="","",IF(A65&lt;$B$3+Model!$B$15,Model!$B$22,0))</f>
        <v/>
      </c>
      <c r="E65" s="7">
        <f>IF(A65="","",C65+D65)</f>
        <v/>
      </c>
      <c r="F65" s="7">
        <f>IF(A65="","",MAX(0,Model!$B$6-E65))</f>
        <v/>
      </c>
      <c r="G65" s="7">
        <f>IF(A65="","",F65/(1-Model!$B$9))</f>
        <v/>
      </c>
      <c r="H65" s="7">
        <f>IF(A65="","",MAX(0,B65-G65))</f>
        <v/>
      </c>
      <c r="I65" s="7">
        <f>IF(A65="","",H65*Model!$B$18)</f>
        <v/>
      </c>
      <c r="J65" s="7">
        <f>IF(A65="","",H65+I65)</f>
        <v/>
      </c>
    </row>
    <row r="66">
      <c r="A66">
        <f>IF(OR(A65="",A65&gt;=Model!$B$4),"",A65+1)</f>
        <v/>
      </c>
      <c r="B66" s="7">
        <f>IF(A66="","",J65)</f>
        <v/>
      </c>
      <c r="C66" s="7">
        <f>IF(A66="","",IF(A66&gt;=Model!$B$11,Model!$B$20,0))</f>
        <v/>
      </c>
      <c r="D66" s="7">
        <f>IF(A66="","",IF(A66&lt;$B$3+Model!$B$15,Model!$B$22,0))</f>
        <v/>
      </c>
      <c r="E66" s="7">
        <f>IF(A66="","",C66+D66)</f>
        <v/>
      </c>
      <c r="F66" s="7">
        <f>IF(A66="","",MAX(0,Model!$B$6-E66))</f>
        <v/>
      </c>
      <c r="G66" s="7">
        <f>IF(A66="","",F66/(1-Model!$B$9))</f>
        <v/>
      </c>
      <c r="H66" s="7">
        <f>IF(A66="","",MAX(0,B66-G66))</f>
        <v/>
      </c>
      <c r="I66" s="7">
        <f>IF(A66="","",H66*Model!$B$18)</f>
        <v/>
      </c>
      <c r="J66" s="7">
        <f>IF(A66="","",H66+I66)</f>
        <v/>
      </c>
    </row>
    <row r="67">
      <c r="A67">
        <f>IF(OR(A66="",A66&gt;=Model!$B$4),"",A66+1)</f>
        <v/>
      </c>
      <c r="B67" s="7">
        <f>IF(A67="","",J66)</f>
        <v/>
      </c>
      <c r="C67" s="7">
        <f>IF(A67="","",IF(A67&gt;=Model!$B$11,Model!$B$20,0))</f>
        <v/>
      </c>
      <c r="D67" s="7">
        <f>IF(A67="","",IF(A67&lt;$B$3+Model!$B$15,Model!$B$22,0))</f>
        <v/>
      </c>
      <c r="E67" s="7">
        <f>IF(A67="","",C67+D67)</f>
        <v/>
      </c>
      <c r="F67" s="7">
        <f>IF(A67="","",MAX(0,Model!$B$6-E67))</f>
        <v/>
      </c>
      <c r="G67" s="7">
        <f>IF(A67="","",F67/(1-Model!$B$9))</f>
        <v/>
      </c>
      <c r="H67" s="7">
        <f>IF(A67="","",MAX(0,B67-G67))</f>
        <v/>
      </c>
      <c r="I67" s="7">
        <f>IF(A67="","",H67*Model!$B$18)</f>
        <v/>
      </c>
      <c r="J67" s="7">
        <f>IF(A67="","",H67+I67)</f>
        <v/>
      </c>
    </row>
    <row r="68">
      <c r="A68">
        <f>IF(OR(A67="",A67&gt;=Model!$B$4),"",A67+1)</f>
        <v/>
      </c>
      <c r="B68" s="7">
        <f>IF(A68="","",J67)</f>
        <v/>
      </c>
      <c r="C68" s="7">
        <f>IF(A68="","",IF(A68&gt;=Model!$B$11,Model!$B$20,0))</f>
        <v/>
      </c>
      <c r="D68" s="7">
        <f>IF(A68="","",IF(A68&lt;$B$3+Model!$B$15,Model!$B$22,0))</f>
        <v/>
      </c>
      <c r="E68" s="7">
        <f>IF(A68="","",C68+D68)</f>
        <v/>
      </c>
      <c r="F68" s="7">
        <f>IF(A68="","",MAX(0,Model!$B$6-E68))</f>
        <v/>
      </c>
      <c r="G68" s="7">
        <f>IF(A68="","",F68/(1-Model!$B$9))</f>
        <v/>
      </c>
      <c r="H68" s="7">
        <f>IF(A68="","",MAX(0,B68-G68))</f>
        <v/>
      </c>
      <c r="I68" s="7">
        <f>IF(A68="","",H68*Model!$B$18)</f>
        <v/>
      </c>
      <c r="J68" s="7">
        <f>IF(A68="","",H68+I68)</f>
        <v/>
      </c>
    </row>
    <row r="69">
      <c r="A69">
        <f>IF(OR(A68="",A68&gt;=Model!$B$4),"",A68+1)</f>
        <v/>
      </c>
      <c r="B69" s="7">
        <f>IF(A69="","",J68)</f>
        <v/>
      </c>
      <c r="C69" s="7">
        <f>IF(A69="","",IF(A69&gt;=Model!$B$11,Model!$B$20,0))</f>
        <v/>
      </c>
      <c r="D69" s="7">
        <f>IF(A69="","",IF(A69&lt;$B$3+Model!$B$15,Model!$B$22,0))</f>
        <v/>
      </c>
      <c r="E69" s="7">
        <f>IF(A69="","",C69+D69)</f>
        <v/>
      </c>
      <c r="F69" s="7">
        <f>IF(A69="","",MAX(0,Model!$B$6-E69))</f>
        <v/>
      </c>
      <c r="G69" s="7">
        <f>IF(A69="","",F69/(1-Model!$B$9))</f>
        <v/>
      </c>
      <c r="H69" s="7">
        <f>IF(A69="","",MAX(0,B69-G69))</f>
        <v/>
      </c>
      <c r="I69" s="7">
        <f>IF(A69="","",H69*Model!$B$18)</f>
        <v/>
      </c>
      <c r="J69" s="7">
        <f>IF(A69="","",H69+I69)</f>
        <v/>
      </c>
    </row>
    <row r="70">
      <c r="A70">
        <f>IF(OR(A69="",A69&gt;=Model!$B$4),"",A69+1)</f>
        <v/>
      </c>
      <c r="B70" s="7">
        <f>IF(A70="","",J69)</f>
        <v/>
      </c>
      <c r="C70" s="7">
        <f>IF(A70="","",IF(A70&gt;=Model!$B$11,Model!$B$20,0))</f>
        <v/>
      </c>
      <c r="D70" s="7">
        <f>IF(A70="","",IF(A70&lt;$B$3+Model!$B$15,Model!$B$22,0))</f>
        <v/>
      </c>
      <c r="E70" s="7">
        <f>IF(A70="","",C70+D70)</f>
        <v/>
      </c>
      <c r="F70" s="7">
        <f>IF(A70="","",MAX(0,Model!$B$6-E70))</f>
        <v/>
      </c>
      <c r="G70" s="7">
        <f>IF(A70="","",F70/(1-Model!$B$9))</f>
        <v/>
      </c>
      <c r="H70" s="7">
        <f>IF(A70="","",MAX(0,B70-G70))</f>
        <v/>
      </c>
      <c r="I70" s="7">
        <f>IF(A70="","",H70*Model!$B$18)</f>
        <v/>
      </c>
      <c r="J70" s="7">
        <f>IF(A70="","",H70+I70)</f>
        <v/>
      </c>
    </row>
    <row r="71">
      <c r="A71">
        <f>IF(OR(A70="",A70&gt;=Model!$B$4),"",A70+1)</f>
        <v/>
      </c>
      <c r="B71" s="7">
        <f>IF(A71="","",J70)</f>
        <v/>
      </c>
      <c r="C71" s="7">
        <f>IF(A71="","",IF(A71&gt;=Model!$B$11,Model!$B$20,0))</f>
        <v/>
      </c>
      <c r="D71" s="7">
        <f>IF(A71="","",IF(A71&lt;$B$3+Model!$B$15,Model!$B$22,0))</f>
        <v/>
      </c>
      <c r="E71" s="7">
        <f>IF(A71="","",C71+D71)</f>
        <v/>
      </c>
      <c r="F71" s="7">
        <f>IF(A71="","",MAX(0,Model!$B$6-E71))</f>
        <v/>
      </c>
      <c r="G71" s="7">
        <f>IF(A71="","",F71/(1-Model!$B$9))</f>
        <v/>
      </c>
      <c r="H71" s="7">
        <f>IF(A71="","",MAX(0,B71-G71))</f>
        <v/>
      </c>
      <c r="I71" s="7">
        <f>IF(A71="","",H71*Model!$B$18)</f>
        <v/>
      </c>
      <c r="J71" s="7">
        <f>IF(A71="","",H71+I71)</f>
        <v/>
      </c>
    </row>
    <row r="72">
      <c r="A72">
        <f>IF(OR(A71="",A71&gt;=Model!$B$4),"",A71+1)</f>
        <v/>
      </c>
      <c r="B72" s="7">
        <f>IF(A72="","",J71)</f>
        <v/>
      </c>
      <c r="C72" s="7">
        <f>IF(A72="","",IF(A72&gt;=Model!$B$11,Model!$B$20,0))</f>
        <v/>
      </c>
      <c r="D72" s="7">
        <f>IF(A72="","",IF(A72&lt;$B$3+Model!$B$15,Model!$B$22,0))</f>
        <v/>
      </c>
      <c r="E72" s="7">
        <f>IF(A72="","",C72+D72)</f>
        <v/>
      </c>
      <c r="F72" s="7">
        <f>IF(A72="","",MAX(0,Model!$B$6-E72))</f>
        <v/>
      </c>
      <c r="G72" s="7">
        <f>IF(A72="","",F72/(1-Model!$B$9))</f>
        <v/>
      </c>
      <c r="H72" s="7">
        <f>IF(A72="","",MAX(0,B72-G72))</f>
        <v/>
      </c>
      <c r="I72" s="7">
        <f>IF(A72="","",H72*Model!$B$18)</f>
        <v/>
      </c>
      <c r="J72" s="7">
        <f>IF(A72="","",H72+I72)</f>
        <v/>
      </c>
    </row>
    <row r="73">
      <c r="A73">
        <f>IF(OR(A72="",A72&gt;=Model!$B$4),"",A72+1)</f>
        <v/>
      </c>
      <c r="B73" s="7">
        <f>IF(A73="","",J72)</f>
        <v/>
      </c>
      <c r="C73" s="7">
        <f>IF(A73="","",IF(A73&gt;=Model!$B$11,Model!$B$20,0))</f>
        <v/>
      </c>
      <c r="D73" s="7">
        <f>IF(A73="","",IF(A73&lt;$B$3+Model!$B$15,Model!$B$22,0))</f>
        <v/>
      </c>
      <c r="E73" s="7">
        <f>IF(A73="","",C73+D73)</f>
        <v/>
      </c>
      <c r="F73" s="7">
        <f>IF(A73="","",MAX(0,Model!$B$6-E73))</f>
        <v/>
      </c>
      <c r="G73" s="7">
        <f>IF(A73="","",F73/(1-Model!$B$9))</f>
        <v/>
      </c>
      <c r="H73" s="7">
        <f>IF(A73="","",MAX(0,B73-G73))</f>
        <v/>
      </c>
      <c r="I73" s="7">
        <f>IF(A73="","",H73*Model!$B$18)</f>
        <v/>
      </c>
      <c r="J73" s="7">
        <f>IF(A73="","",H73+I73)</f>
        <v/>
      </c>
    </row>
    <row r="74">
      <c r="A74">
        <f>IF(OR(A73="",A73&gt;=Model!$B$4),"",A73+1)</f>
        <v/>
      </c>
      <c r="B74" s="7">
        <f>IF(A74="","",J73)</f>
        <v/>
      </c>
      <c r="C74" s="7">
        <f>IF(A74="","",IF(A74&gt;=Model!$B$11,Model!$B$20,0))</f>
        <v/>
      </c>
      <c r="D74" s="7">
        <f>IF(A74="","",IF(A74&lt;$B$3+Model!$B$15,Model!$B$22,0))</f>
        <v/>
      </c>
      <c r="E74" s="7">
        <f>IF(A74="","",C74+D74)</f>
        <v/>
      </c>
      <c r="F74" s="7">
        <f>IF(A74="","",MAX(0,Model!$B$6-E74))</f>
        <v/>
      </c>
      <c r="G74" s="7">
        <f>IF(A74="","",F74/(1-Model!$B$9))</f>
        <v/>
      </c>
      <c r="H74" s="7">
        <f>IF(A74="","",MAX(0,B74-G74))</f>
        <v/>
      </c>
      <c r="I74" s="7">
        <f>IF(A74="","",H74*Model!$B$18)</f>
        <v/>
      </c>
      <c r="J74" s="7">
        <f>IF(A74="","",H74+I74)</f>
        <v/>
      </c>
    </row>
    <row r="75">
      <c r="A75">
        <f>IF(OR(A74="",A74&gt;=Model!$B$4),"",A74+1)</f>
        <v/>
      </c>
      <c r="B75" s="7">
        <f>IF(A75="","",J74)</f>
        <v/>
      </c>
      <c r="C75" s="7">
        <f>IF(A75="","",IF(A75&gt;=Model!$B$11,Model!$B$20,0))</f>
        <v/>
      </c>
      <c r="D75" s="7">
        <f>IF(A75="","",IF(A75&lt;$B$3+Model!$B$15,Model!$B$22,0))</f>
        <v/>
      </c>
      <c r="E75" s="7">
        <f>IF(A75="","",C75+D75)</f>
        <v/>
      </c>
      <c r="F75" s="7">
        <f>IF(A75="","",MAX(0,Model!$B$6-E75))</f>
        <v/>
      </c>
      <c r="G75" s="7">
        <f>IF(A75="","",F75/(1-Model!$B$9))</f>
        <v/>
      </c>
      <c r="H75" s="7">
        <f>IF(A75="","",MAX(0,B75-G75))</f>
        <v/>
      </c>
      <c r="I75" s="7">
        <f>IF(A75="","",H75*Model!$B$18)</f>
        <v/>
      </c>
      <c r="J75" s="7">
        <f>IF(A75="","",H75+I75)</f>
        <v/>
      </c>
    </row>
    <row r="76">
      <c r="A76">
        <f>IF(OR(A75="",A75&gt;=Model!$B$4),"",A75+1)</f>
        <v/>
      </c>
      <c r="B76" s="7">
        <f>IF(A76="","",J75)</f>
        <v/>
      </c>
      <c r="C76" s="7">
        <f>IF(A76="","",IF(A76&gt;=Model!$B$11,Model!$B$20,0))</f>
        <v/>
      </c>
      <c r="D76" s="7">
        <f>IF(A76="","",IF(A76&lt;$B$3+Model!$B$15,Model!$B$22,0))</f>
        <v/>
      </c>
      <c r="E76" s="7">
        <f>IF(A76="","",C76+D76)</f>
        <v/>
      </c>
      <c r="F76" s="7">
        <f>IF(A76="","",MAX(0,Model!$B$6-E76))</f>
        <v/>
      </c>
      <c r="G76" s="7">
        <f>IF(A76="","",F76/(1-Model!$B$9))</f>
        <v/>
      </c>
      <c r="H76" s="7">
        <f>IF(A76="","",MAX(0,B76-G76))</f>
        <v/>
      </c>
      <c r="I76" s="7">
        <f>IF(A76="","",H76*Model!$B$18)</f>
        <v/>
      </c>
      <c r="J76" s="7">
        <f>IF(A76="","",H76+I76)</f>
        <v/>
      </c>
    </row>
    <row r="77">
      <c r="A77">
        <f>IF(OR(A76="",A76&gt;=Model!$B$4),"",A76+1)</f>
        <v/>
      </c>
      <c r="B77" s="7">
        <f>IF(A77="","",J76)</f>
        <v/>
      </c>
      <c r="C77" s="7">
        <f>IF(A77="","",IF(A77&gt;=Model!$B$11,Model!$B$20,0))</f>
        <v/>
      </c>
      <c r="D77" s="7">
        <f>IF(A77="","",IF(A77&lt;$B$3+Model!$B$15,Model!$B$22,0))</f>
        <v/>
      </c>
      <c r="E77" s="7">
        <f>IF(A77="","",C77+D77)</f>
        <v/>
      </c>
      <c r="F77" s="7">
        <f>IF(A77="","",MAX(0,Model!$B$6-E77))</f>
        <v/>
      </c>
      <c r="G77" s="7">
        <f>IF(A77="","",F77/(1-Model!$B$9))</f>
        <v/>
      </c>
      <c r="H77" s="7">
        <f>IF(A77="","",MAX(0,B77-G77))</f>
        <v/>
      </c>
      <c r="I77" s="7">
        <f>IF(A77="","",H77*Model!$B$18)</f>
        <v/>
      </c>
      <c r="J77" s="7">
        <f>IF(A77="","",H77+I77)</f>
        <v/>
      </c>
    </row>
    <row r="78">
      <c r="A78">
        <f>IF(OR(A77="",A77&gt;=Model!$B$4),"",A77+1)</f>
        <v/>
      </c>
      <c r="B78" s="7">
        <f>IF(A78="","",J77)</f>
        <v/>
      </c>
      <c r="C78" s="7">
        <f>IF(A78="","",IF(A78&gt;=Model!$B$11,Model!$B$20,0))</f>
        <v/>
      </c>
      <c r="D78" s="7">
        <f>IF(A78="","",IF(A78&lt;$B$3+Model!$B$15,Model!$B$22,0))</f>
        <v/>
      </c>
      <c r="E78" s="7">
        <f>IF(A78="","",C78+D78)</f>
        <v/>
      </c>
      <c r="F78" s="7">
        <f>IF(A78="","",MAX(0,Model!$B$6-E78))</f>
        <v/>
      </c>
      <c r="G78" s="7">
        <f>IF(A78="","",F78/(1-Model!$B$9))</f>
        <v/>
      </c>
      <c r="H78" s="7">
        <f>IF(A78="","",MAX(0,B78-G78))</f>
        <v/>
      </c>
      <c r="I78" s="7">
        <f>IF(A78="","",H78*Model!$B$18)</f>
        <v/>
      </c>
      <c r="J78" s="7">
        <f>IF(A78="","",H78+I78)</f>
        <v/>
      </c>
    </row>
    <row r="79">
      <c r="A79">
        <f>IF(OR(A78="",A78&gt;=Model!$B$4),"",A78+1)</f>
        <v/>
      </c>
      <c r="B79" s="7">
        <f>IF(A79="","",J78)</f>
        <v/>
      </c>
      <c r="C79" s="7">
        <f>IF(A79="","",IF(A79&gt;=Model!$B$11,Model!$B$20,0))</f>
        <v/>
      </c>
      <c r="D79" s="7">
        <f>IF(A79="","",IF(A79&lt;$B$3+Model!$B$15,Model!$B$22,0))</f>
        <v/>
      </c>
      <c r="E79" s="7">
        <f>IF(A79="","",C79+D79)</f>
        <v/>
      </c>
      <c r="F79" s="7">
        <f>IF(A79="","",MAX(0,Model!$B$6-E79))</f>
        <v/>
      </c>
      <c r="G79" s="7">
        <f>IF(A79="","",F79/(1-Model!$B$9))</f>
        <v/>
      </c>
      <c r="H79" s="7">
        <f>IF(A79="","",MAX(0,B79-G79))</f>
        <v/>
      </c>
      <c r="I79" s="7">
        <f>IF(A79="","",H79*Model!$B$18)</f>
        <v/>
      </c>
      <c r="J79" s="7">
        <f>IF(A79="","",H79+I79)</f>
        <v/>
      </c>
    </row>
    <row r="80">
      <c r="A80">
        <f>IF(OR(A79="",A79&gt;=Model!$B$4),"",A79+1)</f>
        <v/>
      </c>
      <c r="B80" s="7">
        <f>IF(A80="","",J79)</f>
        <v/>
      </c>
      <c r="C80" s="7">
        <f>IF(A80="","",IF(A80&gt;=Model!$B$11,Model!$B$20,0))</f>
        <v/>
      </c>
      <c r="D80" s="7">
        <f>IF(A80="","",IF(A80&lt;$B$3+Model!$B$15,Model!$B$22,0))</f>
        <v/>
      </c>
      <c r="E80" s="7">
        <f>IF(A80="","",C80+D80)</f>
        <v/>
      </c>
      <c r="F80" s="7">
        <f>IF(A80="","",MAX(0,Model!$B$6-E80))</f>
        <v/>
      </c>
      <c r="G80" s="7">
        <f>IF(A80="","",F80/(1-Model!$B$9))</f>
        <v/>
      </c>
      <c r="H80" s="7">
        <f>IF(A80="","",MAX(0,B80-G80))</f>
        <v/>
      </c>
      <c r="I80" s="7">
        <f>IF(A80="","",H80*Model!$B$18)</f>
        <v/>
      </c>
      <c r="J80" s="7">
        <f>IF(A80="","",H80+I80)</f>
        <v/>
      </c>
    </row>
    <row r="81">
      <c r="A81">
        <f>IF(OR(A80="",A80&gt;=Model!$B$4),"",A80+1)</f>
        <v/>
      </c>
      <c r="B81" s="7">
        <f>IF(A81="","",J80)</f>
        <v/>
      </c>
      <c r="C81" s="7">
        <f>IF(A81="","",IF(A81&gt;=Model!$B$11,Model!$B$20,0))</f>
        <v/>
      </c>
      <c r="D81" s="7">
        <f>IF(A81="","",IF(A81&lt;$B$3+Model!$B$15,Model!$B$22,0))</f>
        <v/>
      </c>
      <c r="E81" s="7">
        <f>IF(A81="","",C81+D81)</f>
        <v/>
      </c>
      <c r="F81" s="7">
        <f>IF(A81="","",MAX(0,Model!$B$6-E81))</f>
        <v/>
      </c>
      <c r="G81" s="7">
        <f>IF(A81="","",F81/(1-Model!$B$9))</f>
        <v/>
      </c>
      <c r="H81" s="7">
        <f>IF(A81="","",MAX(0,B81-G81))</f>
        <v/>
      </c>
      <c r="I81" s="7">
        <f>IF(A81="","",H81*Model!$B$18)</f>
        <v/>
      </c>
      <c r="J81" s="7">
        <f>IF(A81="","",H81+I81)</f>
        <v/>
      </c>
    </row>
    <row r="82">
      <c r="A82">
        <f>IF(OR(A81="",A81&gt;=Model!$B$4),"",A81+1)</f>
        <v/>
      </c>
      <c r="B82" s="7">
        <f>IF(A82="","",J81)</f>
        <v/>
      </c>
      <c r="C82" s="7">
        <f>IF(A82="","",IF(A82&gt;=Model!$B$11,Model!$B$20,0))</f>
        <v/>
      </c>
      <c r="D82" s="7">
        <f>IF(A82="","",IF(A82&lt;$B$3+Model!$B$15,Model!$B$22,0))</f>
        <v/>
      </c>
      <c r="E82" s="7">
        <f>IF(A82="","",C82+D82)</f>
        <v/>
      </c>
      <c r="F82" s="7">
        <f>IF(A82="","",MAX(0,Model!$B$6-E82))</f>
        <v/>
      </c>
      <c r="G82" s="7">
        <f>IF(A82="","",F82/(1-Model!$B$9))</f>
        <v/>
      </c>
      <c r="H82" s="7">
        <f>IF(A82="","",MAX(0,B82-G82))</f>
        <v/>
      </c>
      <c r="I82" s="7">
        <f>IF(A82="","",H82*Model!$B$18)</f>
        <v/>
      </c>
      <c r="J82" s="7">
        <f>IF(A82="","",H82+I82)</f>
        <v/>
      </c>
    </row>
    <row r="83">
      <c r="A83">
        <f>IF(OR(A82="",A82&gt;=Model!$B$4),"",A82+1)</f>
        <v/>
      </c>
      <c r="B83" s="7">
        <f>IF(A83="","",J82)</f>
        <v/>
      </c>
      <c r="C83" s="7">
        <f>IF(A83="","",IF(A83&gt;=Model!$B$11,Model!$B$20,0))</f>
        <v/>
      </c>
      <c r="D83" s="7">
        <f>IF(A83="","",IF(A83&lt;$B$3+Model!$B$15,Model!$B$22,0))</f>
        <v/>
      </c>
      <c r="E83" s="7">
        <f>IF(A83="","",C83+D83)</f>
        <v/>
      </c>
      <c r="F83" s="7">
        <f>IF(A83="","",MAX(0,Model!$B$6-E83))</f>
        <v/>
      </c>
      <c r="G83" s="7">
        <f>IF(A83="","",F83/(1-Model!$B$9))</f>
        <v/>
      </c>
      <c r="H83" s="7">
        <f>IF(A83="","",MAX(0,B83-G83))</f>
        <v/>
      </c>
      <c r="I83" s="7">
        <f>IF(A83="","",H83*Model!$B$18)</f>
        <v/>
      </c>
      <c r="J83" s="7">
        <f>IF(A83="","",H83+I83)</f>
        <v/>
      </c>
    </row>
    <row r="84">
      <c r="A84">
        <f>IF(OR(A83="",A83&gt;=Model!$B$4),"",A83+1)</f>
        <v/>
      </c>
      <c r="B84" s="7">
        <f>IF(A84="","",J83)</f>
        <v/>
      </c>
      <c r="C84" s="7">
        <f>IF(A84="","",IF(A84&gt;=Model!$B$11,Model!$B$20,0))</f>
        <v/>
      </c>
      <c r="D84" s="7">
        <f>IF(A84="","",IF(A84&lt;$B$3+Model!$B$15,Model!$B$22,0))</f>
        <v/>
      </c>
      <c r="E84" s="7">
        <f>IF(A84="","",C84+D84)</f>
        <v/>
      </c>
      <c r="F84" s="7">
        <f>IF(A84="","",MAX(0,Model!$B$6-E84))</f>
        <v/>
      </c>
      <c r="G84" s="7">
        <f>IF(A84="","",F84/(1-Model!$B$9))</f>
        <v/>
      </c>
      <c r="H84" s="7">
        <f>IF(A84="","",MAX(0,B84-G84))</f>
        <v/>
      </c>
      <c r="I84" s="7">
        <f>IF(A84="","",H84*Model!$B$18)</f>
        <v/>
      </c>
      <c r="J84" s="7">
        <f>IF(A84="","",H84+I84)</f>
        <v/>
      </c>
    </row>
    <row r="85">
      <c r="A85">
        <f>IF(OR(A84="",A84&gt;=Model!$B$4),"",A84+1)</f>
        <v/>
      </c>
      <c r="B85" s="7">
        <f>IF(A85="","",J84)</f>
        <v/>
      </c>
      <c r="C85" s="7">
        <f>IF(A85="","",IF(A85&gt;=Model!$B$11,Model!$B$20,0))</f>
        <v/>
      </c>
      <c r="D85" s="7">
        <f>IF(A85="","",IF(A85&lt;$B$3+Model!$B$15,Model!$B$22,0))</f>
        <v/>
      </c>
      <c r="E85" s="7">
        <f>IF(A85="","",C85+D85)</f>
        <v/>
      </c>
      <c r="F85" s="7">
        <f>IF(A85="","",MAX(0,Model!$B$6-E85))</f>
        <v/>
      </c>
      <c r="G85" s="7">
        <f>IF(A85="","",F85/(1-Model!$B$9))</f>
        <v/>
      </c>
      <c r="H85" s="7">
        <f>IF(A85="","",MAX(0,B85-G85))</f>
        <v/>
      </c>
      <c r="I85" s="7">
        <f>IF(A85="","",H85*Model!$B$18)</f>
        <v/>
      </c>
      <c r="J85" s="7">
        <f>IF(A85="","",H85+I85)</f>
        <v/>
      </c>
    </row>
    <row r="86">
      <c r="A86">
        <f>IF(OR(A85="",A85&gt;=Model!$B$4),"",A85+1)</f>
        <v/>
      </c>
      <c r="B86" s="7">
        <f>IF(A86="","",J85)</f>
        <v/>
      </c>
      <c r="C86" s="7">
        <f>IF(A86="","",IF(A86&gt;=Model!$B$11,Model!$B$20,0))</f>
        <v/>
      </c>
      <c r="D86" s="7">
        <f>IF(A86="","",IF(A86&lt;$B$3+Model!$B$15,Model!$B$22,0))</f>
        <v/>
      </c>
      <c r="E86" s="7">
        <f>IF(A86="","",C86+D86)</f>
        <v/>
      </c>
      <c r="F86" s="7">
        <f>IF(A86="","",MAX(0,Model!$B$6-E86))</f>
        <v/>
      </c>
      <c r="G86" s="7">
        <f>IF(A86="","",F86/(1-Model!$B$9))</f>
        <v/>
      </c>
      <c r="H86" s="7">
        <f>IF(A86="","",MAX(0,B86-G86))</f>
        <v/>
      </c>
      <c r="I86" s="7">
        <f>IF(A86="","",H86*Model!$B$18)</f>
        <v/>
      </c>
      <c r="J86" s="7">
        <f>IF(A86="","",H86+I86)</f>
        <v/>
      </c>
    </row>
    <row r="87">
      <c r="A87">
        <f>IF(OR(A86="",A86&gt;=Model!$B$4),"",A86+1)</f>
        <v/>
      </c>
      <c r="B87" s="7">
        <f>IF(A87="","",J86)</f>
        <v/>
      </c>
      <c r="C87" s="7">
        <f>IF(A87="","",IF(A87&gt;=Model!$B$11,Model!$B$20,0))</f>
        <v/>
      </c>
      <c r="D87" s="7">
        <f>IF(A87="","",IF(A87&lt;$B$3+Model!$B$15,Model!$B$22,0))</f>
        <v/>
      </c>
      <c r="E87" s="7">
        <f>IF(A87="","",C87+D87)</f>
        <v/>
      </c>
      <c r="F87" s="7">
        <f>IF(A87="","",MAX(0,Model!$B$6-E87))</f>
        <v/>
      </c>
      <c r="G87" s="7">
        <f>IF(A87="","",F87/(1-Model!$B$9))</f>
        <v/>
      </c>
      <c r="H87" s="7">
        <f>IF(A87="","",MAX(0,B87-G87))</f>
        <v/>
      </c>
      <c r="I87" s="7">
        <f>IF(A87="","",H87*Model!$B$18)</f>
        <v/>
      </c>
      <c r="J87" s="7">
        <f>IF(A87="","",H87+I87)</f>
        <v/>
      </c>
    </row>
    <row r="88">
      <c r="A88">
        <f>IF(OR(A87="",A87&gt;=Model!$B$4),"",A87+1)</f>
        <v/>
      </c>
      <c r="B88" s="7">
        <f>IF(A88="","",J87)</f>
        <v/>
      </c>
      <c r="C88" s="7">
        <f>IF(A88="","",IF(A88&gt;=Model!$B$11,Model!$B$20,0))</f>
        <v/>
      </c>
      <c r="D88" s="7">
        <f>IF(A88="","",IF(A88&lt;$B$3+Model!$B$15,Model!$B$22,0))</f>
        <v/>
      </c>
      <c r="E88" s="7">
        <f>IF(A88="","",C88+D88)</f>
        <v/>
      </c>
      <c r="F88" s="7">
        <f>IF(A88="","",MAX(0,Model!$B$6-E88))</f>
        <v/>
      </c>
      <c r="G88" s="7">
        <f>IF(A88="","",F88/(1-Model!$B$9))</f>
        <v/>
      </c>
      <c r="H88" s="7">
        <f>IF(A88="","",MAX(0,B88-G88))</f>
        <v/>
      </c>
      <c r="I88" s="7">
        <f>IF(A88="","",H88*Model!$B$18)</f>
        <v/>
      </c>
      <c r="J88" s="7">
        <f>IF(A88="","",H88+I88)</f>
        <v/>
      </c>
    </row>
    <row r="89">
      <c r="A89">
        <f>IF(OR(A88="",A88&gt;=Model!$B$4),"",A88+1)</f>
        <v/>
      </c>
      <c r="B89" s="7">
        <f>IF(A89="","",J88)</f>
        <v/>
      </c>
      <c r="C89" s="7">
        <f>IF(A89="","",IF(A89&gt;=Model!$B$11,Model!$B$20,0))</f>
        <v/>
      </c>
      <c r="D89" s="7">
        <f>IF(A89="","",IF(A89&lt;$B$3+Model!$B$15,Model!$B$22,0))</f>
        <v/>
      </c>
      <c r="E89" s="7">
        <f>IF(A89="","",C89+D89)</f>
        <v/>
      </c>
      <c r="F89" s="7">
        <f>IF(A89="","",MAX(0,Model!$B$6-E89))</f>
        <v/>
      </c>
      <c r="G89" s="7">
        <f>IF(A89="","",F89/(1-Model!$B$9))</f>
        <v/>
      </c>
      <c r="H89" s="7">
        <f>IF(A89="","",MAX(0,B89-G89))</f>
        <v/>
      </c>
      <c r="I89" s="7">
        <f>IF(A89="","",H89*Model!$B$18)</f>
        <v/>
      </c>
      <c r="J89" s="7">
        <f>IF(A89="","",H89+I89)</f>
        <v/>
      </c>
    </row>
    <row r="90">
      <c r="A90">
        <f>IF(OR(A89="",A89&gt;=Model!$B$4),"",A89+1)</f>
        <v/>
      </c>
      <c r="B90" s="7">
        <f>IF(A90="","",J89)</f>
        <v/>
      </c>
      <c r="C90" s="7">
        <f>IF(A90="","",IF(A90&gt;=Model!$B$11,Model!$B$20,0))</f>
        <v/>
      </c>
      <c r="D90" s="7">
        <f>IF(A90="","",IF(A90&lt;$B$3+Model!$B$15,Model!$B$22,0))</f>
        <v/>
      </c>
      <c r="E90" s="7">
        <f>IF(A90="","",C90+D90)</f>
        <v/>
      </c>
      <c r="F90" s="7">
        <f>IF(A90="","",MAX(0,Model!$B$6-E90))</f>
        <v/>
      </c>
      <c r="G90" s="7">
        <f>IF(A90="","",F90/(1-Model!$B$9))</f>
        <v/>
      </c>
      <c r="H90" s="7">
        <f>IF(A90="","",MAX(0,B90-G90))</f>
        <v/>
      </c>
      <c r="I90" s="7">
        <f>IF(A90="","",H90*Model!$B$18)</f>
        <v/>
      </c>
      <c r="J90" s="7">
        <f>IF(A90="","",H90+I90)</f>
        <v/>
      </c>
    </row>
    <row r="91">
      <c r="A91">
        <f>IF(OR(A90="",A90&gt;=Model!$B$4),"",A90+1)</f>
        <v/>
      </c>
      <c r="B91" s="7">
        <f>IF(A91="","",J90)</f>
        <v/>
      </c>
      <c r="C91" s="7">
        <f>IF(A91="","",IF(A91&gt;=Model!$B$11,Model!$B$20,0))</f>
        <v/>
      </c>
      <c r="D91" s="7">
        <f>IF(A91="","",IF(A91&lt;$B$3+Model!$B$15,Model!$B$22,0))</f>
        <v/>
      </c>
      <c r="E91" s="7">
        <f>IF(A91="","",C91+D91)</f>
        <v/>
      </c>
      <c r="F91" s="7">
        <f>IF(A91="","",MAX(0,Model!$B$6-E91))</f>
        <v/>
      </c>
      <c r="G91" s="7">
        <f>IF(A91="","",F91/(1-Model!$B$9))</f>
        <v/>
      </c>
      <c r="H91" s="7">
        <f>IF(A91="","",MAX(0,B91-G91))</f>
        <v/>
      </c>
      <c r="I91" s="7">
        <f>IF(A91="","",H91*Model!$B$18)</f>
        <v/>
      </c>
      <c r="J91" s="7">
        <f>IF(A91="","",H91+I91)</f>
        <v/>
      </c>
    </row>
    <row r="92">
      <c r="A92">
        <f>IF(OR(A91="",A91&gt;=Model!$B$4),"",A91+1)</f>
        <v/>
      </c>
      <c r="B92" s="7">
        <f>IF(A92="","",J91)</f>
        <v/>
      </c>
      <c r="C92" s="7">
        <f>IF(A92="","",IF(A92&gt;=Model!$B$11,Model!$B$20,0))</f>
        <v/>
      </c>
      <c r="D92" s="7">
        <f>IF(A92="","",IF(A92&lt;$B$3+Model!$B$15,Model!$B$22,0))</f>
        <v/>
      </c>
      <c r="E92" s="7">
        <f>IF(A92="","",C92+D92)</f>
        <v/>
      </c>
      <c r="F92" s="7">
        <f>IF(A92="","",MAX(0,Model!$B$6-E92))</f>
        <v/>
      </c>
      <c r="G92" s="7">
        <f>IF(A92="","",F92/(1-Model!$B$9))</f>
        <v/>
      </c>
      <c r="H92" s="7">
        <f>IF(A92="","",MAX(0,B92-G92))</f>
        <v/>
      </c>
      <c r="I92" s="7">
        <f>IF(A92="","",H92*Model!$B$18)</f>
        <v/>
      </c>
      <c r="J92" s="7">
        <f>IF(A92="","",H92+I92)</f>
        <v/>
      </c>
    </row>
    <row r="93">
      <c r="A93">
        <f>IF(OR(A92="",A92&gt;=Model!$B$4),"",A92+1)</f>
        <v/>
      </c>
      <c r="B93" s="7">
        <f>IF(A93="","",J92)</f>
        <v/>
      </c>
      <c r="C93" s="7">
        <f>IF(A93="","",IF(A93&gt;=Model!$B$11,Model!$B$20,0))</f>
        <v/>
      </c>
      <c r="D93" s="7">
        <f>IF(A93="","",IF(A93&lt;$B$3+Model!$B$15,Model!$B$22,0))</f>
        <v/>
      </c>
      <c r="E93" s="7">
        <f>IF(A93="","",C93+D93)</f>
        <v/>
      </c>
      <c r="F93" s="7">
        <f>IF(A93="","",MAX(0,Model!$B$6-E93))</f>
        <v/>
      </c>
      <c r="G93" s="7">
        <f>IF(A93="","",F93/(1-Model!$B$9))</f>
        <v/>
      </c>
      <c r="H93" s="7">
        <f>IF(A93="","",MAX(0,B93-G93))</f>
        <v/>
      </c>
      <c r="I93" s="7">
        <f>IF(A93="","",H93*Model!$B$18)</f>
        <v/>
      </c>
      <c r="J93" s="7">
        <f>IF(A93="","",H93+I93)</f>
        <v/>
      </c>
    </row>
    <row r="94">
      <c r="A94">
        <f>IF(OR(A93="",A93&gt;=Model!$B$4),"",A93+1)</f>
        <v/>
      </c>
      <c r="B94" s="7">
        <f>IF(A94="","",J93)</f>
        <v/>
      </c>
      <c r="C94" s="7">
        <f>IF(A94="","",IF(A94&gt;=Model!$B$11,Model!$B$20,0))</f>
        <v/>
      </c>
      <c r="D94" s="7">
        <f>IF(A94="","",IF(A94&lt;$B$3+Model!$B$15,Model!$B$22,0))</f>
        <v/>
      </c>
      <c r="E94" s="7">
        <f>IF(A94="","",C94+D94)</f>
        <v/>
      </c>
      <c r="F94" s="7">
        <f>IF(A94="","",MAX(0,Model!$B$6-E94))</f>
        <v/>
      </c>
      <c r="G94" s="7">
        <f>IF(A94="","",F94/(1-Model!$B$9))</f>
        <v/>
      </c>
      <c r="H94" s="7">
        <f>IF(A94="","",MAX(0,B94-G94))</f>
        <v/>
      </c>
      <c r="I94" s="7">
        <f>IF(A94="","",H94*Model!$B$18)</f>
        <v/>
      </c>
      <c r="J94" s="7">
        <f>IF(A94="","",H94+I94)</f>
        <v/>
      </c>
    </row>
    <row r="95">
      <c r="A95">
        <f>IF(OR(A94="",A94&gt;=Model!$B$4),"",A94+1)</f>
        <v/>
      </c>
      <c r="B95" s="7">
        <f>IF(A95="","",J94)</f>
        <v/>
      </c>
      <c r="C95" s="7">
        <f>IF(A95="","",IF(A95&gt;=Model!$B$11,Model!$B$20,0))</f>
        <v/>
      </c>
      <c r="D95" s="7">
        <f>IF(A95="","",IF(A95&lt;$B$3+Model!$B$15,Model!$B$22,0))</f>
        <v/>
      </c>
      <c r="E95" s="7">
        <f>IF(A95="","",C95+D95)</f>
        <v/>
      </c>
      <c r="F95" s="7">
        <f>IF(A95="","",MAX(0,Model!$B$6-E95))</f>
        <v/>
      </c>
      <c r="G95" s="7">
        <f>IF(A95="","",F95/(1-Model!$B$9))</f>
        <v/>
      </c>
      <c r="H95" s="7">
        <f>IF(A95="","",MAX(0,B95-G95))</f>
        <v/>
      </c>
      <c r="I95" s="7">
        <f>IF(A95="","",H95*Model!$B$18)</f>
        <v/>
      </c>
      <c r="J95" s="7">
        <f>IF(A95="","",H95+I95)</f>
        <v/>
      </c>
    </row>
    <row r="96">
      <c r="A96">
        <f>IF(OR(A95="",A95&gt;=Model!$B$4),"",A95+1)</f>
        <v/>
      </c>
      <c r="B96" s="7">
        <f>IF(A96="","",J95)</f>
        <v/>
      </c>
      <c r="C96" s="7">
        <f>IF(A96="","",IF(A96&gt;=Model!$B$11,Model!$B$20,0))</f>
        <v/>
      </c>
      <c r="D96" s="7">
        <f>IF(A96="","",IF(A96&lt;$B$3+Model!$B$15,Model!$B$22,0))</f>
        <v/>
      </c>
      <c r="E96" s="7">
        <f>IF(A96="","",C96+D96)</f>
        <v/>
      </c>
      <c r="F96" s="7">
        <f>IF(A96="","",MAX(0,Model!$B$6-E96))</f>
        <v/>
      </c>
      <c r="G96" s="7">
        <f>IF(A96="","",F96/(1-Model!$B$9))</f>
        <v/>
      </c>
      <c r="H96" s="7">
        <f>IF(A96="","",MAX(0,B96-G96))</f>
        <v/>
      </c>
      <c r="I96" s="7">
        <f>IF(A96="","",H96*Model!$B$18)</f>
        <v/>
      </c>
      <c r="J96" s="7">
        <f>IF(A96="","",H96+I96)</f>
        <v/>
      </c>
    </row>
    <row r="97">
      <c r="A97">
        <f>IF(OR(A96="",A96&gt;=Model!$B$4),"",A96+1)</f>
        <v/>
      </c>
      <c r="B97" s="7">
        <f>IF(A97="","",J96)</f>
        <v/>
      </c>
      <c r="C97" s="7">
        <f>IF(A97="","",IF(A97&gt;=Model!$B$11,Model!$B$20,0))</f>
        <v/>
      </c>
      <c r="D97" s="7">
        <f>IF(A97="","",IF(A97&lt;$B$3+Model!$B$15,Model!$B$22,0))</f>
        <v/>
      </c>
      <c r="E97" s="7">
        <f>IF(A97="","",C97+D97)</f>
        <v/>
      </c>
      <c r="F97" s="7">
        <f>IF(A97="","",MAX(0,Model!$B$6-E97))</f>
        <v/>
      </c>
      <c r="G97" s="7">
        <f>IF(A97="","",F97/(1-Model!$B$9))</f>
        <v/>
      </c>
      <c r="H97" s="7">
        <f>IF(A97="","",MAX(0,B97-G97))</f>
        <v/>
      </c>
      <c r="I97" s="7">
        <f>IF(A97="","",H97*Model!$B$18)</f>
        <v/>
      </c>
      <c r="J97" s="7">
        <f>IF(A97="","",H97+I97)</f>
        <v/>
      </c>
    </row>
    <row r="98">
      <c r="A98">
        <f>IF(OR(A97="",A97&gt;=Model!$B$4),"",A97+1)</f>
        <v/>
      </c>
      <c r="B98" s="7">
        <f>IF(A98="","",J97)</f>
        <v/>
      </c>
      <c r="C98" s="7">
        <f>IF(A98="","",IF(A98&gt;=Model!$B$11,Model!$B$20,0))</f>
        <v/>
      </c>
      <c r="D98" s="7">
        <f>IF(A98="","",IF(A98&lt;$B$3+Model!$B$15,Model!$B$22,0))</f>
        <v/>
      </c>
      <c r="E98" s="7">
        <f>IF(A98="","",C98+D98)</f>
        <v/>
      </c>
      <c r="F98" s="7">
        <f>IF(A98="","",MAX(0,Model!$B$6-E98))</f>
        <v/>
      </c>
      <c r="G98" s="7">
        <f>IF(A98="","",F98/(1-Model!$B$9))</f>
        <v/>
      </c>
      <c r="H98" s="7">
        <f>IF(A98="","",MAX(0,B98-G98))</f>
        <v/>
      </c>
      <c r="I98" s="7">
        <f>IF(A98="","",H98*Model!$B$18)</f>
        <v/>
      </c>
      <c r="J98" s="7">
        <f>IF(A98="","",H98+I98)</f>
        <v/>
      </c>
    </row>
    <row r="99">
      <c r="A99">
        <f>IF(OR(A98="",A98&gt;=Model!$B$4),"",A98+1)</f>
        <v/>
      </c>
      <c r="B99" s="7">
        <f>IF(A99="","",J98)</f>
        <v/>
      </c>
      <c r="C99" s="7">
        <f>IF(A99="","",IF(A99&gt;=Model!$B$11,Model!$B$20,0))</f>
        <v/>
      </c>
      <c r="D99" s="7">
        <f>IF(A99="","",IF(A99&lt;$B$3+Model!$B$15,Model!$B$22,0))</f>
        <v/>
      </c>
      <c r="E99" s="7">
        <f>IF(A99="","",C99+D99)</f>
        <v/>
      </c>
      <c r="F99" s="7">
        <f>IF(A99="","",MAX(0,Model!$B$6-E99))</f>
        <v/>
      </c>
      <c r="G99" s="7">
        <f>IF(A99="","",F99/(1-Model!$B$9))</f>
        <v/>
      </c>
      <c r="H99" s="7">
        <f>IF(A99="","",MAX(0,B99-G99))</f>
        <v/>
      </c>
      <c r="I99" s="7">
        <f>IF(A99="","",H99*Model!$B$18)</f>
        <v/>
      </c>
      <c r="J99" s="7">
        <f>IF(A99="","",H99+I99)</f>
        <v/>
      </c>
    </row>
    <row r="100">
      <c r="A100">
        <f>IF(OR(A99="",A99&gt;=Model!$B$4),"",A99+1)</f>
        <v/>
      </c>
      <c r="B100" s="7">
        <f>IF(A100="","",J99)</f>
        <v/>
      </c>
      <c r="C100" s="7">
        <f>IF(A100="","",IF(A100&gt;=Model!$B$11,Model!$B$20,0))</f>
        <v/>
      </c>
      <c r="D100" s="7">
        <f>IF(A100="","",IF(A100&lt;$B$3+Model!$B$15,Model!$B$22,0))</f>
        <v/>
      </c>
      <c r="E100" s="7">
        <f>IF(A100="","",C100+D100)</f>
        <v/>
      </c>
      <c r="F100" s="7">
        <f>IF(A100="","",MAX(0,Model!$B$6-E100))</f>
        <v/>
      </c>
      <c r="G100" s="7">
        <f>IF(A100="","",F100/(1-Model!$B$9))</f>
        <v/>
      </c>
      <c r="H100" s="7">
        <f>IF(A100="","",MAX(0,B100-G100))</f>
        <v/>
      </c>
      <c r="I100" s="7">
        <f>IF(A100="","",H100*Model!$B$18)</f>
        <v/>
      </c>
      <c r="J100" s="7">
        <f>IF(A100="","",H100+I100)</f>
        <v/>
      </c>
    </row>
    <row r="101">
      <c r="A101">
        <f>IF(OR(A100="",A100&gt;=Model!$B$4),"",A100+1)</f>
        <v/>
      </c>
      <c r="B101" s="7">
        <f>IF(A101="","",J100)</f>
        <v/>
      </c>
      <c r="C101" s="7">
        <f>IF(A101="","",IF(A101&gt;=Model!$B$11,Model!$B$20,0))</f>
        <v/>
      </c>
      <c r="D101" s="7">
        <f>IF(A101="","",IF(A101&lt;$B$3+Model!$B$15,Model!$B$22,0))</f>
        <v/>
      </c>
      <c r="E101" s="7">
        <f>IF(A101="","",C101+D101)</f>
        <v/>
      </c>
      <c r="F101" s="7">
        <f>IF(A101="","",MAX(0,Model!$B$6-E101))</f>
        <v/>
      </c>
      <c r="G101" s="7">
        <f>IF(A101="","",F101/(1-Model!$B$9))</f>
        <v/>
      </c>
      <c r="H101" s="7">
        <f>IF(A101="","",MAX(0,B101-G101))</f>
        <v/>
      </c>
      <c r="I101" s="7">
        <f>IF(A101="","",H101*Model!$B$18)</f>
        <v/>
      </c>
      <c r="J101" s="7">
        <f>IF(A101="","",H101+I101)</f>
        <v/>
      </c>
    </row>
    <row r="102">
      <c r="A102">
        <f>IF(OR(A101="",A101&gt;=Model!$B$4),"",A101+1)</f>
        <v/>
      </c>
      <c r="B102" s="7">
        <f>IF(A102="","",J101)</f>
        <v/>
      </c>
      <c r="C102" s="7">
        <f>IF(A102="","",IF(A102&gt;=Model!$B$11,Model!$B$20,0))</f>
        <v/>
      </c>
      <c r="D102" s="7">
        <f>IF(A102="","",IF(A102&lt;$B$3+Model!$B$15,Model!$B$22,0))</f>
        <v/>
      </c>
      <c r="E102" s="7">
        <f>IF(A102="","",C102+D102)</f>
        <v/>
      </c>
      <c r="F102" s="7">
        <f>IF(A102="","",MAX(0,Model!$B$6-E102))</f>
        <v/>
      </c>
      <c r="G102" s="7">
        <f>IF(A102="","",F102/(1-Model!$B$9))</f>
        <v/>
      </c>
      <c r="H102" s="7">
        <f>IF(A102="","",MAX(0,B102-G102))</f>
        <v/>
      </c>
      <c r="I102" s="7">
        <f>IF(A102="","",H102*Model!$B$18)</f>
        <v/>
      </c>
      <c r="J102" s="7">
        <f>IF(A102="","",H102+I102)</f>
        <v/>
      </c>
    </row>
    <row r="103">
      <c r="A103">
        <f>IF(OR(A102="",A102&gt;=Model!$B$4),"",A102+1)</f>
        <v/>
      </c>
      <c r="B103" s="7">
        <f>IF(A103="","",J102)</f>
        <v/>
      </c>
      <c r="C103" s="7">
        <f>IF(A103="","",IF(A103&gt;=Model!$B$11,Model!$B$20,0))</f>
        <v/>
      </c>
      <c r="D103" s="7">
        <f>IF(A103="","",IF(A103&lt;$B$3+Model!$B$15,Model!$B$22,0))</f>
        <v/>
      </c>
      <c r="E103" s="7">
        <f>IF(A103="","",C103+D103)</f>
        <v/>
      </c>
      <c r="F103" s="7">
        <f>IF(A103="","",MAX(0,Model!$B$6-E103))</f>
        <v/>
      </c>
      <c r="G103" s="7">
        <f>IF(A103="","",F103/(1-Model!$B$9))</f>
        <v/>
      </c>
      <c r="H103" s="7">
        <f>IF(A103="","",MAX(0,B103-G103))</f>
        <v/>
      </c>
      <c r="I103" s="7">
        <f>IF(A103="","",H103*Model!$B$18)</f>
        <v/>
      </c>
      <c r="J103" s="7">
        <f>IF(A103="","",H103+I103)</f>
        <v/>
      </c>
    </row>
    <row r="104">
      <c r="A104">
        <f>IF(OR(A103="",A103&gt;=Model!$B$4),"",A103+1)</f>
        <v/>
      </c>
      <c r="B104" s="7">
        <f>IF(A104="","",J103)</f>
        <v/>
      </c>
      <c r="C104" s="7">
        <f>IF(A104="","",IF(A104&gt;=Model!$B$11,Model!$B$20,0))</f>
        <v/>
      </c>
      <c r="D104" s="7">
        <f>IF(A104="","",IF(A104&lt;$B$3+Model!$B$15,Model!$B$22,0))</f>
        <v/>
      </c>
      <c r="E104" s="7">
        <f>IF(A104="","",C104+D104)</f>
        <v/>
      </c>
      <c r="F104" s="7">
        <f>IF(A104="","",MAX(0,Model!$B$6-E104))</f>
        <v/>
      </c>
      <c r="G104" s="7">
        <f>IF(A104="","",F104/(1-Model!$B$9))</f>
        <v/>
      </c>
      <c r="H104" s="7">
        <f>IF(A104="","",MAX(0,B104-G104))</f>
        <v/>
      </c>
      <c r="I104" s="7">
        <f>IF(A104="","",H104*Model!$B$18)</f>
        <v/>
      </c>
      <c r="J104" s="7">
        <f>IF(A104="","",H104+I104)</f>
        <v/>
      </c>
    </row>
    <row r="105">
      <c r="A105">
        <f>IF(OR(A104="",A104&gt;=Model!$B$4),"",A104+1)</f>
        <v/>
      </c>
      <c r="B105" s="7">
        <f>IF(A105="","",J104)</f>
        <v/>
      </c>
      <c r="C105" s="7">
        <f>IF(A105="","",IF(A105&gt;=Model!$B$11,Model!$B$20,0))</f>
        <v/>
      </c>
      <c r="D105" s="7">
        <f>IF(A105="","",IF(A105&lt;$B$3+Model!$B$15,Model!$B$22,0))</f>
        <v/>
      </c>
      <c r="E105" s="7">
        <f>IF(A105="","",C105+D105)</f>
        <v/>
      </c>
      <c r="F105" s="7">
        <f>IF(A105="","",MAX(0,Model!$B$6-E105))</f>
        <v/>
      </c>
      <c r="G105" s="7">
        <f>IF(A105="","",F105/(1-Model!$B$9))</f>
        <v/>
      </c>
      <c r="H105" s="7">
        <f>IF(A105="","",MAX(0,B105-G105))</f>
        <v/>
      </c>
      <c r="I105" s="7">
        <f>IF(A105="","",H105*Model!$B$18)</f>
        <v/>
      </c>
      <c r="J105" s="7">
        <f>IF(A105="","",H105+I105)</f>
        <v/>
      </c>
    </row>
    <row r="106">
      <c r="A106">
        <f>IF(OR(A105="",A105&gt;=Model!$B$4),"",A105+1)</f>
        <v/>
      </c>
      <c r="B106" s="7">
        <f>IF(A106="","",J105)</f>
        <v/>
      </c>
      <c r="C106" s="7">
        <f>IF(A106="","",IF(A106&gt;=Model!$B$11,Model!$B$20,0))</f>
        <v/>
      </c>
      <c r="D106" s="7">
        <f>IF(A106="","",IF(A106&lt;$B$3+Model!$B$15,Model!$B$22,0))</f>
        <v/>
      </c>
      <c r="E106" s="7">
        <f>IF(A106="","",C106+D106)</f>
        <v/>
      </c>
      <c r="F106" s="7">
        <f>IF(A106="","",MAX(0,Model!$B$6-E106))</f>
        <v/>
      </c>
      <c r="G106" s="7">
        <f>IF(A106="","",F106/(1-Model!$B$9))</f>
        <v/>
      </c>
      <c r="H106" s="7">
        <f>IF(A106="","",MAX(0,B106-G106))</f>
        <v/>
      </c>
      <c r="I106" s="7">
        <f>IF(A106="","",H106*Model!$B$18)</f>
        <v/>
      </c>
      <c r="J106" s="7">
        <f>IF(A106="","",H106+I106)</f>
        <v/>
      </c>
    </row>
    <row r="107">
      <c r="A107">
        <f>IF(OR(A106="",A106&gt;=Model!$B$4),"",A106+1)</f>
        <v/>
      </c>
      <c r="B107" s="7">
        <f>IF(A107="","",J106)</f>
        <v/>
      </c>
      <c r="C107" s="7">
        <f>IF(A107="","",IF(A107&gt;=Model!$B$11,Model!$B$20,0))</f>
        <v/>
      </c>
      <c r="D107" s="7">
        <f>IF(A107="","",IF(A107&lt;$B$3+Model!$B$15,Model!$B$22,0))</f>
        <v/>
      </c>
      <c r="E107" s="7">
        <f>IF(A107="","",C107+D107)</f>
        <v/>
      </c>
      <c r="F107" s="7">
        <f>IF(A107="","",MAX(0,Model!$B$6-E107))</f>
        <v/>
      </c>
      <c r="G107" s="7">
        <f>IF(A107="","",F107/(1-Model!$B$9))</f>
        <v/>
      </c>
      <c r="H107" s="7">
        <f>IF(A107="","",MAX(0,B107-G107))</f>
        <v/>
      </c>
      <c r="I107" s="7">
        <f>IF(A107="","",H107*Model!$B$18)</f>
        <v/>
      </c>
      <c r="J107" s="7">
        <f>IF(A107="","",H107+I107)</f>
        <v/>
      </c>
    </row>
    <row r="108">
      <c r="A108">
        <f>IF(OR(A107="",A107&gt;=Model!$B$4),"",A107+1)</f>
        <v/>
      </c>
      <c r="B108" s="7">
        <f>IF(A108="","",J107)</f>
        <v/>
      </c>
      <c r="C108" s="7">
        <f>IF(A108="","",IF(A108&gt;=Model!$B$11,Model!$B$20,0))</f>
        <v/>
      </c>
      <c r="D108" s="7">
        <f>IF(A108="","",IF(A108&lt;$B$3+Model!$B$15,Model!$B$22,0))</f>
        <v/>
      </c>
      <c r="E108" s="7">
        <f>IF(A108="","",C108+D108)</f>
        <v/>
      </c>
      <c r="F108" s="7">
        <f>IF(A108="","",MAX(0,Model!$B$6-E108))</f>
        <v/>
      </c>
      <c r="G108" s="7">
        <f>IF(A108="","",F108/(1-Model!$B$9))</f>
        <v/>
      </c>
      <c r="H108" s="7">
        <f>IF(A108="","",MAX(0,B108-G108))</f>
        <v/>
      </c>
      <c r="I108" s="7">
        <f>IF(A108="","",H108*Model!$B$18)</f>
        <v/>
      </c>
      <c r="J108" s="7">
        <f>IF(A108="","",H108+I108)</f>
        <v/>
      </c>
    </row>
    <row r="109">
      <c r="A109">
        <f>IF(OR(A108="",A108&gt;=Model!$B$4),"",A108+1)</f>
        <v/>
      </c>
      <c r="B109" s="7">
        <f>IF(A109="","",J108)</f>
        <v/>
      </c>
      <c r="C109" s="7">
        <f>IF(A109="","",IF(A109&gt;=Model!$B$11,Model!$B$20,0))</f>
        <v/>
      </c>
      <c r="D109" s="7">
        <f>IF(A109="","",IF(A109&lt;$B$3+Model!$B$15,Model!$B$22,0))</f>
        <v/>
      </c>
      <c r="E109" s="7">
        <f>IF(A109="","",C109+D109)</f>
        <v/>
      </c>
      <c r="F109" s="7">
        <f>IF(A109="","",MAX(0,Model!$B$6-E109))</f>
        <v/>
      </c>
      <c r="G109" s="7">
        <f>IF(A109="","",F109/(1-Model!$B$9))</f>
        <v/>
      </c>
      <c r="H109" s="7">
        <f>IF(A109="","",MAX(0,B109-G109))</f>
        <v/>
      </c>
      <c r="I109" s="7">
        <f>IF(A109="","",H109*Model!$B$18)</f>
        <v/>
      </c>
      <c r="J109" s="7">
        <f>IF(A109="","",H109+I109)</f>
        <v/>
      </c>
    </row>
    <row r="110">
      <c r="A110">
        <f>IF(OR(A109="",A109&gt;=Model!$B$4),"",A109+1)</f>
        <v/>
      </c>
      <c r="B110" s="7">
        <f>IF(A110="","",J109)</f>
        <v/>
      </c>
      <c r="C110" s="7">
        <f>IF(A110="","",IF(A110&gt;=Model!$B$11,Model!$B$20,0))</f>
        <v/>
      </c>
      <c r="D110" s="7">
        <f>IF(A110="","",IF(A110&lt;$B$3+Model!$B$15,Model!$B$22,0))</f>
        <v/>
      </c>
      <c r="E110" s="7">
        <f>IF(A110="","",C110+D110)</f>
        <v/>
      </c>
      <c r="F110" s="7">
        <f>IF(A110="","",MAX(0,Model!$B$6-E110))</f>
        <v/>
      </c>
      <c r="G110" s="7">
        <f>IF(A110="","",F110/(1-Model!$B$9))</f>
        <v/>
      </c>
      <c r="H110" s="7">
        <f>IF(A110="","",MAX(0,B110-G110))</f>
        <v/>
      </c>
      <c r="I110" s="7">
        <f>IF(A110="","",H110*Model!$B$18)</f>
        <v/>
      </c>
      <c r="J110" s="7">
        <f>IF(A110="","",H110+I110)</f>
        <v/>
      </c>
    </row>
    <row r="111">
      <c r="A111">
        <f>IF(OR(A110="",A110&gt;=Model!$B$4),"",A110+1)</f>
        <v/>
      </c>
      <c r="B111" s="7">
        <f>IF(A111="","",J110)</f>
        <v/>
      </c>
      <c r="C111" s="7">
        <f>IF(A111="","",IF(A111&gt;=Model!$B$11,Model!$B$20,0))</f>
        <v/>
      </c>
      <c r="D111" s="7">
        <f>IF(A111="","",IF(A111&lt;$B$3+Model!$B$15,Model!$B$22,0))</f>
        <v/>
      </c>
      <c r="E111" s="7">
        <f>IF(A111="","",C111+D111)</f>
        <v/>
      </c>
      <c r="F111" s="7">
        <f>IF(A111="","",MAX(0,Model!$B$6-E111))</f>
        <v/>
      </c>
      <c r="G111" s="7">
        <f>IF(A111="","",F111/(1-Model!$B$9))</f>
        <v/>
      </c>
      <c r="H111" s="7">
        <f>IF(A111="","",MAX(0,B111-G111))</f>
        <v/>
      </c>
      <c r="I111" s="7">
        <f>IF(A111="","",H111*Model!$B$18)</f>
        <v/>
      </c>
      <c r="J111" s="7">
        <f>IF(A111="","",H111+I111)</f>
        <v/>
      </c>
    </row>
    <row r="112">
      <c r="A112">
        <f>IF(OR(A111="",A111&gt;=Model!$B$4),"",A111+1)</f>
        <v/>
      </c>
      <c r="B112" s="7">
        <f>IF(A112="","",J111)</f>
        <v/>
      </c>
      <c r="C112" s="7">
        <f>IF(A112="","",IF(A112&gt;=Model!$B$11,Model!$B$20,0))</f>
        <v/>
      </c>
      <c r="D112" s="7">
        <f>IF(A112="","",IF(A112&lt;$B$3+Model!$B$15,Model!$B$22,0))</f>
        <v/>
      </c>
      <c r="E112" s="7">
        <f>IF(A112="","",C112+D112)</f>
        <v/>
      </c>
      <c r="F112" s="7">
        <f>IF(A112="","",MAX(0,Model!$B$6-E112))</f>
        <v/>
      </c>
      <c r="G112" s="7">
        <f>IF(A112="","",F112/(1-Model!$B$9))</f>
        <v/>
      </c>
      <c r="H112" s="7">
        <f>IF(A112="","",MAX(0,B112-G112))</f>
        <v/>
      </c>
      <c r="I112" s="7">
        <f>IF(A112="","",H112*Model!$B$18)</f>
        <v/>
      </c>
      <c r="J112" s="7">
        <f>IF(A112="","",H112+I112)</f>
        <v/>
      </c>
    </row>
    <row r="113">
      <c r="A113">
        <f>IF(OR(A112="",A112&gt;=Model!$B$4),"",A112+1)</f>
        <v/>
      </c>
      <c r="B113" s="7">
        <f>IF(A113="","",J112)</f>
        <v/>
      </c>
      <c r="C113" s="7">
        <f>IF(A113="","",IF(A113&gt;=Model!$B$11,Model!$B$20,0))</f>
        <v/>
      </c>
      <c r="D113" s="7">
        <f>IF(A113="","",IF(A113&lt;$B$3+Model!$B$15,Model!$B$22,0))</f>
        <v/>
      </c>
      <c r="E113" s="7">
        <f>IF(A113="","",C113+D113)</f>
        <v/>
      </c>
      <c r="F113" s="7">
        <f>IF(A113="","",MAX(0,Model!$B$6-E113))</f>
        <v/>
      </c>
      <c r="G113" s="7">
        <f>IF(A113="","",F113/(1-Model!$B$9))</f>
        <v/>
      </c>
      <c r="H113" s="7">
        <f>IF(A113="","",MAX(0,B113-G113))</f>
        <v/>
      </c>
      <c r="I113" s="7">
        <f>IF(A113="","",H113*Model!$B$18)</f>
        <v/>
      </c>
      <c r="J113" s="7">
        <f>IF(A113="","",H113+I113)</f>
        <v/>
      </c>
    </row>
    <row r="114">
      <c r="A114">
        <f>IF(OR(A113="",A113&gt;=Model!$B$4),"",A113+1)</f>
        <v/>
      </c>
      <c r="B114" s="7">
        <f>IF(A114="","",J113)</f>
        <v/>
      </c>
      <c r="C114" s="7">
        <f>IF(A114="","",IF(A114&gt;=Model!$B$11,Model!$B$20,0))</f>
        <v/>
      </c>
      <c r="D114" s="7">
        <f>IF(A114="","",IF(A114&lt;$B$3+Model!$B$15,Model!$B$22,0))</f>
        <v/>
      </c>
      <c r="E114" s="7">
        <f>IF(A114="","",C114+D114)</f>
        <v/>
      </c>
      <c r="F114" s="7">
        <f>IF(A114="","",MAX(0,Model!$B$6-E114))</f>
        <v/>
      </c>
      <c r="G114" s="7">
        <f>IF(A114="","",F114/(1-Model!$B$9))</f>
        <v/>
      </c>
      <c r="H114" s="7">
        <f>IF(A114="","",MAX(0,B114-G114))</f>
        <v/>
      </c>
      <c r="I114" s="7">
        <f>IF(A114="","",H114*Model!$B$18)</f>
        <v/>
      </c>
      <c r="J114" s="7">
        <f>IF(A114="","",H114+I114)</f>
        <v/>
      </c>
    </row>
    <row r="115">
      <c r="A115">
        <f>IF(OR(A114="",A114&gt;=Model!$B$4),"",A114+1)</f>
        <v/>
      </c>
      <c r="B115" s="7">
        <f>IF(A115="","",J114)</f>
        <v/>
      </c>
      <c r="C115" s="7">
        <f>IF(A115="","",IF(A115&gt;=Model!$B$11,Model!$B$20,0))</f>
        <v/>
      </c>
      <c r="D115" s="7">
        <f>IF(A115="","",IF(A115&lt;$B$3+Model!$B$15,Model!$B$22,0))</f>
        <v/>
      </c>
      <c r="E115" s="7">
        <f>IF(A115="","",C115+D115)</f>
        <v/>
      </c>
      <c r="F115" s="7">
        <f>IF(A115="","",MAX(0,Model!$B$6-E115))</f>
        <v/>
      </c>
      <c r="G115" s="7">
        <f>IF(A115="","",F115/(1-Model!$B$9))</f>
        <v/>
      </c>
      <c r="H115" s="7">
        <f>IF(A115="","",MAX(0,B115-G115))</f>
        <v/>
      </c>
      <c r="I115" s="7">
        <f>IF(A115="","",H115*Model!$B$18)</f>
        <v/>
      </c>
      <c r="J115" s="7">
        <f>IF(A115="","",H115+I115)</f>
        <v/>
      </c>
    </row>
    <row r="116">
      <c r="A116">
        <f>IF(OR(A115="",A115&gt;=Model!$B$4),"",A115+1)</f>
        <v/>
      </c>
      <c r="B116" s="7">
        <f>IF(A116="","",J115)</f>
        <v/>
      </c>
      <c r="C116" s="7">
        <f>IF(A116="","",IF(A116&gt;=Model!$B$11,Model!$B$20,0))</f>
        <v/>
      </c>
      <c r="D116" s="7">
        <f>IF(A116="","",IF(A116&lt;$B$3+Model!$B$15,Model!$B$22,0))</f>
        <v/>
      </c>
      <c r="E116" s="7">
        <f>IF(A116="","",C116+D116)</f>
        <v/>
      </c>
      <c r="F116" s="7">
        <f>IF(A116="","",MAX(0,Model!$B$6-E116))</f>
        <v/>
      </c>
      <c r="G116" s="7">
        <f>IF(A116="","",F116/(1-Model!$B$9))</f>
        <v/>
      </c>
      <c r="H116" s="7">
        <f>IF(A116="","",MAX(0,B116-G116))</f>
        <v/>
      </c>
      <c r="I116" s="7">
        <f>IF(A116="","",H116*Model!$B$18)</f>
        <v/>
      </c>
      <c r="J116" s="7">
        <f>IF(A116="","",H116+I116)</f>
        <v/>
      </c>
    </row>
    <row r="117">
      <c r="A117">
        <f>IF(OR(A116="",A116&gt;=Model!$B$4),"",A116+1)</f>
        <v/>
      </c>
      <c r="B117" s="7">
        <f>IF(A117="","",J116)</f>
        <v/>
      </c>
      <c r="C117" s="7">
        <f>IF(A117="","",IF(A117&gt;=Model!$B$11,Model!$B$20,0))</f>
        <v/>
      </c>
      <c r="D117" s="7">
        <f>IF(A117="","",IF(A117&lt;$B$3+Model!$B$15,Model!$B$22,0))</f>
        <v/>
      </c>
      <c r="E117" s="7">
        <f>IF(A117="","",C117+D117)</f>
        <v/>
      </c>
      <c r="F117" s="7">
        <f>IF(A117="","",MAX(0,Model!$B$6-E117))</f>
        <v/>
      </c>
      <c r="G117" s="7">
        <f>IF(A117="","",F117/(1-Model!$B$9))</f>
        <v/>
      </c>
      <c r="H117" s="7">
        <f>IF(A117="","",MAX(0,B117-G117))</f>
        <v/>
      </c>
      <c r="I117" s="7">
        <f>IF(A117="","",H117*Model!$B$18)</f>
        <v/>
      </c>
      <c r="J117" s="7">
        <f>IF(A117="","",H117+I117)</f>
        <v/>
      </c>
    </row>
    <row r="118">
      <c r="A118">
        <f>IF(OR(A117="",A117&gt;=Model!$B$4),"",A117+1)</f>
        <v/>
      </c>
      <c r="B118" s="7">
        <f>IF(A118="","",J117)</f>
        <v/>
      </c>
      <c r="C118" s="7">
        <f>IF(A118="","",IF(A118&gt;=Model!$B$11,Model!$B$20,0))</f>
        <v/>
      </c>
      <c r="D118" s="7">
        <f>IF(A118="","",IF(A118&lt;$B$3+Model!$B$15,Model!$B$22,0))</f>
        <v/>
      </c>
      <c r="E118" s="7">
        <f>IF(A118="","",C118+D118)</f>
        <v/>
      </c>
      <c r="F118" s="7">
        <f>IF(A118="","",MAX(0,Model!$B$6-E118))</f>
        <v/>
      </c>
      <c r="G118" s="7">
        <f>IF(A118="","",F118/(1-Model!$B$9))</f>
        <v/>
      </c>
      <c r="H118" s="7">
        <f>IF(A118="","",MAX(0,B118-G118))</f>
        <v/>
      </c>
      <c r="I118" s="7">
        <f>IF(A118="","",H118*Model!$B$18)</f>
        <v/>
      </c>
      <c r="J118" s="7">
        <f>IF(A118="","",H118+I118)</f>
        <v/>
      </c>
    </row>
    <row r="119">
      <c r="A119">
        <f>IF(OR(A118="",A118&gt;=Model!$B$4),"",A118+1)</f>
        <v/>
      </c>
      <c r="B119" s="7">
        <f>IF(A119="","",J118)</f>
        <v/>
      </c>
      <c r="C119" s="7">
        <f>IF(A119="","",IF(A119&gt;=Model!$B$11,Model!$B$20,0))</f>
        <v/>
      </c>
      <c r="D119" s="7">
        <f>IF(A119="","",IF(A119&lt;$B$3+Model!$B$15,Model!$B$22,0))</f>
        <v/>
      </c>
      <c r="E119" s="7">
        <f>IF(A119="","",C119+D119)</f>
        <v/>
      </c>
      <c r="F119" s="7">
        <f>IF(A119="","",MAX(0,Model!$B$6-E119))</f>
        <v/>
      </c>
      <c r="G119" s="7">
        <f>IF(A119="","",F119/(1-Model!$B$9))</f>
        <v/>
      </c>
      <c r="H119" s="7">
        <f>IF(A119="","",MAX(0,B119-G119))</f>
        <v/>
      </c>
      <c r="I119" s="7">
        <f>IF(A119="","",H119*Model!$B$18)</f>
        <v/>
      </c>
      <c r="J119" s="7">
        <f>IF(A119="","",H119+I119)</f>
        <v/>
      </c>
    </row>
    <row r="120">
      <c r="A120">
        <f>IF(OR(A119="",A119&gt;=Model!$B$4),"",A119+1)</f>
        <v/>
      </c>
      <c r="B120" s="7">
        <f>IF(A120="","",J119)</f>
        <v/>
      </c>
      <c r="C120" s="7">
        <f>IF(A120="","",IF(A120&gt;=Model!$B$11,Model!$B$20,0))</f>
        <v/>
      </c>
      <c r="D120" s="7">
        <f>IF(A120="","",IF(A120&lt;$B$3+Model!$B$15,Model!$B$22,0))</f>
        <v/>
      </c>
      <c r="E120" s="7">
        <f>IF(A120="","",C120+D120)</f>
        <v/>
      </c>
      <c r="F120" s="7">
        <f>IF(A120="","",MAX(0,Model!$B$6-E120))</f>
        <v/>
      </c>
      <c r="G120" s="7">
        <f>IF(A120="","",F120/(1-Model!$B$9))</f>
        <v/>
      </c>
      <c r="H120" s="7">
        <f>IF(A120="","",MAX(0,B120-G120))</f>
        <v/>
      </c>
      <c r="I120" s="7">
        <f>IF(A120="","",H120*Model!$B$18)</f>
        <v/>
      </c>
      <c r="J120" s="7">
        <f>IF(A120="","",H120+I120)</f>
        <v/>
      </c>
    </row>
    <row r="121">
      <c r="A121">
        <f>IF(OR(A120="",A120&gt;=Model!$B$4),"",A120+1)</f>
        <v/>
      </c>
      <c r="B121" s="7">
        <f>IF(A121="","",J120)</f>
        <v/>
      </c>
      <c r="C121" s="7">
        <f>IF(A121="","",IF(A121&gt;=Model!$B$11,Model!$B$20,0))</f>
        <v/>
      </c>
      <c r="D121" s="7">
        <f>IF(A121="","",IF(A121&lt;$B$3+Model!$B$15,Model!$B$22,0))</f>
        <v/>
      </c>
      <c r="E121" s="7">
        <f>IF(A121="","",C121+D121)</f>
        <v/>
      </c>
      <c r="F121" s="7">
        <f>IF(A121="","",MAX(0,Model!$B$6-E121))</f>
        <v/>
      </c>
      <c r="G121" s="7">
        <f>IF(A121="","",F121/(1-Model!$B$9))</f>
        <v/>
      </c>
      <c r="H121" s="7">
        <f>IF(A121="","",MAX(0,B121-G121))</f>
        <v/>
      </c>
      <c r="I121" s="7">
        <f>IF(A121="","",H121*Model!$B$18)</f>
        <v/>
      </c>
      <c r="J121" s="7">
        <f>IF(A121="","",H121+I121)</f>
        <v/>
      </c>
    </row>
    <row r="122">
      <c r="A122">
        <f>IF(OR(A121="",A121&gt;=Model!$B$4),"",A121+1)</f>
        <v/>
      </c>
      <c r="B122" s="7">
        <f>IF(A122="","",J121)</f>
        <v/>
      </c>
      <c r="C122" s="7">
        <f>IF(A122="","",IF(A122&gt;=Model!$B$11,Model!$B$20,0))</f>
        <v/>
      </c>
      <c r="D122" s="7">
        <f>IF(A122="","",IF(A122&lt;$B$3+Model!$B$15,Model!$B$22,0))</f>
        <v/>
      </c>
      <c r="E122" s="7">
        <f>IF(A122="","",C122+D122)</f>
        <v/>
      </c>
      <c r="F122" s="7">
        <f>IF(A122="","",MAX(0,Model!$B$6-E122))</f>
        <v/>
      </c>
      <c r="G122" s="7">
        <f>IF(A122="","",F122/(1-Model!$B$9))</f>
        <v/>
      </c>
      <c r="H122" s="7">
        <f>IF(A122="","",MAX(0,B122-G122))</f>
        <v/>
      </c>
      <c r="I122" s="7">
        <f>IF(A122="","",H122*Model!$B$18)</f>
        <v/>
      </c>
      <c r="J122" s="7">
        <f>IF(A122="","",H122+I122)</f>
        <v/>
      </c>
    </row>
    <row r="123">
      <c r="A123">
        <f>IF(OR(A122="",A122&gt;=Model!$B$4),"",A122+1)</f>
        <v/>
      </c>
      <c r="B123" s="7">
        <f>IF(A123="","",J122)</f>
        <v/>
      </c>
      <c r="C123" s="7">
        <f>IF(A123="","",IF(A123&gt;=Model!$B$11,Model!$B$20,0))</f>
        <v/>
      </c>
      <c r="D123" s="7">
        <f>IF(A123="","",IF(A123&lt;$B$3+Model!$B$15,Model!$B$22,0))</f>
        <v/>
      </c>
      <c r="E123" s="7">
        <f>IF(A123="","",C123+D123)</f>
        <v/>
      </c>
      <c r="F123" s="7">
        <f>IF(A123="","",MAX(0,Model!$B$6-E123))</f>
        <v/>
      </c>
      <c r="G123" s="7">
        <f>IF(A123="","",F123/(1-Model!$B$9))</f>
        <v/>
      </c>
      <c r="H123" s="7">
        <f>IF(A123="","",MAX(0,B123-G123))</f>
        <v/>
      </c>
      <c r="I123" s="7">
        <f>IF(A123="","",H123*Model!$B$18)</f>
        <v/>
      </c>
      <c r="J123" s="7">
        <f>IF(A123="","",H123+I123)</f>
        <v/>
      </c>
    </row>
    <row r="124">
      <c r="A124">
        <f>IF(OR(A123="",A123&gt;=Model!$B$4),"",A123+1)</f>
        <v/>
      </c>
      <c r="B124" s="7">
        <f>IF(A124="","",J123)</f>
        <v/>
      </c>
      <c r="C124" s="7">
        <f>IF(A124="","",IF(A124&gt;=Model!$B$11,Model!$B$20,0))</f>
        <v/>
      </c>
      <c r="D124" s="7">
        <f>IF(A124="","",IF(A124&lt;$B$3+Model!$B$15,Model!$B$22,0))</f>
        <v/>
      </c>
      <c r="E124" s="7">
        <f>IF(A124="","",C124+D124)</f>
        <v/>
      </c>
      <c r="F124" s="7">
        <f>IF(A124="","",MAX(0,Model!$B$6-E124))</f>
        <v/>
      </c>
      <c r="G124" s="7">
        <f>IF(A124="","",F124/(1-Model!$B$9))</f>
        <v/>
      </c>
      <c r="H124" s="7">
        <f>IF(A124="","",MAX(0,B124-G124))</f>
        <v/>
      </c>
      <c r="I124" s="7">
        <f>IF(A124="","",H124*Model!$B$18)</f>
        <v/>
      </c>
      <c r="J124" s="7">
        <f>IF(A124="","",H124+I124)</f>
        <v/>
      </c>
    </row>
    <row r="125">
      <c r="A125">
        <f>IF(OR(A124="",A124&gt;=Model!$B$4),"",A124+1)</f>
        <v/>
      </c>
      <c r="B125" s="7">
        <f>IF(A125="","",J124)</f>
        <v/>
      </c>
      <c r="C125" s="7">
        <f>IF(A125="","",IF(A125&gt;=Model!$B$11,Model!$B$20,0))</f>
        <v/>
      </c>
      <c r="D125" s="7">
        <f>IF(A125="","",IF(A125&lt;$B$3+Model!$B$15,Model!$B$22,0))</f>
        <v/>
      </c>
      <c r="E125" s="7">
        <f>IF(A125="","",C125+D125)</f>
        <v/>
      </c>
      <c r="F125" s="7">
        <f>IF(A125="","",MAX(0,Model!$B$6-E125))</f>
        <v/>
      </c>
      <c r="G125" s="7">
        <f>IF(A125="","",F125/(1-Model!$B$9))</f>
        <v/>
      </c>
      <c r="H125" s="7">
        <f>IF(A125="","",MAX(0,B125-G125))</f>
        <v/>
      </c>
      <c r="I125" s="7">
        <f>IF(A125="","",H125*Model!$B$18)</f>
        <v/>
      </c>
      <c r="J125" s="7">
        <f>IF(A125="","",H125+I125)</f>
        <v/>
      </c>
    </row>
    <row r="126">
      <c r="A126">
        <f>IF(OR(A125="",A125&gt;=Model!$B$4),"",A125+1)</f>
        <v/>
      </c>
      <c r="B126" s="7">
        <f>IF(A126="","",J125)</f>
        <v/>
      </c>
      <c r="C126" s="7">
        <f>IF(A126="","",IF(A126&gt;=Model!$B$11,Model!$B$20,0))</f>
        <v/>
      </c>
      <c r="D126" s="7">
        <f>IF(A126="","",IF(A126&lt;$B$3+Model!$B$15,Model!$B$22,0))</f>
        <v/>
      </c>
      <c r="E126" s="7">
        <f>IF(A126="","",C126+D126)</f>
        <v/>
      </c>
      <c r="F126" s="7">
        <f>IF(A126="","",MAX(0,Model!$B$6-E126))</f>
        <v/>
      </c>
      <c r="G126" s="7">
        <f>IF(A126="","",F126/(1-Model!$B$9))</f>
        <v/>
      </c>
      <c r="H126" s="7">
        <f>IF(A126="","",MAX(0,B126-G126))</f>
        <v/>
      </c>
      <c r="I126" s="7">
        <f>IF(A126="","",H126*Model!$B$18)</f>
        <v/>
      </c>
      <c r="J126" s="7">
        <f>IF(A126="","",H126+I126)</f>
        <v/>
      </c>
    </row>
    <row r="127">
      <c r="A127">
        <f>IF(OR(A126="",A126&gt;=Model!$B$4),"",A126+1)</f>
        <v/>
      </c>
      <c r="B127" s="7">
        <f>IF(A127="","",J126)</f>
        <v/>
      </c>
      <c r="C127" s="7">
        <f>IF(A127="","",IF(A127&gt;=Model!$B$11,Model!$B$20,0))</f>
        <v/>
      </c>
      <c r="D127" s="7">
        <f>IF(A127="","",IF(A127&lt;$B$3+Model!$B$15,Model!$B$22,0))</f>
        <v/>
      </c>
      <c r="E127" s="7">
        <f>IF(A127="","",C127+D127)</f>
        <v/>
      </c>
      <c r="F127" s="7">
        <f>IF(A127="","",MAX(0,Model!$B$6-E127))</f>
        <v/>
      </c>
      <c r="G127" s="7">
        <f>IF(A127="","",F127/(1-Model!$B$9))</f>
        <v/>
      </c>
      <c r="H127" s="7">
        <f>IF(A127="","",MAX(0,B127-G127))</f>
        <v/>
      </c>
      <c r="I127" s="7">
        <f>IF(A127="","",H127*Model!$B$18)</f>
        <v/>
      </c>
      <c r="J127" s="7">
        <f>IF(A127="","",H127+I127)</f>
        <v/>
      </c>
    </row>
    <row r="128">
      <c r="A128">
        <f>IF(OR(A127="",A127&gt;=Model!$B$4),"",A127+1)</f>
        <v/>
      </c>
      <c r="B128" s="7">
        <f>IF(A128="","",J127)</f>
        <v/>
      </c>
      <c r="C128" s="7">
        <f>IF(A128="","",IF(A128&gt;=Model!$B$11,Model!$B$20,0))</f>
        <v/>
      </c>
      <c r="D128" s="7">
        <f>IF(A128="","",IF(A128&lt;$B$3+Model!$B$15,Model!$B$22,0))</f>
        <v/>
      </c>
      <c r="E128" s="7">
        <f>IF(A128="","",C128+D128)</f>
        <v/>
      </c>
      <c r="F128" s="7">
        <f>IF(A128="","",MAX(0,Model!$B$6-E128))</f>
        <v/>
      </c>
      <c r="G128" s="7">
        <f>IF(A128="","",F128/(1-Model!$B$9))</f>
        <v/>
      </c>
      <c r="H128" s="7">
        <f>IF(A128="","",MAX(0,B128-G128))</f>
        <v/>
      </c>
      <c r="I128" s="7">
        <f>IF(A128="","",H128*Model!$B$18)</f>
        <v/>
      </c>
      <c r="J128" s="7">
        <f>IF(A128="","",H128+I128)</f>
        <v/>
      </c>
    </row>
  </sheetData>
  <autoFilter ref="A7:J1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2026-07-30T08:32:26+00:00Z</dcterms:created>
  <dcterms:modified xmlns:dcterms="http://purl.org/dc/terms/" xmlns:xsi="http://www.w3.org/2001/XMLSchema-instance" xsi:type="dcterms:W3CDTF">2026-07-30T08:32:26+00:00Z</dcterms:modified>
</cp:coreProperties>
</file>